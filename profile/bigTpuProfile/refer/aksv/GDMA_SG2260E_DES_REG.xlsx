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work_0\project\SG2260E\reg\版本\版本4\"/>
    </mc:Choice>
  </mc:AlternateContent>
  <bookViews>
    <workbookView xWindow="0" yWindow="0" windowWidth="22956" windowHeight="8784" tabRatio="891"/>
  </bookViews>
  <sheets>
    <sheet name="Rev" sheetId="7" r:id="rId1"/>
    <sheet name="template" sheetId="17" r:id="rId2"/>
    <sheet name="CSR Table" sheetId="60" r:id="rId3"/>
    <sheet name="DMA_tensor（0x000）" sheetId="9" r:id="rId4"/>
    <sheet name="DMA_matrix" sheetId="10" r:id="rId5"/>
    <sheet name="sDMA_matrix" sheetId="30" state="hidden" r:id="rId6"/>
    <sheet name="DMA_masked_select" sheetId="15" r:id="rId7"/>
    <sheet name="sDMA_masked_select " sheetId="33" state="hidden" r:id="rId8"/>
    <sheet name="DMA_general" sheetId="12" r:id="rId9"/>
    <sheet name="sDMA_general" sheetId="34" state="hidden" r:id="rId10"/>
    <sheet name="DMA_nonzero" sheetId="19" r:id="rId11"/>
    <sheet name="sDMA_nonzero" sheetId="40" state="hidden" r:id="rId12"/>
    <sheet name="sDMA_sys" sheetId="47" r:id="rId13"/>
    <sheet name="DMA_gather" sheetId="22" r:id="rId14"/>
    <sheet name="des_v1.0" sheetId="8" state="hidden" r:id="rId15"/>
    <sheet name="DMA_scatter" sheetId="52" r:id="rId16"/>
    <sheet name="DMA_reverse" sheetId="53" r:id="rId17"/>
    <sheet name="DMA_lossy_compress" sheetId="61" r:id="rId18"/>
    <sheet name="DMA_lossy_decompress" sheetId="62" r:id="rId19"/>
    <sheet name="src_dst_mem_type" sheetId="24" state="hidden" r:id="rId20"/>
    <sheet name="典型带宽(待分析)" sheetId="25" state="hidden" r:id="rId2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6" i="52" l="1"/>
  <c r="I45" i="52"/>
  <c r="I43" i="52"/>
  <c r="I42" i="52"/>
  <c r="I40" i="52"/>
  <c r="I39" i="52"/>
  <c r="I46" i="22"/>
  <c r="I45" i="22"/>
  <c r="I43" i="22"/>
  <c r="I42" i="22"/>
  <c r="I40" i="22"/>
  <c r="I39" i="22"/>
  <c r="I48" i="15"/>
  <c r="I47" i="15"/>
  <c r="I39" i="61"/>
  <c r="I38" i="61"/>
  <c r="I37" i="61"/>
  <c r="I36" i="61"/>
  <c r="I39" i="62"/>
  <c r="I38" i="62"/>
  <c r="I37" i="62"/>
  <c r="I36" i="62"/>
  <c r="I47" i="19"/>
  <c r="I51" i="15"/>
  <c r="C11" i="17" l="1"/>
  <c r="C10" i="17"/>
  <c r="C9" i="17"/>
  <c r="I40" i="9"/>
  <c r="I45" i="53"/>
  <c r="I19" i="15"/>
  <c r="I41" i="53"/>
  <c r="I48" i="53"/>
  <c r="I17" i="47"/>
  <c r="I27" i="53"/>
  <c r="I34" i="15"/>
  <c r="I24" i="12"/>
  <c r="I23" i="53"/>
  <c r="I43" i="10"/>
  <c r="I48" i="10"/>
  <c r="I40" i="10"/>
  <c r="I38" i="10"/>
  <c r="I14" i="53"/>
  <c r="I33" i="10"/>
  <c r="I35" i="10"/>
  <c r="I8" i="9"/>
  <c r="I23" i="62"/>
  <c r="I44" i="19"/>
  <c r="I50" i="15"/>
  <c r="I46" i="19"/>
  <c r="I46" i="62"/>
  <c r="I17" i="9"/>
  <c r="I26" i="61"/>
  <c r="I35" i="9"/>
  <c r="I14" i="15"/>
  <c r="I23" i="61"/>
  <c r="I45" i="9"/>
  <c r="I25" i="10"/>
  <c r="I18" i="52"/>
  <c r="I29" i="10"/>
  <c r="I31" i="12"/>
  <c r="I32" i="10"/>
  <c r="I34" i="9"/>
  <c r="I41" i="61"/>
  <c r="I14" i="62"/>
  <c r="I39" i="12"/>
  <c r="I35" i="19"/>
  <c r="I40" i="12"/>
  <c r="I34" i="53"/>
  <c r="I26" i="9"/>
  <c r="I43" i="53"/>
  <c r="I42" i="12"/>
  <c r="I31" i="10"/>
  <c r="I34" i="19"/>
  <c r="I18" i="12"/>
  <c r="I27" i="9"/>
  <c r="I38" i="12"/>
  <c r="I27" i="12"/>
  <c r="I44" i="10"/>
  <c r="I14" i="10"/>
  <c r="I45" i="15"/>
  <c r="I42" i="53"/>
  <c r="I14" i="19"/>
  <c r="I38" i="53"/>
  <c r="I44" i="62"/>
  <c r="I18" i="62"/>
  <c r="I47" i="10"/>
  <c r="I38" i="9"/>
  <c r="I31" i="9"/>
  <c r="I46" i="15"/>
  <c r="I46" i="12"/>
  <c r="I30" i="12"/>
  <c r="I41" i="12"/>
  <c r="I18" i="47"/>
  <c r="I24" i="10"/>
  <c r="I24" i="19"/>
  <c r="I41" i="52"/>
  <c r="I50" i="19"/>
  <c r="I14" i="47"/>
  <c r="I33" i="53"/>
  <c r="I19" i="19"/>
  <c r="I14" i="22"/>
  <c r="I37" i="9"/>
  <c r="I44" i="22"/>
  <c r="I45" i="12"/>
  <c r="I49" i="12"/>
  <c r="I42" i="15"/>
  <c r="I28" i="53"/>
  <c r="I29" i="9"/>
  <c r="I36" i="53"/>
  <c r="I33" i="62"/>
  <c r="I32" i="53"/>
  <c r="I31" i="53"/>
  <c r="I45" i="19"/>
  <c r="I47" i="53"/>
  <c r="I43" i="19"/>
  <c r="I46" i="10"/>
  <c r="I23" i="12"/>
  <c r="I43" i="9"/>
  <c r="I18" i="22"/>
  <c r="I35" i="53"/>
  <c r="I14" i="61"/>
  <c r="I42" i="19"/>
  <c r="I33" i="15"/>
  <c r="I45" i="10"/>
  <c r="I28" i="10"/>
  <c r="I36" i="15"/>
  <c r="I44" i="61"/>
  <c r="I25" i="61"/>
  <c r="I34" i="12"/>
  <c r="I43" i="12"/>
  <c r="I27" i="10"/>
  <c r="I36" i="12"/>
  <c r="I34" i="62"/>
  <c r="I35" i="61"/>
  <c r="I24" i="53"/>
  <c r="I37" i="10"/>
  <c r="I24" i="9"/>
  <c r="I48" i="61"/>
  <c r="I13" i="9"/>
  <c r="I49" i="19"/>
  <c r="I33" i="12"/>
  <c r="I23" i="10"/>
  <c r="I18" i="61"/>
  <c r="I44" i="52"/>
  <c r="I26" i="53"/>
  <c r="I49" i="53"/>
  <c r="I18" i="10"/>
  <c r="I33" i="19"/>
  <c r="I41" i="10"/>
  <c r="I30" i="9"/>
  <c r="I33" i="9"/>
  <c r="I42" i="9"/>
  <c r="I25" i="9"/>
  <c r="I14" i="9"/>
  <c r="I29" i="53"/>
  <c r="I6" i="9"/>
  <c r="I47" i="12"/>
  <c r="I28" i="12"/>
  <c r="I40" i="53"/>
  <c r="I48" i="12"/>
  <c r="I35" i="62"/>
  <c r="I32" i="12"/>
  <c r="I32" i="9"/>
  <c r="I26" i="10"/>
  <c r="I26" i="12"/>
  <c r="I36" i="19"/>
  <c r="I36" i="10"/>
  <c r="I14" i="12"/>
  <c r="I30" i="10"/>
  <c r="I40" i="61"/>
  <c r="I41" i="22"/>
  <c r="I15" i="9"/>
  <c r="I37" i="53"/>
  <c r="I14" i="52"/>
  <c r="I49" i="10"/>
  <c r="I41" i="62"/>
  <c r="I34" i="61"/>
  <c r="I41" i="19"/>
  <c r="I24" i="15"/>
  <c r="I39" i="10"/>
  <c r="I48" i="19"/>
  <c r="I33" i="61"/>
  <c r="I24" i="61"/>
  <c r="I36" i="9"/>
  <c r="I25" i="53"/>
  <c r="I41" i="15"/>
  <c r="I18" i="9"/>
  <c r="I28" i="9"/>
  <c r="I39" i="53"/>
  <c r="I7" i="9"/>
  <c r="I43" i="15"/>
  <c r="I46" i="9"/>
  <c r="I39" i="9"/>
  <c r="I44" i="53"/>
  <c r="I32" i="61"/>
  <c r="I44" i="12"/>
  <c r="I34" i="10"/>
  <c r="I32" i="62"/>
  <c r="I18" i="53"/>
  <c r="I42" i="10"/>
  <c r="I30" i="53"/>
  <c r="I37" i="12"/>
  <c r="I35" i="12"/>
  <c r="I44" i="15"/>
  <c r="I29" i="12"/>
  <c r="C11" i="62" l="1"/>
  <c r="C10" i="62"/>
  <c r="C9" i="62"/>
  <c r="C11" i="61"/>
  <c r="C10" i="61"/>
  <c r="C9" i="61"/>
  <c r="C11" i="53"/>
  <c r="C10" i="53"/>
  <c r="C9" i="53"/>
  <c r="C11" i="52"/>
  <c r="C10" i="52"/>
  <c r="C9" i="52"/>
  <c r="C11" i="22"/>
  <c r="C10" i="22"/>
  <c r="C9" i="22"/>
  <c r="C11" i="47"/>
  <c r="C10" i="47"/>
  <c r="C9" i="47"/>
  <c r="C11" i="19"/>
  <c r="C10" i="19"/>
  <c r="C9" i="19"/>
  <c r="C11" i="12"/>
  <c r="C10" i="12"/>
  <c r="C9" i="12"/>
  <c r="C11" i="15"/>
  <c r="C10" i="15"/>
  <c r="C9" i="15"/>
  <c r="C11" i="10"/>
  <c r="C10" i="10"/>
  <c r="C9" i="10"/>
  <c r="C11" i="9"/>
  <c r="C10" i="9"/>
  <c r="C9" i="9"/>
  <c r="E20" i="62" l="1"/>
  <c r="G20" i="62" s="1"/>
  <c r="E20" i="61"/>
  <c r="G20" i="61" s="1"/>
  <c r="E20" i="53"/>
  <c r="G20" i="53" s="1"/>
  <c r="E20" i="52"/>
  <c r="G20" i="52" s="1"/>
  <c r="E20" i="22"/>
  <c r="G20" i="22" s="1"/>
  <c r="E21" i="19"/>
  <c r="G21" i="19" s="1"/>
  <c r="E20" i="12"/>
  <c r="G20" i="12" s="1"/>
  <c r="E21" i="15"/>
  <c r="G21" i="15" s="1"/>
  <c r="E20" i="10"/>
  <c r="G20" i="10" s="1"/>
  <c r="E21" i="9"/>
  <c r="G21" i="9" s="1"/>
  <c r="E21" i="17"/>
  <c r="G21" i="17" s="1"/>
  <c r="C2" i="62"/>
  <c r="C2" i="61"/>
  <c r="E2" i="61" s="1"/>
  <c r="G2" i="61" s="1"/>
  <c r="C2" i="53"/>
  <c r="C2" i="52"/>
  <c r="E2" i="52" s="1"/>
  <c r="G2" i="52" s="1"/>
  <c r="D2" i="8"/>
  <c r="C2" i="8" s="1"/>
  <c r="C2" i="22"/>
  <c r="E2" i="22" s="1"/>
  <c r="G2" i="22" s="1"/>
  <c r="C2" i="47"/>
  <c r="E2" i="47" s="1"/>
  <c r="G2" i="47" s="1"/>
  <c r="C2" i="40"/>
  <c r="E2" i="40" s="1"/>
  <c r="C2" i="19"/>
  <c r="E2" i="19" s="1"/>
  <c r="G2" i="19" s="1"/>
  <c r="C2" i="34"/>
  <c r="C2" i="12"/>
  <c r="E2" i="12" s="1"/>
  <c r="G2" i="12" s="1"/>
  <c r="C2" i="33"/>
  <c r="E2" i="33" s="1"/>
  <c r="G2" i="33" s="1"/>
  <c r="C2" i="15"/>
  <c r="C2" i="30"/>
  <c r="E2" i="30" s="1"/>
  <c r="G2" i="30" s="1"/>
  <c r="C2" i="10"/>
  <c r="C2" i="9"/>
  <c r="C2" i="17"/>
  <c r="E2" i="17" s="1"/>
  <c r="G2" i="17" s="1"/>
  <c r="F2" i="30" l="1"/>
  <c r="F2" i="33"/>
  <c r="F2" i="19"/>
  <c r="F2" i="17"/>
  <c r="E2" i="9"/>
  <c r="G2" i="9" s="1"/>
  <c r="F2" i="12"/>
  <c r="E2" i="34"/>
  <c r="G2" i="34" s="1"/>
  <c r="E2" i="10"/>
  <c r="G2" i="10" s="1"/>
  <c r="E2" i="15"/>
  <c r="G2" i="15" s="1"/>
  <c r="G2" i="40"/>
  <c r="F2" i="40"/>
  <c r="D3" i="8"/>
  <c r="E2" i="8"/>
  <c r="G2" i="8" s="1"/>
  <c r="F2" i="52"/>
  <c r="F2" i="22"/>
  <c r="F2" i="47"/>
  <c r="F2" i="61"/>
  <c r="E2" i="62"/>
  <c r="G2" i="62" s="1"/>
  <c r="E2" i="53"/>
  <c r="G2" i="53" s="1"/>
  <c r="F2" i="10" l="1"/>
  <c r="F2" i="9"/>
  <c r="F2" i="8"/>
  <c r="C3" i="8"/>
  <c r="F2" i="15"/>
  <c r="F2" i="34"/>
  <c r="F2" i="62"/>
  <c r="F2" i="53"/>
  <c r="D4" i="8" l="1"/>
  <c r="E3" i="8"/>
  <c r="G3" i="8" s="1"/>
  <c r="F3" i="8" l="1"/>
  <c r="C4" i="8"/>
  <c r="E4" i="8" l="1"/>
  <c r="G4" i="8" s="1"/>
  <c r="D5" i="8"/>
  <c r="F4" i="8" l="1"/>
  <c r="C5" i="8"/>
  <c r="D6" i="8" l="1"/>
  <c r="E5" i="8"/>
  <c r="G5" i="8" s="1"/>
  <c r="C6" i="8" l="1"/>
  <c r="F5" i="8"/>
  <c r="I11" i="40"/>
  <c r="I6" i="12"/>
  <c r="I25" i="34"/>
  <c r="D3" i="10"/>
  <c r="I6" i="34"/>
  <c r="I6" i="30"/>
  <c r="I5" i="47"/>
  <c r="D3" i="33"/>
  <c r="I22" i="34"/>
  <c r="I4" i="22"/>
  <c r="I34" i="30"/>
  <c r="I11" i="33"/>
  <c r="I16" i="33"/>
  <c r="I14" i="30"/>
  <c r="I26" i="30"/>
  <c r="I13" i="34"/>
  <c r="I13" i="52"/>
  <c r="I5" i="53"/>
  <c r="I5" i="22"/>
  <c r="I11" i="30"/>
  <c r="I23" i="34"/>
  <c r="I13" i="12"/>
  <c r="I3" i="33"/>
  <c r="I6" i="15"/>
  <c r="I22" i="40"/>
  <c r="I19" i="33"/>
  <c r="I8" i="61"/>
  <c r="I17" i="34"/>
  <c r="I5" i="40"/>
  <c r="I7" i="30"/>
  <c r="I26" i="34"/>
  <c r="I8" i="34"/>
  <c r="I6" i="52"/>
  <c r="I11" i="34"/>
  <c r="I8" i="15"/>
  <c r="I23" i="33"/>
  <c r="I5" i="10"/>
  <c r="I15" i="33"/>
  <c r="I7" i="62"/>
  <c r="D23" i="9"/>
  <c r="I4" i="47"/>
  <c r="I13" i="62"/>
  <c r="I10" i="40"/>
  <c r="I2" i="34"/>
  <c r="I6" i="40"/>
  <c r="I8" i="53"/>
  <c r="I6" i="22"/>
  <c r="I5" i="19"/>
  <c r="I15" i="30"/>
  <c r="D22" i="53"/>
  <c r="I28" i="40"/>
  <c r="I33" i="33"/>
  <c r="D3" i="9"/>
  <c r="I7" i="22"/>
  <c r="D23" i="15"/>
  <c r="I21" i="33"/>
  <c r="I24" i="40"/>
  <c r="I16" i="34"/>
  <c r="I3" i="19"/>
  <c r="I16" i="30"/>
  <c r="I31" i="33"/>
  <c r="I4" i="53"/>
  <c r="I12" i="33"/>
  <c r="D3" i="62"/>
  <c r="I17" i="40"/>
  <c r="I20" i="33"/>
  <c r="I8" i="52"/>
  <c r="I13" i="33"/>
  <c r="I7" i="61"/>
  <c r="I15" i="34"/>
  <c r="I2" i="52"/>
  <c r="I32" i="33"/>
  <c r="I3" i="15"/>
  <c r="I27" i="30"/>
  <c r="I29" i="33"/>
  <c r="I27" i="40"/>
  <c r="I5" i="9"/>
  <c r="I4" i="61"/>
  <c r="D3" i="12"/>
  <c r="I3" i="47"/>
  <c r="I6" i="33"/>
  <c r="I12" i="30"/>
  <c r="I13" i="30"/>
  <c r="I2" i="15"/>
  <c r="I23" i="40"/>
  <c r="I7" i="33"/>
  <c r="I13" i="22"/>
  <c r="I4" i="30"/>
  <c r="I4" i="40"/>
  <c r="I6" i="61"/>
  <c r="I3" i="22"/>
  <c r="I30" i="30"/>
  <c r="I7" i="19"/>
  <c r="I8" i="40"/>
  <c r="I9" i="40"/>
  <c r="I19" i="34"/>
  <c r="I4" i="12"/>
  <c r="I2" i="22"/>
  <c r="I2" i="33"/>
  <c r="I20" i="40"/>
  <c r="I7" i="34"/>
  <c r="I3" i="61"/>
  <c r="I13" i="10"/>
  <c r="I7" i="15"/>
  <c r="I7" i="40"/>
  <c r="I13" i="19"/>
  <c r="I6" i="62"/>
  <c r="I27" i="33"/>
  <c r="I9" i="34"/>
  <c r="I7" i="12"/>
  <c r="I6" i="53"/>
  <c r="I29" i="30"/>
  <c r="I7" i="47"/>
  <c r="I8" i="62"/>
  <c r="I10" i="34"/>
  <c r="I4" i="9"/>
  <c r="D3" i="52"/>
  <c r="I3" i="34"/>
  <c r="I14" i="40"/>
  <c r="D22" i="62"/>
  <c r="I18" i="34"/>
  <c r="I5" i="61"/>
  <c r="I4" i="62"/>
  <c r="I8" i="33"/>
  <c r="D22" i="22"/>
  <c r="I3" i="30"/>
  <c r="I26" i="33"/>
  <c r="I4" i="15"/>
  <c r="I6" i="47"/>
  <c r="I33" i="30"/>
  <c r="I12" i="34"/>
  <c r="D46" i="17"/>
  <c r="I3" i="53"/>
  <c r="I5" i="52"/>
  <c r="I7" i="10"/>
  <c r="I4" i="52"/>
  <c r="I2" i="40"/>
  <c r="I13" i="40"/>
  <c r="I24" i="34"/>
  <c r="I2" i="9"/>
  <c r="D3" i="19"/>
  <c r="I24" i="33"/>
  <c r="I8" i="22"/>
  <c r="D3" i="22"/>
  <c r="I2" i="19"/>
  <c r="I4" i="19"/>
  <c r="I19" i="40"/>
  <c r="I3" i="62"/>
  <c r="I14" i="34"/>
  <c r="I3" i="9"/>
  <c r="I3" i="40"/>
  <c r="I2" i="12"/>
  <c r="I4" i="34"/>
  <c r="I18" i="33"/>
  <c r="D22" i="12"/>
  <c r="I4" i="10"/>
  <c r="D22" i="61"/>
  <c r="I6" i="10"/>
  <c r="I22" i="33"/>
  <c r="I13" i="61"/>
  <c r="I9" i="30"/>
  <c r="I2" i="10"/>
  <c r="I5" i="30"/>
  <c r="I25" i="33"/>
  <c r="I9" i="33"/>
  <c r="I17" i="33"/>
  <c r="I30" i="40"/>
  <c r="D3" i="34"/>
  <c r="I5" i="33"/>
  <c r="I28" i="33"/>
  <c r="I28" i="30"/>
  <c r="I6" i="19"/>
  <c r="I8" i="47"/>
  <c r="D22" i="10"/>
  <c r="I10" i="33"/>
  <c r="D3" i="40"/>
  <c r="I28" i="34"/>
  <c r="I5" i="62"/>
  <c r="I13" i="47"/>
  <c r="I5" i="15"/>
  <c r="I16" i="40"/>
  <c r="I8" i="19"/>
  <c r="I29" i="40"/>
  <c r="I30" i="33"/>
  <c r="I15" i="40"/>
  <c r="I26" i="40"/>
  <c r="I31" i="30"/>
  <c r="I8" i="30"/>
  <c r="I2" i="53"/>
  <c r="I14" i="33"/>
  <c r="I21" i="34"/>
  <c r="I13" i="15"/>
  <c r="D3" i="47"/>
  <c r="I5" i="12"/>
  <c r="I7" i="52"/>
  <c r="I21" i="40"/>
  <c r="I8" i="10"/>
  <c r="D3" i="61"/>
  <c r="I3" i="52"/>
  <c r="I25" i="40"/>
  <c r="I13" i="53"/>
  <c r="I4" i="33"/>
  <c r="I2" i="61"/>
  <c r="D43" i="17"/>
  <c r="I27" i="34"/>
  <c r="D23" i="19"/>
  <c r="D3" i="17"/>
  <c r="I2" i="47"/>
  <c r="D22" i="52"/>
  <c r="I12" i="40"/>
  <c r="I3" i="10"/>
  <c r="I2" i="30"/>
  <c r="D3" i="30"/>
  <c r="I8" i="12"/>
  <c r="I18" i="40"/>
  <c r="I5" i="34"/>
  <c r="I7" i="53"/>
  <c r="I10" i="30"/>
  <c r="D3" i="53"/>
  <c r="D3" i="15"/>
  <c r="I2" i="62"/>
  <c r="C22" i="10" l="1"/>
  <c r="E22" i="10" s="1"/>
  <c r="G22" i="10" s="1"/>
  <c r="C3" i="15"/>
  <c r="E3" i="15" s="1"/>
  <c r="G3" i="15" s="1"/>
  <c r="C46" i="17"/>
  <c r="C23" i="19"/>
  <c r="E23" i="19" s="1"/>
  <c r="G23" i="19" s="1"/>
  <c r="C3" i="34"/>
  <c r="C3" i="19"/>
  <c r="C23" i="9"/>
  <c r="E23" i="9" s="1"/>
  <c r="G23" i="9" s="1"/>
  <c r="C43" i="17"/>
  <c r="C3" i="40"/>
  <c r="E3" i="40" s="1"/>
  <c r="G3" i="40" s="1"/>
  <c r="C22" i="52"/>
  <c r="E22" i="52" s="1"/>
  <c r="G22" i="52" s="1"/>
  <c r="C22" i="53"/>
  <c r="E22" i="53" s="1"/>
  <c r="G22" i="53" s="1"/>
  <c r="C3" i="52"/>
  <c r="E3" i="52" s="1"/>
  <c r="G3" i="52" s="1"/>
  <c r="C22" i="61"/>
  <c r="E22" i="61" s="1"/>
  <c r="G22" i="61" s="1"/>
  <c r="C3" i="12"/>
  <c r="E3" i="12" s="1"/>
  <c r="C3" i="10"/>
  <c r="C3" i="53"/>
  <c r="C22" i="22"/>
  <c r="E22" i="22" s="1"/>
  <c r="G22" i="22" s="1"/>
  <c r="C22" i="12"/>
  <c r="E22" i="12" s="1"/>
  <c r="G22" i="12" s="1"/>
  <c r="C3" i="62"/>
  <c r="C22" i="62"/>
  <c r="E22" i="62" s="1"/>
  <c r="G22" i="62" s="1"/>
  <c r="C23" i="15"/>
  <c r="E23" i="15" s="1"/>
  <c r="G23" i="15" s="1"/>
  <c r="C3" i="30"/>
  <c r="E3" i="30" s="1"/>
  <c r="C3" i="61"/>
  <c r="C3" i="47"/>
  <c r="C3" i="17"/>
  <c r="C3" i="33"/>
  <c r="C3" i="9"/>
  <c r="C3" i="22"/>
  <c r="E6" i="8"/>
  <c r="G6" i="8" s="1"/>
  <c r="D7" i="8"/>
  <c r="D4" i="22"/>
  <c r="D4" i="30"/>
  <c r="D4" i="15"/>
  <c r="D44" i="17"/>
  <c r="D47" i="17"/>
  <c r="D4" i="52"/>
  <c r="D4" i="33"/>
  <c r="D4" i="19"/>
  <c r="D4" i="62"/>
  <c r="D4" i="9"/>
  <c r="D4" i="34"/>
  <c r="D4" i="47"/>
  <c r="D4" i="10"/>
  <c r="D4" i="53"/>
  <c r="D4" i="12"/>
  <c r="D4" i="40"/>
  <c r="D4" i="61"/>
  <c r="D4" i="17"/>
  <c r="C4" i="9" l="1"/>
  <c r="E4" i="9" s="1"/>
  <c r="F4" i="9" s="1"/>
  <c r="C4" i="61"/>
  <c r="C4" i="30"/>
  <c r="E4" i="30" s="1"/>
  <c r="C4" i="19"/>
  <c r="C4" i="10"/>
  <c r="E4" i="10" s="1"/>
  <c r="C4" i="22"/>
  <c r="C4" i="52"/>
  <c r="C4" i="34"/>
  <c r="C4" i="62"/>
  <c r="C4" i="12"/>
  <c r="C4" i="33"/>
  <c r="C4" i="17"/>
  <c r="C44" i="17"/>
  <c r="E44" i="17" s="1"/>
  <c r="G44" i="17" s="1"/>
  <c r="C47" i="17"/>
  <c r="C4" i="47"/>
  <c r="C4" i="40"/>
  <c r="C4" i="15"/>
  <c r="C4" i="53"/>
  <c r="E3" i="9"/>
  <c r="E3" i="61"/>
  <c r="E3" i="19"/>
  <c r="G3" i="19" s="1"/>
  <c r="E3" i="34"/>
  <c r="G3" i="34" s="1"/>
  <c r="E3" i="62"/>
  <c r="E3" i="33"/>
  <c r="G3" i="33" s="1"/>
  <c r="E3" i="10"/>
  <c r="G3" i="10" s="1"/>
  <c r="E3" i="17"/>
  <c r="E43" i="17"/>
  <c r="E3" i="22"/>
  <c r="F3" i="22" s="1"/>
  <c r="E46" i="17"/>
  <c r="E3" i="47"/>
  <c r="E3" i="53"/>
  <c r="F3" i="15"/>
  <c r="F3" i="52"/>
  <c r="G3" i="12"/>
  <c r="F3" i="12"/>
  <c r="G3" i="30"/>
  <c r="F3" i="30"/>
  <c r="F3" i="40"/>
  <c r="C7" i="8"/>
  <c r="F6" i="8"/>
  <c r="D5" i="19"/>
  <c r="D5" i="9"/>
  <c r="D5" i="52"/>
  <c r="D5" i="61"/>
  <c r="D5" i="47"/>
  <c r="D5" i="62"/>
  <c r="D48" i="17"/>
  <c r="D5" i="10"/>
  <c r="D5" i="17"/>
  <c r="D5" i="53"/>
  <c r="D5" i="15"/>
  <c r="D5" i="40"/>
  <c r="D5" i="34"/>
  <c r="D5" i="22"/>
  <c r="D5" i="12"/>
  <c r="D5" i="33"/>
  <c r="D5" i="30"/>
  <c r="G3" i="22" l="1"/>
  <c r="C5" i="47"/>
  <c r="E5" i="47" s="1"/>
  <c r="G5" i="47" s="1"/>
  <c r="C5" i="17"/>
  <c r="E5" i="17" s="1"/>
  <c r="G5" i="17" s="1"/>
  <c r="C5" i="12"/>
  <c r="C5" i="52"/>
  <c r="C5" i="33"/>
  <c r="C5" i="62"/>
  <c r="C5" i="10"/>
  <c r="C48" i="17"/>
  <c r="C5" i="53"/>
  <c r="C5" i="30"/>
  <c r="C5" i="34"/>
  <c r="C5" i="22"/>
  <c r="E5" i="22" s="1"/>
  <c r="C5" i="15"/>
  <c r="E5" i="15" s="1"/>
  <c r="G5" i="15" s="1"/>
  <c r="C5" i="61"/>
  <c r="E5" i="61" s="1"/>
  <c r="G5" i="61" s="1"/>
  <c r="C5" i="19"/>
  <c r="C5" i="40"/>
  <c r="C5" i="9"/>
  <c r="E5" i="9" s="1"/>
  <c r="G43" i="17"/>
  <c r="F43" i="17"/>
  <c r="E4" i="17"/>
  <c r="G4" i="17" s="1"/>
  <c r="F3" i="34"/>
  <c r="E4" i="52"/>
  <c r="G3" i="17"/>
  <c r="F3" i="17"/>
  <c r="E4" i="33"/>
  <c r="G4" i="33" s="1"/>
  <c r="F44" i="17"/>
  <c r="E4" i="12"/>
  <c r="F4" i="12" s="1"/>
  <c r="G3" i="53"/>
  <c r="F3" i="53"/>
  <c r="F3" i="33"/>
  <c r="E47" i="17"/>
  <c r="G47" i="17" s="1"/>
  <c r="G3" i="62"/>
  <c r="F3" i="62"/>
  <c r="G3" i="61"/>
  <c r="F3" i="61"/>
  <c r="E4" i="53"/>
  <c r="E4" i="62"/>
  <c r="F4" i="62" s="1"/>
  <c r="E4" i="22"/>
  <c r="G4" i="22" s="1"/>
  <c r="F46" i="17"/>
  <c r="G46" i="17"/>
  <c r="E4" i="15"/>
  <c r="E4" i="61"/>
  <c r="F3" i="10"/>
  <c r="F3" i="9"/>
  <c r="G3" i="9"/>
  <c r="E4" i="47"/>
  <c r="G4" i="47" s="1"/>
  <c r="F3" i="19"/>
  <c r="E4" i="19"/>
  <c r="F3" i="47"/>
  <c r="G3" i="47"/>
  <c r="E4" i="34"/>
  <c r="G4" i="34" s="1"/>
  <c r="E4" i="40"/>
  <c r="G4" i="9"/>
  <c r="F4" i="30"/>
  <c r="G4" i="30"/>
  <c r="G4" i="10"/>
  <c r="F4" i="10"/>
  <c r="D8" i="8"/>
  <c r="E7" i="8"/>
  <c r="G7" i="8" s="1"/>
  <c r="D49" i="17"/>
  <c r="D6" i="52"/>
  <c r="D6" i="15"/>
  <c r="D6" i="33"/>
  <c r="D6" i="19"/>
  <c r="D6" i="47"/>
  <c r="D6" i="62"/>
  <c r="D6" i="61"/>
  <c r="D6" i="40"/>
  <c r="D6" i="22"/>
  <c r="D6" i="30"/>
  <c r="D6" i="10"/>
  <c r="D6" i="12"/>
  <c r="D6" i="9"/>
  <c r="D6" i="53"/>
  <c r="D6" i="17"/>
  <c r="D6" i="34"/>
  <c r="C49" i="17" l="1"/>
  <c r="F4" i="17"/>
  <c r="F4" i="47"/>
  <c r="F4" i="33"/>
  <c r="F4" i="22"/>
  <c r="F47" i="17"/>
  <c r="C6" i="19"/>
  <c r="E6" i="19" s="1"/>
  <c r="C6" i="61"/>
  <c r="C6" i="52"/>
  <c r="C6" i="12"/>
  <c r="C6" i="30"/>
  <c r="E6" i="30" s="1"/>
  <c r="G6" i="30" s="1"/>
  <c r="C6" i="17"/>
  <c r="C6" i="34"/>
  <c r="C6" i="53"/>
  <c r="C6" i="10"/>
  <c r="E6" i="10" s="1"/>
  <c r="G6" i="10" s="1"/>
  <c r="C6" i="62"/>
  <c r="C6" i="33"/>
  <c r="C6" i="9"/>
  <c r="E6" i="9" s="1"/>
  <c r="F6" i="9" s="1"/>
  <c r="C6" i="15"/>
  <c r="C6" i="22"/>
  <c r="C6" i="40"/>
  <c r="E6" i="40" s="1"/>
  <c r="F6" i="40" s="1"/>
  <c r="C6" i="47"/>
  <c r="E5" i="19"/>
  <c r="G5" i="19" s="1"/>
  <c r="F4" i="61"/>
  <c r="G4" i="61"/>
  <c r="G4" i="12"/>
  <c r="G4" i="53"/>
  <c r="F4" i="53"/>
  <c r="G4" i="52"/>
  <c r="F4" i="52"/>
  <c r="E48" i="17"/>
  <c r="G4" i="40"/>
  <c r="F4" i="40"/>
  <c r="G4" i="19"/>
  <c r="F4" i="19"/>
  <c r="G4" i="62"/>
  <c r="E5" i="52"/>
  <c r="F4" i="15"/>
  <c r="G4" i="15"/>
  <c r="E5" i="12"/>
  <c r="E5" i="30"/>
  <c r="G5" i="30" s="1"/>
  <c r="F5" i="47"/>
  <c r="E5" i="34"/>
  <c r="G5" i="34" s="1"/>
  <c r="E5" i="53"/>
  <c r="E5" i="10"/>
  <c r="E5" i="62"/>
  <c r="G5" i="62" s="1"/>
  <c r="E5" i="33"/>
  <c r="F4" i="34"/>
  <c r="E5" i="40"/>
  <c r="F5" i="61"/>
  <c r="F5" i="15"/>
  <c r="G5" i="22"/>
  <c r="F5" i="22"/>
  <c r="G5" i="9"/>
  <c r="F5" i="9"/>
  <c r="F5" i="17"/>
  <c r="C8" i="8"/>
  <c r="F7" i="8"/>
  <c r="D7" i="30"/>
  <c r="D7" i="17"/>
  <c r="D13" i="9"/>
  <c r="D13" i="19"/>
  <c r="D7" i="9"/>
  <c r="D13" i="10"/>
  <c r="D7" i="52"/>
  <c r="D13" i="52"/>
  <c r="D7" i="12"/>
  <c r="D13" i="15"/>
  <c r="D7" i="62"/>
  <c r="D7" i="19"/>
  <c r="D7" i="10"/>
  <c r="D7" i="53"/>
  <c r="D13" i="61"/>
  <c r="D7" i="22"/>
  <c r="D7" i="40"/>
  <c r="D13" i="47"/>
  <c r="D13" i="62"/>
  <c r="D7" i="34"/>
  <c r="D7" i="33"/>
  <c r="D7" i="61"/>
  <c r="D13" i="22"/>
  <c r="D7" i="15"/>
  <c r="D13" i="53"/>
  <c r="D13" i="12"/>
  <c r="D7" i="47"/>
  <c r="E49" i="17" l="1"/>
  <c r="G49" i="17" s="1"/>
  <c r="F5" i="62"/>
  <c r="F5" i="30"/>
  <c r="F5" i="19"/>
  <c r="C7" i="53"/>
  <c r="C7" i="34"/>
  <c r="C7" i="33"/>
  <c r="E7" i="33" s="1"/>
  <c r="C7" i="30"/>
  <c r="C7" i="22"/>
  <c r="E7" i="22" s="1"/>
  <c r="G7" i="22" s="1"/>
  <c r="C7" i="12"/>
  <c r="C7" i="62"/>
  <c r="C7" i="52"/>
  <c r="E7" i="52" s="1"/>
  <c r="F7" i="52" s="1"/>
  <c r="C7" i="15"/>
  <c r="C7" i="17"/>
  <c r="C7" i="47"/>
  <c r="E7" i="47" s="1"/>
  <c r="G7" i="47" s="1"/>
  <c r="C7" i="61"/>
  <c r="C7" i="9"/>
  <c r="E7" i="9" s="1"/>
  <c r="C7" i="10"/>
  <c r="C7" i="40"/>
  <c r="C7" i="19"/>
  <c r="E7" i="19" s="1"/>
  <c r="G5" i="33"/>
  <c r="F5" i="33"/>
  <c r="E6" i="53"/>
  <c r="G5" i="10"/>
  <c r="F5" i="10"/>
  <c r="G5" i="40"/>
  <c r="F5" i="40"/>
  <c r="E6" i="12"/>
  <c r="G6" i="12" s="1"/>
  <c r="G5" i="52"/>
  <c r="F5" i="52"/>
  <c r="G5" i="53"/>
  <c r="F5" i="53"/>
  <c r="E6" i="62"/>
  <c r="G6" i="62" s="1"/>
  <c r="E6" i="34"/>
  <c r="G6" i="34" s="1"/>
  <c r="E6" i="52"/>
  <c r="G6" i="52" s="1"/>
  <c r="G48" i="17"/>
  <c r="F48" i="17"/>
  <c r="G5" i="12"/>
  <c r="F5" i="12"/>
  <c r="F5" i="34"/>
  <c r="E6" i="17"/>
  <c r="E6" i="33"/>
  <c r="G6" i="33" s="1"/>
  <c r="E6" i="15"/>
  <c r="F6" i="15" s="1"/>
  <c r="E6" i="47"/>
  <c r="E6" i="61"/>
  <c r="E6" i="22"/>
  <c r="G6" i="22" s="1"/>
  <c r="G6" i="40"/>
  <c r="F6" i="30"/>
  <c r="E8" i="17"/>
  <c r="F8" i="17" s="1"/>
  <c r="F6" i="10"/>
  <c r="G6" i="9"/>
  <c r="F6" i="19"/>
  <c r="G6" i="19"/>
  <c r="C13" i="9"/>
  <c r="C13" i="61"/>
  <c r="C13" i="62"/>
  <c r="E13" i="62" s="1"/>
  <c r="G13" i="62" s="1"/>
  <c r="C13" i="12"/>
  <c r="E13" i="12" s="1"/>
  <c r="G13" i="12" s="1"/>
  <c r="C13" i="52"/>
  <c r="C13" i="53"/>
  <c r="C13" i="10"/>
  <c r="C13" i="19"/>
  <c r="C13" i="15"/>
  <c r="E13" i="15" s="1"/>
  <c r="C13" i="47"/>
  <c r="C13" i="22"/>
  <c r="D9" i="8"/>
  <c r="E8" i="8"/>
  <c r="G8" i="8" s="1"/>
  <c r="D8" i="9"/>
  <c r="D8" i="53"/>
  <c r="D14" i="19"/>
  <c r="D14" i="10"/>
  <c r="D8" i="61"/>
  <c r="D50" i="17"/>
  <c r="D8" i="12"/>
  <c r="D14" i="15"/>
  <c r="D8" i="62"/>
  <c r="D8" i="15"/>
  <c r="D8" i="22"/>
  <c r="D14" i="61"/>
  <c r="D14" i="22"/>
  <c r="D8" i="34"/>
  <c r="D14" i="52"/>
  <c r="D14" i="47"/>
  <c r="D8" i="17"/>
  <c r="D14" i="12"/>
  <c r="D14" i="53"/>
  <c r="D8" i="19"/>
  <c r="D14" i="62"/>
  <c r="D14" i="9"/>
  <c r="D8" i="40"/>
  <c r="D8" i="52"/>
  <c r="D8" i="33"/>
  <c r="D8" i="30"/>
  <c r="D13" i="17"/>
  <c r="D8" i="10"/>
  <c r="D8" i="47"/>
  <c r="F49" i="17" l="1"/>
  <c r="F6" i="22"/>
  <c r="F6" i="33"/>
  <c r="G7" i="33"/>
  <c r="F7" i="33"/>
  <c r="F6" i="12"/>
  <c r="G6" i="15"/>
  <c r="E7" i="15"/>
  <c r="G7" i="15" s="1"/>
  <c r="C8" i="10"/>
  <c r="E8" i="10" s="1"/>
  <c r="G8" i="10" s="1"/>
  <c r="C8" i="9"/>
  <c r="E8" i="9" s="1"/>
  <c r="G8" i="9" s="1"/>
  <c r="C50" i="17"/>
  <c r="C8" i="52"/>
  <c r="E8" i="52" s="1"/>
  <c r="G8" i="52" s="1"/>
  <c r="C8" i="12"/>
  <c r="E8" i="12" s="1"/>
  <c r="G8" i="12" s="1"/>
  <c r="C8" i="22"/>
  <c r="E8" i="22" s="1"/>
  <c r="G8" i="22" s="1"/>
  <c r="C8" i="15"/>
  <c r="E8" i="15" s="1"/>
  <c r="G8" i="15" s="1"/>
  <c r="C8" i="30"/>
  <c r="E8" i="30" s="1"/>
  <c r="C8" i="47"/>
  <c r="E8" i="47" s="1"/>
  <c r="G8" i="47" s="1"/>
  <c r="C8" i="33"/>
  <c r="C8" i="61"/>
  <c r="E8" i="61" s="1"/>
  <c r="G8" i="61" s="1"/>
  <c r="C8" i="34"/>
  <c r="C8" i="62"/>
  <c r="E8" i="62" s="1"/>
  <c r="G8" i="62" s="1"/>
  <c r="C8" i="19"/>
  <c r="E8" i="19" s="1"/>
  <c r="G8" i="19" s="1"/>
  <c r="C8" i="40"/>
  <c r="C8" i="53"/>
  <c r="E8" i="53" s="1"/>
  <c r="G8" i="53" s="1"/>
  <c r="E7" i="10"/>
  <c r="G7" i="10" s="1"/>
  <c r="G6" i="61"/>
  <c r="F6" i="61"/>
  <c r="E7" i="12"/>
  <c r="G6" i="17"/>
  <c r="F6" i="17"/>
  <c r="G6" i="53"/>
  <c r="F6" i="53"/>
  <c r="F6" i="34"/>
  <c r="F6" i="62"/>
  <c r="E7" i="34"/>
  <c r="E7" i="62"/>
  <c r="E7" i="17"/>
  <c r="G7" i="17" s="1"/>
  <c r="F6" i="52"/>
  <c r="E7" i="61"/>
  <c r="G7" i="61" s="1"/>
  <c r="E7" i="30"/>
  <c r="F7" i="30" s="1"/>
  <c r="G6" i="47"/>
  <c r="F6" i="47"/>
  <c r="E7" i="40"/>
  <c r="E7" i="53"/>
  <c r="G7" i="19"/>
  <c r="F7" i="19"/>
  <c r="G7" i="52"/>
  <c r="G7" i="9"/>
  <c r="F7" i="9"/>
  <c r="F7" i="47"/>
  <c r="F7" i="22"/>
  <c r="G8" i="17"/>
  <c r="C14" i="47"/>
  <c r="E14" i="47" s="1"/>
  <c r="G14" i="47" s="1"/>
  <c r="C14" i="22"/>
  <c r="E14" i="22" s="1"/>
  <c r="F14" i="22" s="1"/>
  <c r="C14" i="12"/>
  <c r="C14" i="19"/>
  <c r="E14" i="19" s="1"/>
  <c r="G14" i="19" s="1"/>
  <c r="C14" i="10"/>
  <c r="C14" i="62"/>
  <c r="C14" i="52"/>
  <c r="C14" i="61"/>
  <c r="E14" i="61" s="1"/>
  <c r="C14" i="15"/>
  <c r="C14" i="53"/>
  <c r="E14" i="53" s="1"/>
  <c r="C14" i="9"/>
  <c r="E13" i="47"/>
  <c r="E13" i="22"/>
  <c r="G13" i="22" s="1"/>
  <c r="E13" i="52"/>
  <c r="E13" i="53"/>
  <c r="E13" i="19"/>
  <c r="F13" i="19" s="1"/>
  <c r="E13" i="9"/>
  <c r="E13" i="10"/>
  <c r="F13" i="10" s="1"/>
  <c r="E13" i="61"/>
  <c r="F13" i="61" s="1"/>
  <c r="F13" i="62"/>
  <c r="F13" i="15"/>
  <c r="G13" i="15"/>
  <c r="F13" i="12"/>
  <c r="F8" i="8"/>
  <c r="C9" i="8"/>
  <c r="D23" i="12"/>
  <c r="D15" i="22"/>
  <c r="D9" i="30"/>
  <c r="D15" i="9"/>
  <c r="D22" i="47"/>
  <c r="D15" i="12"/>
  <c r="D23" i="52"/>
  <c r="D51" i="17"/>
  <c r="D9" i="33"/>
  <c r="D15" i="62"/>
  <c r="D15" i="53"/>
  <c r="D15" i="52"/>
  <c r="D23" i="53"/>
  <c r="D15" i="10"/>
  <c r="D23" i="22"/>
  <c r="D15" i="47"/>
  <c r="D23" i="10"/>
  <c r="D23" i="17"/>
  <c r="D14" i="17"/>
  <c r="D23" i="62"/>
  <c r="D15" i="15"/>
  <c r="D15" i="61"/>
  <c r="D15" i="19"/>
  <c r="D23" i="61"/>
  <c r="D9" i="34"/>
  <c r="D9" i="40"/>
  <c r="F7" i="61" l="1"/>
  <c r="F8" i="61"/>
  <c r="F8" i="9"/>
  <c r="F8" i="53"/>
  <c r="F8" i="15"/>
  <c r="F8" i="52"/>
  <c r="F8" i="10"/>
  <c r="F7" i="15"/>
  <c r="F8" i="22"/>
  <c r="F8" i="12"/>
  <c r="G7" i="30"/>
  <c r="C9" i="40"/>
  <c r="E9" i="40" s="1"/>
  <c r="C9" i="33"/>
  <c r="E9" i="33" s="1"/>
  <c r="C9" i="34"/>
  <c r="C51" i="17"/>
  <c r="E51" i="17" s="1"/>
  <c r="G51" i="17" s="1"/>
  <c r="C9" i="30"/>
  <c r="E8" i="40"/>
  <c r="G8" i="40" s="1"/>
  <c r="F8" i="62"/>
  <c r="F8" i="19"/>
  <c r="E8" i="33"/>
  <c r="G7" i="62"/>
  <c r="F7" i="62"/>
  <c r="G7" i="34"/>
  <c r="F7" i="34"/>
  <c r="F7" i="53"/>
  <c r="G7" i="53"/>
  <c r="G7" i="40"/>
  <c r="F7" i="40"/>
  <c r="F7" i="17"/>
  <c r="G7" i="12"/>
  <c r="F7" i="12"/>
  <c r="F8" i="47"/>
  <c r="E50" i="17"/>
  <c r="E8" i="34"/>
  <c r="F8" i="34" s="1"/>
  <c r="F7" i="10"/>
  <c r="G13" i="19"/>
  <c r="F13" i="22"/>
  <c r="C14" i="17"/>
  <c r="E14" i="17" s="1"/>
  <c r="G8" i="30"/>
  <c r="F8" i="30"/>
  <c r="E13" i="17"/>
  <c r="G13" i="10"/>
  <c r="C15" i="61"/>
  <c r="E15" i="61" s="1"/>
  <c r="C15" i="53"/>
  <c r="E15" i="53" s="1"/>
  <c r="F15" i="53" s="1"/>
  <c r="C15" i="52"/>
  <c r="C15" i="15"/>
  <c r="E15" i="15" s="1"/>
  <c r="G15" i="15" s="1"/>
  <c r="C15" i="62"/>
  <c r="E15" i="62" s="1"/>
  <c r="C15" i="10"/>
  <c r="C15" i="9"/>
  <c r="C15" i="19"/>
  <c r="C15" i="12"/>
  <c r="C15" i="22"/>
  <c r="C15" i="47"/>
  <c r="E15" i="47" s="1"/>
  <c r="G15" i="47" s="1"/>
  <c r="G13" i="61"/>
  <c r="F13" i="52"/>
  <c r="G13" i="52"/>
  <c r="E14" i="52"/>
  <c r="E14" i="15"/>
  <c r="E14" i="62"/>
  <c r="E14" i="10"/>
  <c r="E14" i="9"/>
  <c r="F13" i="9"/>
  <c r="G13" i="9"/>
  <c r="E14" i="12"/>
  <c r="G13" i="47"/>
  <c r="F13" i="47"/>
  <c r="G13" i="53"/>
  <c r="F13" i="53"/>
  <c r="F14" i="19"/>
  <c r="G14" i="61"/>
  <c r="F14" i="61"/>
  <c r="F14" i="47"/>
  <c r="G14" i="53"/>
  <c r="F14" i="53"/>
  <c r="G14" i="22"/>
  <c r="C23" i="12"/>
  <c r="C23" i="22"/>
  <c r="C23" i="52"/>
  <c r="C23" i="53"/>
  <c r="C23" i="10"/>
  <c r="C23" i="62"/>
  <c r="C23" i="61"/>
  <c r="C23" i="17"/>
  <c r="E23" i="17" s="1"/>
  <c r="G23" i="17" s="1"/>
  <c r="E20" i="47"/>
  <c r="E9" i="8"/>
  <c r="G9" i="8" s="1"/>
  <c r="D10" i="8"/>
  <c r="D24" i="52"/>
  <c r="D16" i="15"/>
  <c r="D24" i="62"/>
  <c r="D16" i="62"/>
  <c r="D15" i="17"/>
  <c r="D16" i="22"/>
  <c r="D24" i="22"/>
  <c r="D24" i="61"/>
  <c r="D10" i="34"/>
  <c r="D24" i="19"/>
  <c r="D24" i="53"/>
  <c r="D16" i="61"/>
  <c r="D24" i="9"/>
  <c r="D24" i="12"/>
  <c r="D16" i="53"/>
  <c r="D16" i="52"/>
  <c r="D16" i="9"/>
  <c r="D24" i="17"/>
  <c r="D10" i="33"/>
  <c r="D16" i="19"/>
  <c r="D10" i="40"/>
  <c r="D16" i="12"/>
  <c r="D16" i="10"/>
  <c r="D24" i="10"/>
  <c r="D16" i="47"/>
  <c r="D23" i="47"/>
  <c r="D24" i="15"/>
  <c r="D10" i="30"/>
  <c r="F8" i="40" l="1"/>
  <c r="F51" i="17"/>
  <c r="C10" i="30"/>
  <c r="C10" i="34"/>
  <c r="C10" i="33"/>
  <c r="C10" i="40"/>
  <c r="E9" i="30"/>
  <c r="G8" i="33"/>
  <c r="F8" i="33"/>
  <c r="G8" i="34"/>
  <c r="E9" i="34"/>
  <c r="G50" i="17"/>
  <c r="F50" i="17"/>
  <c r="C15" i="17"/>
  <c r="E15" i="17" s="1"/>
  <c r="G9" i="33"/>
  <c r="F9" i="33"/>
  <c r="F13" i="17"/>
  <c r="G13" i="17"/>
  <c r="G9" i="40"/>
  <c r="F9" i="40"/>
  <c r="C16" i="9"/>
  <c r="C16" i="10"/>
  <c r="E16" i="10" s="1"/>
  <c r="G16" i="10" s="1"/>
  <c r="C16" i="62"/>
  <c r="C16" i="15"/>
  <c r="C16" i="52"/>
  <c r="C16" i="22"/>
  <c r="C16" i="53"/>
  <c r="C16" i="12"/>
  <c r="C16" i="19"/>
  <c r="E16" i="19" s="1"/>
  <c r="C16" i="61"/>
  <c r="C16" i="47"/>
  <c r="G14" i="10"/>
  <c r="F14" i="10"/>
  <c r="G14" i="62"/>
  <c r="F14" i="62"/>
  <c r="E15" i="9"/>
  <c r="G15" i="9" s="1"/>
  <c r="E15" i="10"/>
  <c r="F14" i="52"/>
  <c r="G14" i="52"/>
  <c r="G14" i="12"/>
  <c r="F14" i="12"/>
  <c r="E15" i="52"/>
  <c r="E15" i="22"/>
  <c r="G15" i="22" s="1"/>
  <c r="F14" i="17"/>
  <c r="G14" i="17"/>
  <c r="E15" i="12"/>
  <c r="G15" i="12" s="1"/>
  <c r="E15" i="19"/>
  <c r="G14" i="15"/>
  <c r="F14" i="15"/>
  <c r="G14" i="9"/>
  <c r="F14" i="9"/>
  <c r="F15" i="15"/>
  <c r="G15" i="53"/>
  <c r="F15" i="61"/>
  <c r="G15" i="61"/>
  <c r="F15" i="47"/>
  <c r="G15" i="62"/>
  <c r="F15" i="62"/>
  <c r="C24" i="61"/>
  <c r="C24" i="53"/>
  <c r="C24" i="52"/>
  <c r="C24" i="62"/>
  <c r="C23" i="47"/>
  <c r="C24" i="17"/>
  <c r="C24" i="22"/>
  <c r="C24" i="9"/>
  <c r="C24" i="10"/>
  <c r="C24" i="19"/>
  <c r="C24" i="15"/>
  <c r="C24" i="12"/>
  <c r="E23" i="61"/>
  <c r="G23" i="61" s="1"/>
  <c r="E23" i="53"/>
  <c r="G23" i="53" s="1"/>
  <c r="E23" i="52"/>
  <c r="G23" i="52" s="1"/>
  <c r="E23" i="62"/>
  <c r="G23" i="62" s="1"/>
  <c r="C10" i="8"/>
  <c r="E22" i="47"/>
  <c r="G22" i="47" s="1"/>
  <c r="F9" i="8"/>
  <c r="E23" i="22"/>
  <c r="G23" i="22" s="1"/>
  <c r="E23" i="10"/>
  <c r="G23" i="10" s="1"/>
  <c r="E23" i="12"/>
  <c r="G23" i="12" s="1"/>
  <c r="D11" i="34"/>
  <c r="D17" i="62"/>
  <c r="D17" i="10"/>
  <c r="D25" i="17"/>
  <c r="D25" i="62"/>
  <c r="D11" i="40"/>
  <c r="D25" i="61"/>
  <c r="D25" i="15"/>
  <c r="D17" i="22"/>
  <c r="D25" i="10"/>
  <c r="D25" i="22"/>
  <c r="D25" i="53"/>
  <c r="D16" i="17"/>
  <c r="D17" i="15"/>
  <c r="D25" i="12"/>
  <c r="D11" i="30"/>
  <c r="D17" i="61"/>
  <c r="D11" i="33"/>
  <c r="D25" i="19"/>
  <c r="D25" i="9"/>
  <c r="D17" i="53"/>
  <c r="D17" i="9"/>
  <c r="D25" i="52"/>
  <c r="D17" i="47"/>
  <c r="D17" i="12"/>
  <c r="D17" i="52"/>
  <c r="D17" i="19"/>
  <c r="C11" i="40" l="1"/>
  <c r="C11" i="33"/>
  <c r="C11" i="34"/>
  <c r="C11" i="30"/>
  <c r="F9" i="34"/>
  <c r="G9" i="34"/>
  <c r="G9" i="30"/>
  <c r="F9" i="30"/>
  <c r="E10" i="40"/>
  <c r="E10" i="33"/>
  <c r="E10" i="34"/>
  <c r="E10" i="30"/>
  <c r="C16" i="17"/>
  <c r="E16" i="17" s="1"/>
  <c r="G16" i="17" s="1"/>
  <c r="F15" i="9"/>
  <c r="C17" i="61"/>
  <c r="C17" i="52"/>
  <c r="E17" i="52" s="1"/>
  <c r="C17" i="47"/>
  <c r="C17" i="53"/>
  <c r="C17" i="15"/>
  <c r="C17" i="12"/>
  <c r="E17" i="12" s="1"/>
  <c r="G17" i="12" s="1"/>
  <c r="C17" i="22"/>
  <c r="C17" i="62"/>
  <c r="C17" i="10"/>
  <c r="C17" i="9"/>
  <c r="C17" i="19"/>
  <c r="G15" i="17"/>
  <c r="F15" i="17"/>
  <c r="G15" i="10"/>
  <c r="F15" i="10"/>
  <c r="E16" i="52"/>
  <c r="G16" i="52" s="1"/>
  <c r="E16" i="47"/>
  <c r="G16" i="47" s="1"/>
  <c r="E16" i="53"/>
  <c r="G16" i="53" s="1"/>
  <c r="E16" i="22"/>
  <c r="E16" i="62"/>
  <c r="G15" i="52"/>
  <c r="F15" i="52"/>
  <c r="G15" i="19"/>
  <c r="F15" i="19"/>
  <c r="E16" i="9"/>
  <c r="E16" i="61"/>
  <c r="G16" i="61" s="1"/>
  <c r="E16" i="15"/>
  <c r="G16" i="15" s="1"/>
  <c r="F15" i="12"/>
  <c r="E16" i="12"/>
  <c r="G16" i="12" s="1"/>
  <c r="F15" i="22"/>
  <c r="F16" i="10"/>
  <c r="G16" i="19"/>
  <c r="F16" i="19"/>
  <c r="F23" i="52"/>
  <c r="F23" i="22"/>
  <c r="C25" i="52"/>
  <c r="C25" i="62"/>
  <c r="C25" i="17"/>
  <c r="C25" i="10"/>
  <c r="C25" i="12"/>
  <c r="C25" i="22"/>
  <c r="C25" i="9"/>
  <c r="C25" i="53"/>
  <c r="C25" i="61"/>
  <c r="C25" i="19"/>
  <c r="C25" i="15"/>
  <c r="E24" i="52"/>
  <c r="G24" i="52" s="1"/>
  <c r="E24" i="62"/>
  <c r="G24" i="62" s="1"/>
  <c r="E24" i="17"/>
  <c r="G24" i="17" s="1"/>
  <c r="E24" i="10"/>
  <c r="G24" i="10" s="1"/>
  <c r="E24" i="12"/>
  <c r="G24" i="12" s="1"/>
  <c r="D11" i="8"/>
  <c r="E10" i="8"/>
  <c r="G10" i="8" s="1"/>
  <c r="E24" i="22"/>
  <c r="G24" i="22" s="1"/>
  <c r="F23" i="53"/>
  <c r="F23" i="61"/>
  <c r="E24" i="9"/>
  <c r="G24" i="9" s="1"/>
  <c r="E24" i="53"/>
  <c r="G24" i="53" s="1"/>
  <c r="F23" i="62"/>
  <c r="E23" i="47"/>
  <c r="G23" i="47" s="1"/>
  <c r="E24" i="61"/>
  <c r="G24" i="61" s="1"/>
  <c r="F23" i="12"/>
  <c r="F23" i="10"/>
  <c r="E24" i="19"/>
  <c r="G24" i="19" s="1"/>
  <c r="E24" i="15"/>
  <c r="G24" i="15" s="1"/>
  <c r="D18" i="52"/>
  <c r="D18" i="47"/>
  <c r="D12" i="30"/>
  <c r="D26" i="22"/>
  <c r="D26" i="62"/>
  <c r="D12" i="33"/>
  <c r="D18" i="53"/>
  <c r="D18" i="9"/>
  <c r="D18" i="61"/>
  <c r="D26" i="9"/>
  <c r="D26" i="52"/>
  <c r="D26" i="10"/>
  <c r="D18" i="15"/>
  <c r="D18" i="10"/>
  <c r="D12" i="34"/>
  <c r="D26" i="19"/>
  <c r="D26" i="17"/>
  <c r="D17" i="17"/>
  <c r="D18" i="19"/>
  <c r="D26" i="53"/>
  <c r="D18" i="22"/>
  <c r="D18" i="62"/>
  <c r="D26" i="15"/>
  <c r="D26" i="12"/>
  <c r="D18" i="12"/>
  <c r="D26" i="61"/>
  <c r="D12" i="40"/>
  <c r="C12" i="30" l="1"/>
  <c r="C12" i="34"/>
  <c r="C12" i="33"/>
  <c r="E12" i="33" s="1"/>
  <c r="C12" i="40"/>
  <c r="G10" i="30"/>
  <c r="F10" i="30"/>
  <c r="G10" i="34"/>
  <c r="F10" i="34"/>
  <c r="G10" i="40"/>
  <c r="F10" i="40"/>
  <c r="F10" i="33"/>
  <c r="G10" i="33"/>
  <c r="E11" i="30"/>
  <c r="E11" i="34"/>
  <c r="G11" i="34" s="1"/>
  <c r="E11" i="33"/>
  <c r="E11" i="40"/>
  <c r="C17" i="17"/>
  <c r="F16" i="53"/>
  <c r="F16" i="17"/>
  <c r="F16" i="15"/>
  <c r="F16" i="61"/>
  <c r="F16" i="47"/>
  <c r="F16" i="52"/>
  <c r="F16" i="12"/>
  <c r="C18" i="19"/>
  <c r="C18" i="10"/>
  <c r="E18" i="10" s="1"/>
  <c r="G18" i="10" s="1"/>
  <c r="C18" i="12"/>
  <c r="E18" i="12" s="1"/>
  <c r="C18" i="15"/>
  <c r="E18" i="15" s="1"/>
  <c r="G18" i="15" s="1"/>
  <c r="C18" i="62"/>
  <c r="C18" i="53"/>
  <c r="C18" i="47"/>
  <c r="C18" i="22"/>
  <c r="C18" i="52"/>
  <c r="C18" i="9"/>
  <c r="C18" i="61"/>
  <c r="E17" i="19"/>
  <c r="E17" i="10"/>
  <c r="E17" i="15"/>
  <c r="E17" i="62"/>
  <c r="G17" i="62" s="1"/>
  <c r="E17" i="47"/>
  <c r="G16" i="62"/>
  <c r="F16" i="62"/>
  <c r="F16" i="22"/>
  <c r="G16" i="22"/>
  <c r="E17" i="22"/>
  <c r="G17" i="22" s="1"/>
  <c r="E17" i="9"/>
  <c r="E17" i="53"/>
  <c r="F17" i="53" s="1"/>
  <c r="G16" i="9"/>
  <c r="F16" i="9"/>
  <c r="E17" i="61"/>
  <c r="F17" i="12"/>
  <c r="F17" i="52"/>
  <c r="G17" i="52"/>
  <c r="F24" i="19"/>
  <c r="F24" i="10"/>
  <c r="F24" i="9"/>
  <c r="F24" i="52"/>
  <c r="C26" i="10"/>
  <c r="C26" i="9"/>
  <c r="C26" i="22"/>
  <c r="C26" i="17"/>
  <c r="C26" i="19"/>
  <c r="C26" i="61"/>
  <c r="C26" i="62"/>
  <c r="C26" i="12"/>
  <c r="C26" i="15"/>
  <c r="C26" i="53"/>
  <c r="C26" i="52"/>
  <c r="E25" i="10"/>
  <c r="G25" i="10" s="1"/>
  <c r="E25" i="9"/>
  <c r="G25" i="9" s="1"/>
  <c r="F10" i="8"/>
  <c r="E25" i="22"/>
  <c r="G25" i="22" s="1"/>
  <c r="E25" i="17"/>
  <c r="G25" i="17" s="1"/>
  <c r="F24" i="62"/>
  <c r="E25" i="19"/>
  <c r="G25" i="19" s="1"/>
  <c r="C11" i="8"/>
  <c r="F24" i="61"/>
  <c r="F24" i="12"/>
  <c r="E25" i="61"/>
  <c r="G25" i="61" s="1"/>
  <c r="E25" i="62"/>
  <c r="G25" i="62" s="1"/>
  <c r="E25" i="12"/>
  <c r="G25" i="12" s="1"/>
  <c r="F24" i="15"/>
  <c r="F24" i="22"/>
  <c r="E25" i="15"/>
  <c r="G25" i="15" s="1"/>
  <c r="E25" i="53"/>
  <c r="G25" i="53" s="1"/>
  <c r="F24" i="17"/>
  <c r="F24" i="53"/>
  <c r="F23" i="47"/>
  <c r="E25" i="52"/>
  <c r="G25" i="52" s="1"/>
  <c r="D19" i="62"/>
  <c r="D27" i="52"/>
  <c r="D13" i="40"/>
  <c r="D27" i="12"/>
  <c r="D18" i="17"/>
  <c r="D13" i="34"/>
  <c r="D19" i="52"/>
  <c r="D27" i="53"/>
  <c r="D13" i="33"/>
  <c r="D27" i="19"/>
  <c r="D19" i="22"/>
  <c r="D27" i="62"/>
  <c r="D13" i="30"/>
  <c r="D27" i="15"/>
  <c r="D19" i="53"/>
  <c r="D19" i="9"/>
  <c r="D19" i="15"/>
  <c r="D27" i="22"/>
  <c r="D27" i="10"/>
  <c r="D27" i="61"/>
  <c r="D27" i="9"/>
  <c r="D19" i="47"/>
  <c r="D19" i="61"/>
  <c r="D19" i="10"/>
  <c r="D19" i="19"/>
  <c r="D27" i="17"/>
  <c r="D19" i="12"/>
  <c r="F11" i="34" l="1"/>
  <c r="C13" i="40"/>
  <c r="C13" i="33"/>
  <c r="E13" i="33" s="1"/>
  <c r="C13" i="34"/>
  <c r="E13" i="34" s="1"/>
  <c r="C13" i="30"/>
  <c r="F11" i="30"/>
  <c r="G11" i="30"/>
  <c r="F11" i="33"/>
  <c r="G11" i="33"/>
  <c r="G11" i="40"/>
  <c r="F11" i="40"/>
  <c r="E12" i="40"/>
  <c r="E12" i="34"/>
  <c r="E12" i="30"/>
  <c r="C18" i="17"/>
  <c r="G12" i="33"/>
  <c r="F12" i="33"/>
  <c r="G17" i="53"/>
  <c r="E17" i="17"/>
  <c r="F17" i="17" s="1"/>
  <c r="F17" i="22"/>
  <c r="C19" i="47"/>
  <c r="C19" i="53"/>
  <c r="E19" i="53" s="1"/>
  <c r="G19" i="53" s="1"/>
  <c r="C19" i="62"/>
  <c r="E19" i="62" s="1"/>
  <c r="G19" i="62" s="1"/>
  <c r="C19" i="52"/>
  <c r="E19" i="52" s="1"/>
  <c r="G19" i="52" s="1"/>
  <c r="C19" i="22"/>
  <c r="E19" i="22" s="1"/>
  <c r="G19" i="22" s="1"/>
  <c r="C19" i="15"/>
  <c r="C19" i="9"/>
  <c r="C19" i="12"/>
  <c r="E19" i="12" s="1"/>
  <c r="G19" i="12" s="1"/>
  <c r="C19" i="10"/>
  <c r="E19" i="10" s="1"/>
  <c r="G19" i="10" s="1"/>
  <c r="C19" i="61"/>
  <c r="E19" i="61" s="1"/>
  <c r="G19" i="61" s="1"/>
  <c r="C19" i="19"/>
  <c r="E19" i="19" s="1"/>
  <c r="G19" i="19" s="1"/>
  <c r="F17" i="62"/>
  <c r="E18" i="62"/>
  <c r="E18" i="52"/>
  <c r="G18" i="52" s="1"/>
  <c r="E18" i="47"/>
  <c r="G18" i="47" s="1"/>
  <c r="G17" i="61"/>
  <c r="F17" i="61"/>
  <c r="E18" i="22"/>
  <c r="G18" i="22" s="1"/>
  <c r="G17" i="15"/>
  <c r="F17" i="15"/>
  <c r="E18" i="9"/>
  <c r="G18" i="9" s="1"/>
  <c r="G17" i="10"/>
  <c r="F17" i="10"/>
  <c r="G17" i="47"/>
  <c r="F17" i="47"/>
  <c r="G17" i="9"/>
  <c r="F17" i="9"/>
  <c r="F17" i="19"/>
  <c r="G17" i="19"/>
  <c r="E18" i="61"/>
  <c r="G18" i="61" s="1"/>
  <c r="E18" i="53"/>
  <c r="G18" i="53" s="1"/>
  <c r="E18" i="19"/>
  <c r="F18" i="15"/>
  <c r="G18" i="12"/>
  <c r="F18" i="12"/>
  <c r="F18" i="10"/>
  <c r="F25" i="52"/>
  <c r="C27" i="53"/>
  <c r="C27" i="15"/>
  <c r="C27" i="9"/>
  <c r="C27" i="22"/>
  <c r="C27" i="62"/>
  <c r="C27" i="52"/>
  <c r="C27" i="19"/>
  <c r="C27" i="10"/>
  <c r="C27" i="61"/>
  <c r="C27" i="12"/>
  <c r="C27" i="17"/>
  <c r="F25" i="53"/>
  <c r="F25" i="19"/>
  <c r="F25" i="15"/>
  <c r="F25" i="9"/>
  <c r="E26" i="53"/>
  <c r="G26" i="53" s="1"/>
  <c r="F25" i="10"/>
  <c r="F25" i="17"/>
  <c r="E26" i="15"/>
  <c r="G26" i="15" s="1"/>
  <c r="E26" i="9"/>
  <c r="G26" i="9" s="1"/>
  <c r="E26" i="22"/>
  <c r="G26" i="22" s="1"/>
  <c r="F25" i="61"/>
  <c r="E26" i="62"/>
  <c r="G26" i="62" s="1"/>
  <c r="E26" i="52"/>
  <c r="G26" i="52" s="1"/>
  <c r="E26" i="19"/>
  <c r="G26" i="19" s="1"/>
  <c r="E26" i="10"/>
  <c r="G26" i="10" s="1"/>
  <c r="E26" i="61"/>
  <c r="G26" i="61" s="1"/>
  <c r="E26" i="12"/>
  <c r="G26" i="12" s="1"/>
  <c r="F25" i="62"/>
  <c r="F25" i="22"/>
  <c r="F25" i="12"/>
  <c r="E11" i="8"/>
  <c r="G11" i="8" s="1"/>
  <c r="D12" i="8"/>
  <c r="E26" i="17"/>
  <c r="G26" i="17" s="1"/>
  <c r="D20" i="47"/>
  <c r="D20" i="15"/>
  <c r="D14" i="34"/>
  <c r="D28" i="53"/>
  <c r="D28" i="22"/>
  <c r="D14" i="40"/>
  <c r="D28" i="17"/>
  <c r="D20" i="19"/>
  <c r="D28" i="19"/>
  <c r="D28" i="61"/>
  <c r="D19" i="17"/>
  <c r="D28" i="62"/>
  <c r="D28" i="9"/>
  <c r="D14" i="33"/>
  <c r="D28" i="10"/>
  <c r="D14" i="30"/>
  <c r="D20" i="9"/>
  <c r="D28" i="52"/>
  <c r="D28" i="12"/>
  <c r="C14" i="30" l="1"/>
  <c r="C14" i="34"/>
  <c r="E14" i="34" s="1"/>
  <c r="C14" i="33"/>
  <c r="C14" i="40"/>
  <c r="E14" i="40" s="1"/>
  <c r="G12" i="34"/>
  <c r="F12" i="34"/>
  <c r="G12" i="40"/>
  <c r="F12" i="40"/>
  <c r="E13" i="30"/>
  <c r="F12" i="30"/>
  <c r="G12" i="30"/>
  <c r="E13" i="40"/>
  <c r="C19" i="17"/>
  <c r="E19" i="17" s="1"/>
  <c r="G19" i="17" s="1"/>
  <c r="G13" i="34"/>
  <c r="F13" i="34"/>
  <c r="G13" i="33"/>
  <c r="F13" i="33"/>
  <c r="F18" i="9"/>
  <c r="G17" i="17"/>
  <c r="E18" i="17"/>
  <c r="F19" i="62"/>
  <c r="F19" i="53"/>
  <c r="F19" i="52"/>
  <c r="F18" i="22"/>
  <c r="C20" i="9"/>
  <c r="E20" i="9" s="1"/>
  <c r="G20" i="9" s="1"/>
  <c r="C20" i="15"/>
  <c r="E20" i="15" s="1"/>
  <c r="G20" i="15" s="1"/>
  <c r="G20" i="47"/>
  <c r="C20" i="19"/>
  <c r="E20" i="19" s="1"/>
  <c r="G20" i="19" s="1"/>
  <c r="F18" i="52"/>
  <c r="E19" i="9"/>
  <c r="G19" i="9" s="1"/>
  <c r="E19" i="15"/>
  <c r="F18" i="47"/>
  <c r="F19" i="10"/>
  <c r="F18" i="53"/>
  <c r="G18" i="62"/>
  <c r="F18" i="62"/>
  <c r="F19" i="12"/>
  <c r="F19" i="22"/>
  <c r="F18" i="61"/>
  <c r="E19" i="47"/>
  <c r="F19" i="61"/>
  <c r="F18" i="19"/>
  <c r="G18" i="19"/>
  <c r="F19" i="19"/>
  <c r="F26" i="17"/>
  <c r="F26" i="22"/>
  <c r="F26" i="9"/>
  <c r="F26" i="52"/>
  <c r="F26" i="15"/>
  <c r="C28" i="52"/>
  <c r="C28" i="53"/>
  <c r="C28" i="61"/>
  <c r="C28" i="10"/>
  <c r="C28" i="62"/>
  <c r="C28" i="19"/>
  <c r="C28" i="22"/>
  <c r="C28" i="12"/>
  <c r="C28" i="17"/>
  <c r="C28" i="9"/>
  <c r="E27" i="52"/>
  <c r="G27" i="52" s="1"/>
  <c r="E27" i="15"/>
  <c r="G27" i="15" s="1"/>
  <c r="E27" i="53"/>
  <c r="G27" i="53" s="1"/>
  <c r="E27" i="61"/>
  <c r="G27" i="61" s="1"/>
  <c r="F26" i="62"/>
  <c r="F26" i="10"/>
  <c r="E27" i="10"/>
  <c r="G27" i="10" s="1"/>
  <c r="F26" i="53"/>
  <c r="E27" i="62"/>
  <c r="G27" i="62" s="1"/>
  <c r="E27" i="19"/>
  <c r="G27" i="19" s="1"/>
  <c r="E27" i="22"/>
  <c r="G27" i="22" s="1"/>
  <c r="E27" i="12"/>
  <c r="G27" i="12" s="1"/>
  <c r="F26" i="61"/>
  <c r="F26" i="19"/>
  <c r="C12" i="8"/>
  <c r="F26" i="12"/>
  <c r="E27" i="17"/>
  <c r="G27" i="17" s="1"/>
  <c r="E27" i="9"/>
  <c r="G27" i="9" s="1"/>
  <c r="F11" i="8"/>
  <c r="D29" i="52"/>
  <c r="D20" i="17"/>
  <c r="D15" i="33"/>
  <c r="D29" i="19"/>
  <c r="D29" i="22"/>
  <c r="D29" i="10"/>
  <c r="D29" i="17"/>
  <c r="D15" i="40"/>
  <c r="D28" i="15"/>
  <c r="D29" i="62"/>
  <c r="D29" i="53"/>
  <c r="D15" i="34"/>
  <c r="D15" i="30"/>
  <c r="D29" i="9"/>
  <c r="D29" i="61"/>
  <c r="D29" i="12"/>
  <c r="C28" i="15" l="1"/>
  <c r="E28" i="15" s="1"/>
  <c r="G28" i="15" s="1"/>
  <c r="C15" i="40"/>
  <c r="C15" i="33"/>
  <c r="C15" i="34"/>
  <c r="E15" i="34" s="1"/>
  <c r="C15" i="30"/>
  <c r="G13" i="40"/>
  <c r="F13" i="40"/>
  <c r="F13" i="30"/>
  <c r="G13" i="30"/>
  <c r="E14" i="33"/>
  <c r="E14" i="30"/>
  <c r="C20" i="17"/>
  <c r="E20" i="17" s="1"/>
  <c r="G20" i="17" s="1"/>
  <c r="G14" i="40"/>
  <c r="F14" i="40"/>
  <c r="G14" i="34"/>
  <c r="F14" i="34"/>
  <c r="G18" i="17"/>
  <c r="F18" i="17"/>
  <c r="F20" i="9"/>
  <c r="F20" i="15"/>
  <c r="F20" i="19"/>
  <c r="F19" i="9"/>
  <c r="G19" i="47"/>
  <c r="F19" i="47"/>
  <c r="G19" i="15"/>
  <c r="F19" i="15"/>
  <c r="F19" i="17"/>
  <c r="F27" i="62"/>
  <c r="F27" i="61"/>
  <c r="F27" i="52"/>
  <c r="C29" i="17"/>
  <c r="C29" i="61"/>
  <c r="C29" i="12"/>
  <c r="C29" i="62"/>
  <c r="C29" i="10"/>
  <c r="C29" i="53"/>
  <c r="C29" i="19"/>
  <c r="C29" i="22"/>
  <c r="C29" i="52"/>
  <c r="C29" i="9"/>
  <c r="F27" i="53"/>
  <c r="E28" i="17"/>
  <c r="G28" i="17" s="1"/>
  <c r="E28" i="61"/>
  <c r="G28" i="61" s="1"/>
  <c r="F27" i="15"/>
  <c r="E28" i="12"/>
  <c r="G28" i="12" s="1"/>
  <c r="E28" i="62"/>
  <c r="G28" i="62" s="1"/>
  <c r="F27" i="9"/>
  <c r="E28" i="10"/>
  <c r="G28" i="10" s="1"/>
  <c r="F27" i="22"/>
  <c r="E12" i="8"/>
  <c r="G12" i="8" s="1"/>
  <c r="D13" i="8"/>
  <c r="E28" i="53"/>
  <c r="G28" i="53" s="1"/>
  <c r="F27" i="12"/>
  <c r="F27" i="10"/>
  <c r="E28" i="19"/>
  <c r="G28" i="19" s="1"/>
  <c r="F27" i="19"/>
  <c r="E28" i="22"/>
  <c r="G28" i="22" s="1"/>
  <c r="E28" i="52"/>
  <c r="G28" i="52" s="1"/>
  <c r="F27" i="17"/>
  <c r="E28" i="9"/>
  <c r="G28" i="9" s="1"/>
  <c r="D30" i="52"/>
  <c r="D16" i="30"/>
  <c r="D30" i="12"/>
  <c r="D16" i="33"/>
  <c r="D30" i="62"/>
  <c r="D30" i="22"/>
  <c r="D16" i="40"/>
  <c r="D30" i="53"/>
  <c r="D30" i="9"/>
  <c r="D30" i="61"/>
  <c r="D30" i="19"/>
  <c r="D30" i="10"/>
  <c r="D16" i="34"/>
  <c r="D30" i="17"/>
  <c r="C16" i="30" l="1"/>
  <c r="C16" i="33"/>
  <c r="C16" i="34"/>
  <c r="E16" i="34" s="1"/>
  <c r="C16" i="40"/>
  <c r="G14" i="33"/>
  <c r="F14" i="33"/>
  <c r="F20" i="17"/>
  <c r="F14" i="30"/>
  <c r="G14" i="30"/>
  <c r="E15" i="30"/>
  <c r="G15" i="30" s="1"/>
  <c r="E15" i="33"/>
  <c r="E15" i="40"/>
  <c r="G15" i="34"/>
  <c r="F15" i="34"/>
  <c r="F28" i="15"/>
  <c r="F28" i="9"/>
  <c r="F28" i="53"/>
  <c r="F28" i="19"/>
  <c r="C30" i="53"/>
  <c r="C30" i="61"/>
  <c r="C30" i="12"/>
  <c r="C30" i="9"/>
  <c r="C30" i="17"/>
  <c r="C30" i="10"/>
  <c r="C30" i="22"/>
  <c r="C30" i="19"/>
  <c r="C30" i="52"/>
  <c r="C30" i="62"/>
  <c r="E29" i="53"/>
  <c r="G29" i="53" s="1"/>
  <c r="E29" i="61"/>
  <c r="G29" i="61" s="1"/>
  <c r="C13" i="8"/>
  <c r="E29" i="12"/>
  <c r="G29" i="12" s="1"/>
  <c r="F12" i="8"/>
  <c r="E29" i="9"/>
  <c r="G29" i="9" s="1"/>
  <c r="E29" i="17"/>
  <c r="G29" i="17" s="1"/>
  <c r="F28" i="61"/>
  <c r="F28" i="62"/>
  <c r="E29" i="10"/>
  <c r="G29" i="10" s="1"/>
  <c r="E29" i="22"/>
  <c r="G29" i="22" s="1"/>
  <c r="F28" i="52"/>
  <c r="E29" i="19"/>
  <c r="G29" i="19" s="1"/>
  <c r="F28" i="12"/>
  <c r="F28" i="22"/>
  <c r="F28" i="10"/>
  <c r="E29" i="52"/>
  <c r="G29" i="52" s="1"/>
  <c r="E29" i="62"/>
  <c r="G29" i="62" s="1"/>
  <c r="F28" i="17"/>
  <c r="D17" i="40"/>
  <c r="D31" i="61"/>
  <c r="D17" i="30"/>
  <c r="D31" i="22"/>
  <c r="D31" i="9"/>
  <c r="D31" i="10"/>
  <c r="D31" i="52"/>
  <c r="D17" i="33"/>
  <c r="D31" i="17"/>
  <c r="D29" i="15"/>
  <c r="D31" i="53"/>
  <c r="D31" i="62"/>
  <c r="D31" i="12"/>
  <c r="D31" i="19"/>
  <c r="D17" i="34"/>
  <c r="C29" i="15" l="1"/>
  <c r="F15" i="30"/>
  <c r="C17" i="40"/>
  <c r="E17" i="40" s="1"/>
  <c r="G17" i="40" s="1"/>
  <c r="C17" i="34"/>
  <c r="E17" i="34" s="1"/>
  <c r="C17" i="33"/>
  <c r="C17" i="30"/>
  <c r="E17" i="30" s="1"/>
  <c r="F15" i="33"/>
  <c r="G15" i="33"/>
  <c r="G15" i="40"/>
  <c r="F15" i="40"/>
  <c r="E16" i="40"/>
  <c r="E16" i="33"/>
  <c r="E16" i="30"/>
  <c r="G16" i="34"/>
  <c r="F16" i="34"/>
  <c r="F29" i="10"/>
  <c r="F29" i="22"/>
  <c r="C31" i="62"/>
  <c r="C31" i="10"/>
  <c r="C31" i="52"/>
  <c r="C31" i="17"/>
  <c r="C31" i="9"/>
  <c r="C31" i="22"/>
  <c r="C31" i="12"/>
  <c r="C31" i="19"/>
  <c r="C31" i="53"/>
  <c r="C31" i="61"/>
  <c r="E30" i="62"/>
  <c r="G30" i="62" s="1"/>
  <c r="E30" i="10"/>
  <c r="G30" i="10" s="1"/>
  <c r="F29" i="19"/>
  <c r="F29" i="12"/>
  <c r="E30" i="52"/>
  <c r="G30" i="52" s="1"/>
  <c r="E30" i="17"/>
  <c r="G30" i="17" s="1"/>
  <c r="F29" i="61"/>
  <c r="E30" i="9"/>
  <c r="G30" i="9" s="1"/>
  <c r="F29" i="53"/>
  <c r="E30" i="22"/>
  <c r="G30" i="22" s="1"/>
  <c r="E30" i="12"/>
  <c r="G30" i="12" s="1"/>
  <c r="E30" i="19"/>
  <c r="G30" i="19" s="1"/>
  <c r="F29" i="17"/>
  <c r="E30" i="53"/>
  <c r="G30" i="53" s="1"/>
  <c r="E13" i="8"/>
  <c r="G13" i="8" s="1"/>
  <c r="D14" i="8"/>
  <c r="F29" i="62"/>
  <c r="F29" i="52"/>
  <c r="F29" i="9"/>
  <c r="E30" i="61"/>
  <c r="G30" i="61" s="1"/>
  <c r="D18" i="34"/>
  <c r="D32" i="53"/>
  <c r="D18" i="40"/>
  <c r="D32" i="61"/>
  <c r="D32" i="62"/>
  <c r="D32" i="12"/>
  <c r="D18" i="33"/>
  <c r="D32" i="10"/>
  <c r="D32" i="52"/>
  <c r="D32" i="9"/>
  <c r="D32" i="22"/>
  <c r="D30" i="15"/>
  <c r="D32" i="17"/>
  <c r="D32" i="19"/>
  <c r="D18" i="30"/>
  <c r="C30" i="15" l="1"/>
  <c r="E29" i="15"/>
  <c r="C18" i="30"/>
  <c r="C18" i="33"/>
  <c r="C18" i="34"/>
  <c r="C18" i="40"/>
  <c r="G16" i="30"/>
  <c r="F16" i="30"/>
  <c r="G16" i="40"/>
  <c r="F16" i="40"/>
  <c r="E17" i="33"/>
  <c r="G17" i="33" s="1"/>
  <c r="F16" i="33"/>
  <c r="G16" i="33"/>
  <c r="G17" i="34"/>
  <c r="F17" i="34"/>
  <c r="F17" i="40"/>
  <c r="G17" i="30"/>
  <c r="F17" i="30"/>
  <c r="F13" i="8"/>
  <c r="F30" i="12"/>
  <c r="F30" i="10"/>
  <c r="F30" i="22"/>
  <c r="C32" i="19"/>
  <c r="C32" i="9"/>
  <c r="C32" i="52"/>
  <c r="C32" i="61"/>
  <c r="C32" i="10"/>
  <c r="C32" i="12"/>
  <c r="C32" i="17"/>
  <c r="C32" i="53"/>
  <c r="C32" i="62"/>
  <c r="C32" i="22"/>
  <c r="F30" i="52"/>
  <c r="C14" i="8"/>
  <c r="F30" i="19"/>
  <c r="E31" i="19"/>
  <c r="G31" i="19" s="1"/>
  <c r="F30" i="62"/>
  <c r="E31" i="9"/>
  <c r="G31" i="9" s="1"/>
  <c r="E31" i="52"/>
  <c r="G31" i="52" s="1"/>
  <c r="F30" i="53"/>
  <c r="F30" i="9"/>
  <c r="E31" i="61"/>
  <c r="G31" i="61" s="1"/>
  <c r="E31" i="10"/>
  <c r="G31" i="10" s="1"/>
  <c r="E31" i="12"/>
  <c r="G31" i="12" s="1"/>
  <c r="E31" i="17"/>
  <c r="G31" i="17" s="1"/>
  <c r="E31" i="53"/>
  <c r="G31" i="53" s="1"/>
  <c r="E31" i="62"/>
  <c r="G31" i="62" s="1"/>
  <c r="F30" i="61"/>
  <c r="F30" i="17"/>
  <c r="E31" i="22"/>
  <c r="G31" i="22" s="1"/>
  <c r="D33" i="22"/>
  <c r="D33" i="9"/>
  <c r="D19" i="33"/>
  <c r="D19" i="34"/>
  <c r="D33" i="53"/>
  <c r="D33" i="62"/>
  <c r="D33" i="17"/>
  <c r="D33" i="10"/>
  <c r="D33" i="61"/>
  <c r="D33" i="52"/>
  <c r="D19" i="40"/>
  <c r="D31" i="15"/>
  <c r="D19" i="30"/>
  <c r="D33" i="19"/>
  <c r="D33" i="12"/>
  <c r="C31" i="15" l="1"/>
  <c r="G29" i="15"/>
  <c r="F29" i="15"/>
  <c r="E30" i="15"/>
  <c r="C19" i="40"/>
  <c r="E19" i="40" s="1"/>
  <c r="C19" i="34"/>
  <c r="C19" i="33"/>
  <c r="C19" i="30"/>
  <c r="E19" i="30" s="1"/>
  <c r="F19" i="30" s="1"/>
  <c r="F17" i="33"/>
  <c r="E18" i="40"/>
  <c r="E18" i="34"/>
  <c r="E18" i="33"/>
  <c r="E18" i="30"/>
  <c r="F31" i="17"/>
  <c r="F31" i="61"/>
  <c r="F31" i="9"/>
  <c r="F31" i="19"/>
  <c r="F31" i="12"/>
  <c r="C33" i="9"/>
  <c r="C33" i="10"/>
  <c r="C33" i="62"/>
  <c r="C33" i="17"/>
  <c r="C33" i="22"/>
  <c r="C33" i="61"/>
  <c r="C33" i="53"/>
  <c r="C33" i="12"/>
  <c r="C33" i="19"/>
  <c r="C33" i="52"/>
  <c r="F31" i="52"/>
  <c r="E32" i="9"/>
  <c r="G32" i="9" s="1"/>
  <c r="F31" i="53"/>
  <c r="E32" i="10"/>
  <c r="G32" i="10" s="1"/>
  <c r="E32" i="62"/>
  <c r="G32" i="62" s="1"/>
  <c r="F31" i="62"/>
  <c r="E32" i="17"/>
  <c r="G32" i="17" s="1"/>
  <c r="F31" i="22"/>
  <c r="E32" i="22"/>
  <c r="G32" i="22" s="1"/>
  <c r="E32" i="61"/>
  <c r="G32" i="61" s="1"/>
  <c r="E32" i="53"/>
  <c r="G32" i="53" s="1"/>
  <c r="D15" i="8"/>
  <c r="E14" i="8"/>
  <c r="G14" i="8" s="1"/>
  <c r="E32" i="12"/>
  <c r="G32" i="12" s="1"/>
  <c r="E32" i="19"/>
  <c r="G32" i="19" s="1"/>
  <c r="F31" i="10"/>
  <c r="E32" i="52"/>
  <c r="G32" i="52" s="1"/>
  <c r="D20" i="34"/>
  <c r="D34" i="62"/>
  <c r="D20" i="30"/>
  <c r="D34" i="61"/>
  <c r="D34" i="19"/>
  <c r="D20" i="33"/>
  <c r="D34" i="22"/>
  <c r="D34" i="17"/>
  <c r="D34" i="12"/>
  <c r="D20" i="40"/>
  <c r="D34" i="9"/>
  <c r="D34" i="10"/>
  <c r="D34" i="52"/>
  <c r="D34" i="53"/>
  <c r="D32" i="15"/>
  <c r="C32" i="15" l="1"/>
  <c r="G30" i="15"/>
  <c r="F30" i="15"/>
  <c r="E31" i="15"/>
  <c r="C20" i="30"/>
  <c r="C20" i="33"/>
  <c r="C20" i="34"/>
  <c r="C20" i="40"/>
  <c r="G18" i="33"/>
  <c r="F18" i="33"/>
  <c r="F18" i="34"/>
  <c r="G18" i="34"/>
  <c r="G18" i="40"/>
  <c r="F18" i="40"/>
  <c r="E19" i="33"/>
  <c r="E19" i="34"/>
  <c r="G19" i="34" s="1"/>
  <c r="F18" i="30"/>
  <c r="G18" i="30"/>
  <c r="G19" i="30"/>
  <c r="F19" i="40"/>
  <c r="G19" i="40"/>
  <c r="F32" i="9"/>
  <c r="F32" i="10"/>
  <c r="F32" i="19"/>
  <c r="F32" i="22"/>
  <c r="F32" i="62"/>
  <c r="C34" i="19"/>
  <c r="C34" i="53"/>
  <c r="C34" i="17"/>
  <c r="C34" i="10"/>
  <c r="C34" i="22"/>
  <c r="C34" i="61"/>
  <c r="C34" i="62"/>
  <c r="C34" i="52"/>
  <c r="C34" i="9"/>
  <c r="C34" i="12"/>
  <c r="E33" i="19"/>
  <c r="G33" i="19" s="1"/>
  <c r="F14" i="8"/>
  <c r="E33" i="53"/>
  <c r="G33" i="53" s="1"/>
  <c r="E33" i="17"/>
  <c r="G33" i="17" s="1"/>
  <c r="E33" i="10"/>
  <c r="G33" i="10" s="1"/>
  <c r="E33" i="22"/>
  <c r="G33" i="22" s="1"/>
  <c r="F32" i="52"/>
  <c r="E33" i="61"/>
  <c r="G33" i="61" s="1"/>
  <c r="E33" i="62"/>
  <c r="G33" i="62" s="1"/>
  <c r="E33" i="52"/>
  <c r="G33" i="52" s="1"/>
  <c r="F32" i="12"/>
  <c r="F32" i="53"/>
  <c r="F32" i="17"/>
  <c r="E33" i="9"/>
  <c r="G33" i="9" s="1"/>
  <c r="C15" i="8"/>
  <c r="E33" i="12"/>
  <c r="G33" i="12" s="1"/>
  <c r="F32" i="61"/>
  <c r="D35" i="12"/>
  <c r="D21" i="40"/>
  <c r="D35" i="10"/>
  <c r="D21" i="33"/>
  <c r="D33" i="15"/>
  <c r="D35" i="19"/>
  <c r="D35" i="61"/>
  <c r="D35" i="52"/>
  <c r="D35" i="62"/>
  <c r="D35" i="9"/>
  <c r="D21" i="30"/>
  <c r="D35" i="17"/>
  <c r="D35" i="22"/>
  <c r="D21" i="34"/>
  <c r="D35" i="53"/>
  <c r="C33" i="15" l="1"/>
  <c r="G31" i="15"/>
  <c r="F31" i="15"/>
  <c r="E32" i="15"/>
  <c r="F19" i="34"/>
  <c r="C21" i="40"/>
  <c r="C21" i="34"/>
  <c r="C21" i="33"/>
  <c r="C21" i="30"/>
  <c r="F19" i="33"/>
  <c r="G19" i="33"/>
  <c r="E20" i="40"/>
  <c r="E20" i="34"/>
  <c r="E20" i="33"/>
  <c r="E20" i="30"/>
  <c r="F33" i="61"/>
  <c r="F33" i="10"/>
  <c r="C35" i="17"/>
  <c r="C35" i="53"/>
  <c r="C35" i="62"/>
  <c r="C35" i="61"/>
  <c r="C35" i="9"/>
  <c r="C35" i="22"/>
  <c r="C35" i="12"/>
  <c r="C35" i="10"/>
  <c r="C35" i="19"/>
  <c r="C35" i="52"/>
  <c r="E34" i="17"/>
  <c r="G34" i="17" s="1"/>
  <c r="E34" i="53"/>
  <c r="G34" i="53" s="1"/>
  <c r="F33" i="62"/>
  <c r="E34" i="62"/>
  <c r="G34" i="62" s="1"/>
  <c r="E34" i="61"/>
  <c r="G34" i="61" s="1"/>
  <c r="E34" i="9"/>
  <c r="G34" i="9" s="1"/>
  <c r="F33" i="12"/>
  <c r="F33" i="19"/>
  <c r="E34" i="22"/>
  <c r="G34" i="22" s="1"/>
  <c r="D16" i="8"/>
  <c r="E15" i="8"/>
  <c r="G15" i="8" s="1"/>
  <c r="F33" i="17"/>
  <c r="F33" i="9"/>
  <c r="E34" i="12"/>
  <c r="G34" i="12" s="1"/>
  <c r="E34" i="10"/>
  <c r="G34" i="10" s="1"/>
  <c r="E34" i="19"/>
  <c r="G34" i="19" s="1"/>
  <c r="F33" i="22"/>
  <c r="F33" i="53"/>
  <c r="F33" i="52"/>
  <c r="E34" i="52"/>
  <c r="G34" i="52" s="1"/>
  <c r="D36" i="61"/>
  <c r="D36" i="62"/>
  <c r="D22" i="40"/>
  <c r="D34" i="15"/>
  <c r="D36" i="9"/>
  <c r="D36" i="52"/>
  <c r="D36" i="10"/>
  <c r="D22" i="30"/>
  <c r="D36" i="19"/>
  <c r="D22" i="33"/>
  <c r="D36" i="17"/>
  <c r="D22" i="34"/>
  <c r="D36" i="53"/>
  <c r="D36" i="12"/>
  <c r="D36" i="22"/>
  <c r="F34" i="62" l="1"/>
  <c r="F34" i="61"/>
  <c r="C36" i="61"/>
  <c r="C36" i="62"/>
  <c r="C34" i="15"/>
  <c r="G32" i="15"/>
  <c r="F32" i="15"/>
  <c r="E33" i="15"/>
  <c r="C22" i="30"/>
  <c r="C22" i="33"/>
  <c r="C22" i="34"/>
  <c r="C22" i="40"/>
  <c r="G20" i="34"/>
  <c r="F20" i="34"/>
  <c r="F20" i="30"/>
  <c r="G20" i="30"/>
  <c r="G20" i="40"/>
  <c r="F20" i="40"/>
  <c r="E21" i="30"/>
  <c r="E21" i="33"/>
  <c r="E21" i="34"/>
  <c r="G20" i="33"/>
  <c r="F20" i="33"/>
  <c r="E21" i="40"/>
  <c r="F34" i="10"/>
  <c r="F34" i="9"/>
  <c r="C36" i="19"/>
  <c r="C36" i="10"/>
  <c r="C36" i="12"/>
  <c r="C36" i="9"/>
  <c r="C36" i="52"/>
  <c r="C36" i="17"/>
  <c r="C36" i="53"/>
  <c r="C36" i="22"/>
  <c r="E35" i="19"/>
  <c r="G35" i="19" s="1"/>
  <c r="E35" i="10"/>
  <c r="G35" i="10" s="1"/>
  <c r="E35" i="62"/>
  <c r="G35" i="62" s="1"/>
  <c r="E35" i="12"/>
  <c r="G35" i="12" s="1"/>
  <c r="C16" i="8"/>
  <c r="F34" i="19"/>
  <c r="E35" i="9"/>
  <c r="G35" i="9" s="1"/>
  <c r="F34" i="22"/>
  <c r="F34" i="17"/>
  <c r="E35" i="52"/>
  <c r="G35" i="52" s="1"/>
  <c r="E35" i="17"/>
  <c r="G35" i="17" s="1"/>
  <c r="F15" i="8"/>
  <c r="E35" i="53"/>
  <c r="G35" i="53" s="1"/>
  <c r="F34" i="12"/>
  <c r="E35" i="61"/>
  <c r="G35" i="61" s="1"/>
  <c r="F34" i="52"/>
  <c r="E35" i="22"/>
  <c r="G35" i="22" s="1"/>
  <c r="D37" i="61"/>
  <c r="D37" i="62"/>
  <c r="D37" i="9"/>
  <c r="D37" i="22"/>
  <c r="D23" i="33"/>
  <c r="D23" i="34"/>
  <c r="D37" i="53"/>
  <c r="D37" i="19"/>
  <c r="D23" i="30"/>
  <c r="D37" i="12"/>
  <c r="D37" i="17"/>
  <c r="D37" i="52"/>
  <c r="D37" i="10"/>
  <c r="D35" i="15"/>
  <c r="D23" i="40"/>
  <c r="C37" i="61" l="1"/>
  <c r="E36" i="61"/>
  <c r="G36" i="61" s="1"/>
  <c r="C37" i="62"/>
  <c r="E36" i="62"/>
  <c r="G36" i="62" s="1"/>
  <c r="C35" i="15"/>
  <c r="G33" i="15"/>
  <c r="F33" i="15"/>
  <c r="E34" i="15"/>
  <c r="C23" i="40"/>
  <c r="C23" i="34"/>
  <c r="C23" i="33"/>
  <c r="C23" i="30"/>
  <c r="G21" i="34"/>
  <c r="F21" i="34"/>
  <c r="G21" i="30"/>
  <c r="F21" i="30"/>
  <c r="E22" i="40"/>
  <c r="E22" i="34"/>
  <c r="G21" i="33"/>
  <c r="F21" i="33"/>
  <c r="E22" i="33"/>
  <c r="G21" i="40"/>
  <c r="F21" i="40"/>
  <c r="E22" i="30"/>
  <c r="F35" i="52"/>
  <c r="F35" i="12"/>
  <c r="C37" i="53"/>
  <c r="C37" i="10"/>
  <c r="C37" i="52"/>
  <c r="C37" i="9"/>
  <c r="C37" i="12"/>
  <c r="C37" i="17"/>
  <c r="C37" i="22"/>
  <c r="C37" i="19"/>
  <c r="F35" i="62"/>
  <c r="F35" i="61"/>
  <c r="E36" i="53"/>
  <c r="G36" i="53" s="1"/>
  <c r="F35" i="10"/>
  <c r="E36" i="10"/>
  <c r="G36" i="10" s="1"/>
  <c r="F35" i="53"/>
  <c r="E36" i="52"/>
  <c r="G36" i="52" s="1"/>
  <c r="E36" i="9"/>
  <c r="G36" i="9" s="1"/>
  <c r="F35" i="19"/>
  <c r="E36" i="12"/>
  <c r="G36" i="12" s="1"/>
  <c r="E36" i="17"/>
  <c r="G36" i="17" s="1"/>
  <c r="E16" i="8"/>
  <c r="G16" i="8" s="1"/>
  <c r="D17" i="8"/>
  <c r="F35" i="17"/>
  <c r="F35" i="22"/>
  <c r="E36" i="22"/>
  <c r="G36" i="22" s="1"/>
  <c r="E36" i="19"/>
  <c r="G36" i="19" s="1"/>
  <c r="D38" i="61"/>
  <c r="D38" i="62"/>
  <c r="D38" i="9"/>
  <c r="D24" i="30"/>
  <c r="D38" i="10"/>
  <c r="D24" i="40"/>
  <c r="D24" i="34"/>
  <c r="D24" i="33"/>
  <c r="D38" i="19"/>
  <c r="D38" i="12"/>
  <c r="D38" i="52"/>
  <c r="D38" i="17"/>
  <c r="D36" i="15"/>
  <c r="D38" i="22"/>
  <c r="D38" i="53"/>
  <c r="C38" i="61" l="1"/>
  <c r="F36" i="61"/>
  <c r="E37" i="61"/>
  <c r="G37" i="61" s="1"/>
  <c r="C38" i="62"/>
  <c r="F36" i="62"/>
  <c r="E37" i="62"/>
  <c r="G37" i="62" s="1"/>
  <c r="C36" i="15"/>
  <c r="G34" i="15"/>
  <c r="F34" i="15"/>
  <c r="E35" i="15"/>
  <c r="C24" i="30"/>
  <c r="C24" i="33"/>
  <c r="C24" i="34"/>
  <c r="C24" i="40"/>
  <c r="G22" i="40"/>
  <c r="F22" i="40"/>
  <c r="E23" i="30"/>
  <c r="E23" i="33"/>
  <c r="G22" i="33"/>
  <c r="F22" i="33"/>
  <c r="F22" i="34"/>
  <c r="G22" i="34"/>
  <c r="E23" i="34"/>
  <c r="F22" i="30"/>
  <c r="G22" i="30"/>
  <c r="E23" i="40"/>
  <c r="F16" i="8"/>
  <c r="F36" i="19"/>
  <c r="C38" i="10"/>
  <c r="C38" i="9"/>
  <c r="C38" i="22"/>
  <c r="C38" i="53"/>
  <c r="C38" i="17"/>
  <c r="C38" i="19"/>
  <c r="C38" i="12"/>
  <c r="C38" i="52"/>
  <c r="E37" i="10"/>
  <c r="G37" i="10" s="1"/>
  <c r="F36" i="53"/>
  <c r="E37" i="9"/>
  <c r="G37" i="9" s="1"/>
  <c r="F36" i="9"/>
  <c r="F36" i="52"/>
  <c r="E37" i="22"/>
  <c r="G37" i="22" s="1"/>
  <c r="E37" i="53"/>
  <c r="G37" i="53" s="1"/>
  <c r="E37" i="17"/>
  <c r="G37" i="17" s="1"/>
  <c r="F36" i="12"/>
  <c r="F36" i="10"/>
  <c r="E37" i="19"/>
  <c r="G37" i="19" s="1"/>
  <c r="C17" i="8"/>
  <c r="F36" i="22"/>
  <c r="F36" i="17"/>
  <c r="E37" i="12"/>
  <c r="G37" i="12" s="1"/>
  <c r="E37" i="52"/>
  <c r="G37" i="52" s="1"/>
  <c r="D39" i="61"/>
  <c r="D39" i="62"/>
  <c r="D39" i="9"/>
  <c r="D39" i="52"/>
  <c r="D39" i="17"/>
  <c r="D39" i="10"/>
  <c r="D25" i="40"/>
  <c r="D39" i="53"/>
  <c r="D25" i="33"/>
  <c r="D39" i="12"/>
  <c r="D39" i="19"/>
  <c r="D25" i="34"/>
  <c r="D25" i="30"/>
  <c r="D39" i="22"/>
  <c r="D37" i="15"/>
  <c r="F37" i="62" l="1"/>
  <c r="F37" i="61"/>
  <c r="C39" i="61"/>
  <c r="E38" i="61"/>
  <c r="G38" i="61" s="1"/>
  <c r="C39" i="62"/>
  <c r="E38" i="62"/>
  <c r="G38" i="62" s="1"/>
  <c r="C37" i="15"/>
  <c r="G35" i="15"/>
  <c r="F35" i="15"/>
  <c r="E36" i="15"/>
  <c r="C25" i="40"/>
  <c r="C25" i="34"/>
  <c r="C25" i="33"/>
  <c r="C25" i="30"/>
  <c r="G23" i="33"/>
  <c r="F23" i="33"/>
  <c r="G23" i="30"/>
  <c r="F23" i="30"/>
  <c r="G23" i="40"/>
  <c r="F23" i="40"/>
  <c r="E24" i="40"/>
  <c r="E24" i="34"/>
  <c r="E24" i="33"/>
  <c r="G24" i="33" s="1"/>
  <c r="G23" i="34"/>
  <c r="F23" i="34"/>
  <c r="E24" i="30"/>
  <c r="F37" i="10"/>
  <c r="F37" i="12"/>
  <c r="C39" i="12"/>
  <c r="C39" i="17"/>
  <c r="C39" i="9"/>
  <c r="C39" i="22"/>
  <c r="C39" i="10"/>
  <c r="C39" i="52"/>
  <c r="C39" i="19"/>
  <c r="C39" i="53"/>
  <c r="E38" i="12"/>
  <c r="G38" i="12" s="1"/>
  <c r="E38" i="17"/>
  <c r="G38" i="17" s="1"/>
  <c r="E38" i="9"/>
  <c r="G38" i="9" s="1"/>
  <c r="E38" i="22"/>
  <c r="G38" i="22" s="1"/>
  <c r="F37" i="53"/>
  <c r="D18" i="8"/>
  <c r="E17" i="8"/>
  <c r="G17" i="8" s="1"/>
  <c r="F37" i="19"/>
  <c r="F37" i="52"/>
  <c r="E38" i="10"/>
  <c r="G38" i="10" s="1"/>
  <c r="E38" i="52"/>
  <c r="G38" i="52" s="1"/>
  <c r="F37" i="9"/>
  <c r="F37" i="22"/>
  <c r="E38" i="19"/>
  <c r="G38" i="19" s="1"/>
  <c r="F37" i="17"/>
  <c r="E38" i="53"/>
  <c r="G38" i="53" s="1"/>
  <c r="D40" i="22"/>
  <c r="D40" i="17"/>
  <c r="D26" i="33"/>
  <c r="D40" i="52"/>
  <c r="D26" i="40"/>
  <c r="D26" i="30"/>
  <c r="D40" i="10"/>
  <c r="D38" i="15"/>
  <c r="D40" i="9"/>
  <c r="D26" i="34"/>
  <c r="D40" i="12"/>
  <c r="D40" i="53"/>
  <c r="D40" i="19"/>
  <c r="F38" i="61" l="1"/>
  <c r="E39" i="61"/>
  <c r="G39" i="61" s="1"/>
  <c r="F38" i="62"/>
  <c r="E39" i="62"/>
  <c r="G39" i="62" s="1"/>
  <c r="C38" i="15"/>
  <c r="G36" i="15"/>
  <c r="F36" i="15"/>
  <c r="E37" i="15"/>
  <c r="F24" i="33"/>
  <c r="C26" i="30"/>
  <c r="C26" i="33"/>
  <c r="C26" i="34"/>
  <c r="C26" i="40"/>
  <c r="F24" i="34"/>
  <c r="G24" i="34"/>
  <c r="G24" i="40"/>
  <c r="F24" i="40"/>
  <c r="E25" i="30"/>
  <c r="G25" i="30" s="1"/>
  <c r="E25" i="33"/>
  <c r="E25" i="34"/>
  <c r="G24" i="30"/>
  <c r="F24" i="30"/>
  <c r="E25" i="40"/>
  <c r="F38" i="52"/>
  <c r="F38" i="22"/>
  <c r="F38" i="53"/>
  <c r="F38" i="17"/>
  <c r="C40" i="53"/>
  <c r="C40" i="19"/>
  <c r="C40" i="9"/>
  <c r="C40" i="52"/>
  <c r="C40" i="17"/>
  <c r="C40" i="10"/>
  <c r="C40" i="22"/>
  <c r="C40" i="12"/>
  <c r="E39" i="53"/>
  <c r="G39" i="53" s="1"/>
  <c r="E39" i="19"/>
  <c r="G39" i="19" s="1"/>
  <c r="E39" i="9"/>
  <c r="G39" i="9" s="1"/>
  <c r="E39" i="52"/>
  <c r="G39" i="52" s="1"/>
  <c r="E39" i="17"/>
  <c r="G39" i="17" s="1"/>
  <c r="F38" i="9"/>
  <c r="E39" i="10"/>
  <c r="G39" i="10" s="1"/>
  <c r="F38" i="12"/>
  <c r="F38" i="10"/>
  <c r="F17" i="8"/>
  <c r="C18" i="8"/>
  <c r="F38" i="19"/>
  <c r="E39" i="22"/>
  <c r="G39" i="22" s="1"/>
  <c r="E39" i="12"/>
  <c r="G39" i="12" s="1"/>
  <c r="D41" i="17"/>
  <c r="D41" i="22"/>
  <c r="D41" i="53"/>
  <c r="D41" i="9"/>
  <c r="D27" i="40"/>
  <c r="D27" i="30"/>
  <c r="D39" i="15"/>
  <c r="D41" i="52"/>
  <c r="D41" i="12"/>
  <c r="D41" i="19"/>
  <c r="D27" i="33"/>
  <c r="D27" i="34"/>
  <c r="D41" i="10"/>
  <c r="F39" i="61" l="1"/>
  <c r="F39" i="62"/>
  <c r="C39" i="15"/>
  <c r="G37" i="15"/>
  <c r="F37" i="15"/>
  <c r="E38" i="15"/>
  <c r="C27" i="40"/>
  <c r="C27" i="34"/>
  <c r="C27" i="33"/>
  <c r="C27" i="30"/>
  <c r="G25" i="40"/>
  <c r="F25" i="40"/>
  <c r="F25" i="30"/>
  <c r="F25" i="33"/>
  <c r="G25" i="33"/>
  <c r="E26" i="40"/>
  <c r="E26" i="34"/>
  <c r="E26" i="33"/>
  <c r="F25" i="34"/>
  <c r="G25" i="34"/>
  <c r="E26" i="30"/>
  <c r="F39" i="10"/>
  <c r="F39" i="12"/>
  <c r="F39" i="52"/>
  <c r="C41" i="12"/>
  <c r="C41" i="19"/>
  <c r="C41" i="52"/>
  <c r="C41" i="22"/>
  <c r="C41" i="17"/>
  <c r="C41" i="10"/>
  <c r="C41" i="9"/>
  <c r="C41" i="53"/>
  <c r="E40" i="12"/>
  <c r="G40" i="12" s="1"/>
  <c r="D19" i="8"/>
  <c r="E18" i="8"/>
  <c r="G18" i="8" s="1"/>
  <c r="E40" i="19"/>
  <c r="G40" i="19" s="1"/>
  <c r="F39" i="19"/>
  <c r="E40" i="52"/>
  <c r="G40" i="52" s="1"/>
  <c r="F39" i="22"/>
  <c r="F39" i="17"/>
  <c r="E40" i="22"/>
  <c r="G40" i="22" s="1"/>
  <c r="E40" i="17"/>
  <c r="G40" i="17" s="1"/>
  <c r="E40" i="10"/>
  <c r="G40" i="10" s="1"/>
  <c r="F39" i="9"/>
  <c r="F39" i="53"/>
  <c r="E40" i="9"/>
  <c r="G40" i="9" s="1"/>
  <c r="E40" i="53"/>
  <c r="G40" i="53" s="1"/>
  <c r="D42" i="10"/>
  <c r="D28" i="34"/>
  <c r="D28" i="40"/>
  <c r="D42" i="9"/>
  <c r="D28" i="30"/>
  <c r="D42" i="19"/>
  <c r="D40" i="15"/>
  <c r="D42" i="52"/>
  <c r="D40" i="62"/>
  <c r="D40" i="61"/>
  <c r="D28" i="33"/>
  <c r="D42" i="53"/>
  <c r="D42" i="12"/>
  <c r="D42" i="22"/>
  <c r="C40" i="15" l="1"/>
  <c r="G38" i="15"/>
  <c r="F38" i="15"/>
  <c r="E39" i="15"/>
  <c r="C28" i="30"/>
  <c r="C28" i="33"/>
  <c r="C28" i="34"/>
  <c r="E28" i="34" s="1"/>
  <c r="G28" i="34" s="1"/>
  <c r="C28" i="40"/>
  <c r="G26" i="33"/>
  <c r="F26" i="33"/>
  <c r="G26" i="34"/>
  <c r="F26" i="34"/>
  <c r="G26" i="30"/>
  <c r="F26" i="30"/>
  <c r="E27" i="30"/>
  <c r="E27" i="33"/>
  <c r="G27" i="33" s="1"/>
  <c r="G26" i="40"/>
  <c r="F26" i="40"/>
  <c r="E27" i="34"/>
  <c r="E27" i="40"/>
  <c r="F40" i="9"/>
  <c r="F40" i="19"/>
  <c r="C42" i="52"/>
  <c r="C42" i="9"/>
  <c r="C42" i="10"/>
  <c r="C42" i="22"/>
  <c r="C42" i="19"/>
  <c r="C42" i="53"/>
  <c r="C40" i="62"/>
  <c r="C40" i="61"/>
  <c r="C42" i="12"/>
  <c r="F40" i="52"/>
  <c r="E41" i="52"/>
  <c r="G41" i="52" s="1"/>
  <c r="E41" i="9"/>
  <c r="G41" i="9" s="1"/>
  <c r="E41" i="10"/>
  <c r="G41" i="10" s="1"/>
  <c r="F40" i="17"/>
  <c r="C19" i="8"/>
  <c r="E41" i="17"/>
  <c r="G41" i="17" s="1"/>
  <c r="E41" i="22"/>
  <c r="G41" i="22" s="1"/>
  <c r="F40" i="10"/>
  <c r="F18" i="8"/>
  <c r="E41" i="19"/>
  <c r="G41" i="19" s="1"/>
  <c r="E41" i="53"/>
  <c r="G41" i="53" s="1"/>
  <c r="F40" i="22"/>
  <c r="F40" i="53"/>
  <c r="F40" i="12"/>
  <c r="E41" i="12"/>
  <c r="G41" i="12" s="1"/>
  <c r="D43" i="12"/>
  <c r="D43" i="53"/>
  <c r="D43" i="22"/>
  <c r="D29" i="33"/>
  <c r="D43" i="10"/>
  <c r="D43" i="9"/>
  <c r="D29" i="30"/>
  <c r="D41" i="61"/>
  <c r="D43" i="52"/>
  <c r="D43" i="19"/>
  <c r="D29" i="40"/>
  <c r="D41" i="62"/>
  <c r="D41" i="15"/>
  <c r="C41" i="15" l="1"/>
  <c r="G39" i="15"/>
  <c r="F39" i="15"/>
  <c r="E40" i="15"/>
  <c r="F27" i="33"/>
  <c r="C29" i="40"/>
  <c r="C29" i="33"/>
  <c r="C29" i="30"/>
  <c r="G27" i="40"/>
  <c r="F27" i="40"/>
  <c r="G27" i="30"/>
  <c r="F27" i="30"/>
  <c r="E28" i="40"/>
  <c r="G28" i="40" s="1"/>
  <c r="E28" i="33"/>
  <c r="G27" i="34"/>
  <c r="F27" i="34"/>
  <c r="E28" i="30"/>
  <c r="F28" i="34"/>
  <c r="F41" i="19"/>
  <c r="C43" i="10"/>
  <c r="C43" i="9"/>
  <c r="C43" i="53"/>
  <c r="C43" i="12"/>
  <c r="C43" i="19"/>
  <c r="C41" i="62"/>
  <c r="C43" i="52"/>
  <c r="C41" i="61"/>
  <c r="C43" i="22"/>
  <c r="E42" i="10"/>
  <c r="G42" i="10" s="1"/>
  <c r="E42" i="9"/>
  <c r="G42" i="9" s="1"/>
  <c r="F41" i="10"/>
  <c r="E42" i="53"/>
  <c r="G42" i="53" s="1"/>
  <c r="E42" i="12"/>
  <c r="G42" i="12" s="1"/>
  <c r="E42" i="19"/>
  <c r="G42" i="19" s="1"/>
  <c r="E40" i="62"/>
  <c r="G40" i="62" s="1"/>
  <c r="E42" i="52"/>
  <c r="G42" i="52" s="1"/>
  <c r="F41" i="12"/>
  <c r="F41" i="9"/>
  <c r="F41" i="22"/>
  <c r="E40" i="61"/>
  <c r="G40" i="61" s="1"/>
  <c r="F41" i="17"/>
  <c r="F41" i="53"/>
  <c r="F41" i="52"/>
  <c r="E42" i="22"/>
  <c r="G42" i="22" s="1"/>
  <c r="E19" i="8"/>
  <c r="G19" i="8" s="1"/>
  <c r="D20" i="8"/>
  <c r="F19" i="8"/>
  <c r="D44" i="22"/>
  <c r="D30" i="40"/>
  <c r="D44" i="12"/>
  <c r="D42" i="62"/>
  <c r="D44" i="10"/>
  <c r="D44" i="9"/>
  <c r="D44" i="52"/>
  <c r="D44" i="19"/>
  <c r="D30" i="30"/>
  <c r="D42" i="61"/>
  <c r="D44" i="53"/>
  <c r="D42" i="15"/>
  <c r="D30" i="33"/>
  <c r="C42" i="15" l="1"/>
  <c r="G40" i="15"/>
  <c r="F40" i="15"/>
  <c r="E41" i="15"/>
  <c r="F28" i="40"/>
  <c r="C30" i="33"/>
  <c r="C30" i="30"/>
  <c r="C30" i="40"/>
  <c r="E30" i="40" s="1"/>
  <c r="G30" i="40" s="1"/>
  <c r="G28" i="30"/>
  <c r="F28" i="30"/>
  <c r="F28" i="33"/>
  <c r="G28" i="33"/>
  <c r="E29" i="33"/>
  <c r="E29" i="30"/>
  <c r="E29" i="40"/>
  <c r="F42" i="12"/>
  <c r="F40" i="61"/>
  <c r="F42" i="10"/>
  <c r="C44" i="53"/>
  <c r="C44" i="10"/>
  <c r="C44" i="52"/>
  <c r="C44" i="12"/>
  <c r="C44" i="22"/>
  <c r="C42" i="62"/>
  <c r="C42" i="61"/>
  <c r="C44" i="19"/>
  <c r="C44" i="9"/>
  <c r="E43" i="53"/>
  <c r="G43" i="53" s="1"/>
  <c r="E43" i="10"/>
  <c r="G43" i="10" s="1"/>
  <c r="E43" i="52"/>
  <c r="G43" i="52" s="1"/>
  <c r="E43" i="12"/>
  <c r="G43" i="12" s="1"/>
  <c r="C20" i="8"/>
  <c r="E43" i="22"/>
  <c r="G43" i="22" s="1"/>
  <c r="E41" i="62"/>
  <c r="G41" i="62" s="1"/>
  <c r="F42" i="22"/>
  <c r="F42" i="53"/>
  <c r="F42" i="9"/>
  <c r="E41" i="61"/>
  <c r="G41" i="61" s="1"/>
  <c r="E43" i="19"/>
  <c r="G43" i="19" s="1"/>
  <c r="F42" i="19"/>
  <c r="E43" i="9"/>
  <c r="G43" i="9" s="1"/>
  <c r="F42" i="52"/>
  <c r="F40" i="62"/>
  <c r="D45" i="52"/>
  <c r="D45" i="19"/>
  <c r="D45" i="9"/>
  <c r="D43" i="62"/>
  <c r="D43" i="61"/>
  <c r="D45" i="53"/>
  <c r="D45" i="22"/>
  <c r="D43" i="15"/>
  <c r="D45" i="12"/>
  <c r="D31" i="30"/>
  <c r="D31" i="33"/>
  <c r="D45" i="10"/>
  <c r="C43" i="15" l="1"/>
  <c r="G41" i="15"/>
  <c r="F41" i="15"/>
  <c r="E42" i="15"/>
  <c r="F30" i="40"/>
  <c r="C31" i="30"/>
  <c r="C31" i="33"/>
  <c r="G29" i="33"/>
  <c r="F29" i="33"/>
  <c r="F29" i="30"/>
  <c r="G29" i="30"/>
  <c r="E30" i="30"/>
  <c r="G29" i="40"/>
  <c r="F29" i="40"/>
  <c r="E30" i="33"/>
  <c r="F43" i="19"/>
  <c r="F43" i="10"/>
  <c r="F43" i="22"/>
  <c r="C45" i="12"/>
  <c r="C45" i="19"/>
  <c r="C45" i="52"/>
  <c r="C43" i="62"/>
  <c r="C45" i="10"/>
  <c r="C45" i="22"/>
  <c r="C43" i="61"/>
  <c r="C45" i="9"/>
  <c r="C45" i="53"/>
  <c r="E44" i="12"/>
  <c r="G44" i="12" s="1"/>
  <c r="D21" i="8"/>
  <c r="E20" i="8"/>
  <c r="G20" i="8" s="1"/>
  <c r="E44" i="19"/>
  <c r="G44" i="19" s="1"/>
  <c r="E44" i="52"/>
  <c r="G44" i="52" s="1"/>
  <c r="F43" i="9"/>
  <c r="E42" i="62"/>
  <c r="G42" i="62" s="1"/>
  <c r="E44" i="10"/>
  <c r="G44" i="10" s="1"/>
  <c r="F43" i="53"/>
  <c r="F41" i="61"/>
  <c r="F43" i="12"/>
  <c r="F41" i="62"/>
  <c r="E44" i="22"/>
  <c r="G44" i="22" s="1"/>
  <c r="E42" i="61"/>
  <c r="G42" i="61" s="1"/>
  <c r="E44" i="9"/>
  <c r="G44" i="9" s="1"/>
  <c r="F43" i="52"/>
  <c r="E44" i="53"/>
  <c r="G44" i="53" s="1"/>
  <c r="D46" i="52"/>
  <c r="D46" i="10"/>
  <c r="D46" i="9"/>
  <c r="D44" i="61"/>
  <c r="D32" i="33"/>
  <c r="D46" i="53"/>
  <c r="D46" i="22"/>
  <c r="D46" i="12"/>
  <c r="D44" i="15"/>
  <c r="D44" i="62"/>
  <c r="D32" i="30"/>
  <c r="D46" i="19"/>
  <c r="C44" i="15" l="1"/>
  <c r="G42" i="15"/>
  <c r="F42" i="15"/>
  <c r="E43" i="15"/>
  <c r="C32" i="33"/>
  <c r="C32" i="30"/>
  <c r="G30" i="33"/>
  <c r="F30" i="33"/>
  <c r="G30" i="30"/>
  <c r="F30" i="30"/>
  <c r="E31" i="33"/>
  <c r="E31" i="30"/>
  <c r="F42" i="61"/>
  <c r="C44" i="62"/>
  <c r="C46" i="22"/>
  <c r="C46" i="53"/>
  <c r="C46" i="9"/>
  <c r="C44" i="61"/>
  <c r="C46" i="10"/>
  <c r="C46" i="52"/>
  <c r="C46" i="19"/>
  <c r="C46" i="12"/>
  <c r="E43" i="62"/>
  <c r="G43" i="62" s="1"/>
  <c r="E45" i="22"/>
  <c r="G45" i="22" s="1"/>
  <c r="F44" i="12"/>
  <c r="E45" i="53"/>
  <c r="G45" i="53" s="1"/>
  <c r="F42" i="62"/>
  <c r="C21" i="8"/>
  <c r="F44" i="10"/>
  <c r="E45" i="9"/>
  <c r="G45" i="9" s="1"/>
  <c r="F44" i="19"/>
  <c r="E43" i="61"/>
  <c r="G43" i="61" s="1"/>
  <c r="E45" i="10"/>
  <c r="G45" i="10" s="1"/>
  <c r="F20" i="8"/>
  <c r="F44" i="9"/>
  <c r="E45" i="52"/>
  <c r="G45" i="52" s="1"/>
  <c r="E45" i="19"/>
  <c r="G45" i="19" s="1"/>
  <c r="F44" i="52"/>
  <c r="F44" i="22"/>
  <c r="F44" i="53"/>
  <c r="E45" i="12"/>
  <c r="G45" i="12" s="1"/>
  <c r="D33" i="30"/>
  <c r="D47" i="53"/>
  <c r="D45" i="15"/>
  <c r="D47" i="22"/>
  <c r="D33" i="33"/>
  <c r="D45" i="61"/>
  <c r="D47" i="10"/>
  <c r="D47" i="9"/>
  <c r="D45" i="62"/>
  <c r="D47" i="12"/>
  <c r="D47" i="19"/>
  <c r="D47" i="52"/>
  <c r="C45" i="15" l="1"/>
  <c r="G43" i="15"/>
  <c r="F43" i="15"/>
  <c r="E44" i="15"/>
  <c r="C33" i="30"/>
  <c r="C33" i="33"/>
  <c r="G31" i="30"/>
  <c r="F31" i="30"/>
  <c r="G31" i="33"/>
  <c r="F31" i="33"/>
  <c r="E32" i="30"/>
  <c r="E32" i="33"/>
  <c r="F45" i="9"/>
  <c r="F45" i="53"/>
  <c r="F45" i="12"/>
  <c r="F45" i="10"/>
  <c r="C45" i="61"/>
  <c r="C47" i="53"/>
  <c r="C47" i="22"/>
  <c r="C47" i="52"/>
  <c r="C47" i="19"/>
  <c r="C47" i="10"/>
  <c r="C47" i="12"/>
  <c r="C45" i="62"/>
  <c r="C47" i="9"/>
  <c r="E44" i="61"/>
  <c r="G44" i="61" s="1"/>
  <c r="E46" i="53"/>
  <c r="G46" i="53" s="1"/>
  <c r="F45" i="22"/>
  <c r="F43" i="61"/>
  <c r="E46" i="22"/>
  <c r="G46" i="22" s="1"/>
  <c r="E46" i="52"/>
  <c r="G46" i="52" s="1"/>
  <c r="D22" i="8"/>
  <c r="E21" i="8"/>
  <c r="G21" i="8" s="1"/>
  <c r="E46" i="19"/>
  <c r="G46" i="19" s="1"/>
  <c r="F45" i="19"/>
  <c r="E46" i="10"/>
  <c r="G46" i="10" s="1"/>
  <c r="E46" i="12"/>
  <c r="G46" i="12" s="1"/>
  <c r="F45" i="52"/>
  <c r="E44" i="62"/>
  <c r="G44" i="62" s="1"/>
  <c r="F43" i="62"/>
  <c r="E46" i="9"/>
  <c r="G46" i="9" s="1"/>
  <c r="D48" i="10"/>
  <c r="D48" i="19"/>
  <c r="D46" i="61"/>
  <c r="D48" i="22"/>
  <c r="D34" i="30"/>
  <c r="D48" i="12"/>
  <c r="D48" i="53"/>
  <c r="D46" i="15"/>
  <c r="D48" i="9"/>
  <c r="D34" i="33"/>
  <c r="D46" i="62"/>
  <c r="C46" i="15" l="1"/>
  <c r="G44" i="15"/>
  <c r="F44" i="15"/>
  <c r="E45" i="15"/>
  <c r="C34" i="33"/>
  <c r="C34" i="30"/>
  <c r="E34" i="30" s="1"/>
  <c r="G34" i="30" s="1"/>
  <c r="F32" i="33"/>
  <c r="G32" i="33"/>
  <c r="G32" i="30"/>
  <c r="F32" i="30"/>
  <c r="E33" i="33"/>
  <c r="E33" i="30"/>
  <c r="F46" i="19"/>
  <c r="F46" i="9"/>
  <c r="F44" i="61"/>
  <c r="F44" i="62"/>
  <c r="F46" i="12"/>
  <c r="C48" i="19"/>
  <c r="C48" i="53"/>
  <c r="C48" i="10"/>
  <c r="C48" i="9"/>
  <c r="C46" i="62"/>
  <c r="C48" i="12"/>
  <c r="C46" i="61"/>
  <c r="C48" i="22"/>
  <c r="F46" i="22"/>
  <c r="E47" i="19"/>
  <c r="G47" i="19" s="1"/>
  <c r="E47" i="53"/>
  <c r="G47" i="53" s="1"/>
  <c r="F21" i="8"/>
  <c r="E47" i="52"/>
  <c r="G47" i="52" s="1"/>
  <c r="F46" i="10"/>
  <c r="E47" i="10"/>
  <c r="G47" i="10" s="1"/>
  <c r="E47" i="9"/>
  <c r="G47" i="9" s="1"/>
  <c r="C22" i="8"/>
  <c r="E45" i="62"/>
  <c r="G45" i="62" s="1"/>
  <c r="E47" i="12"/>
  <c r="G47" i="12" s="1"/>
  <c r="E45" i="61"/>
  <c r="G45" i="61" s="1"/>
  <c r="F46" i="53"/>
  <c r="F46" i="52"/>
  <c r="E47" i="22"/>
  <c r="G47" i="22" s="1"/>
  <c r="D47" i="62"/>
  <c r="D47" i="15"/>
  <c r="D49" i="22"/>
  <c r="D49" i="53"/>
  <c r="D47" i="61"/>
  <c r="D49" i="10"/>
  <c r="D35" i="33"/>
  <c r="D49" i="19"/>
  <c r="D49" i="9"/>
  <c r="D49" i="12"/>
  <c r="C47" i="15" l="1"/>
  <c r="G45" i="15"/>
  <c r="F45" i="15"/>
  <c r="E46" i="15"/>
  <c r="F34" i="30"/>
  <c r="C35" i="33"/>
  <c r="G33" i="30"/>
  <c r="F33" i="30"/>
  <c r="G33" i="33"/>
  <c r="F33" i="33"/>
  <c r="E34" i="33"/>
  <c r="F47" i="12"/>
  <c r="F45" i="62"/>
  <c r="F47" i="9"/>
  <c r="C47" i="61"/>
  <c r="C49" i="19"/>
  <c r="C47" i="62"/>
  <c r="C49" i="9"/>
  <c r="C49" i="22"/>
  <c r="C49" i="53"/>
  <c r="C49" i="10"/>
  <c r="C49" i="12"/>
  <c r="F47" i="19"/>
  <c r="F47" i="22"/>
  <c r="F47" i="52"/>
  <c r="F45" i="61"/>
  <c r="E46" i="61"/>
  <c r="G46" i="61" s="1"/>
  <c r="E48" i="19"/>
  <c r="G48" i="19" s="1"/>
  <c r="E46" i="62"/>
  <c r="G46" i="62" s="1"/>
  <c r="F47" i="10"/>
  <c r="E48" i="9"/>
  <c r="G48" i="9" s="1"/>
  <c r="E48" i="22"/>
  <c r="G48" i="22" s="1"/>
  <c r="E48" i="53"/>
  <c r="G48" i="53" s="1"/>
  <c r="E48" i="10"/>
  <c r="G48" i="10" s="1"/>
  <c r="E48" i="12"/>
  <c r="G48" i="12" s="1"/>
  <c r="E22" i="8"/>
  <c r="G22" i="8" s="1"/>
  <c r="D23" i="8"/>
  <c r="F22" i="8"/>
  <c r="F47" i="53"/>
  <c r="D48" i="15"/>
  <c r="D36" i="33"/>
  <c r="D48" i="62"/>
  <c r="D48" i="61"/>
  <c r="D50" i="19"/>
  <c r="D50" i="9"/>
  <c r="C48" i="15" l="1"/>
  <c r="G46" i="15"/>
  <c r="F46" i="15"/>
  <c r="E47" i="15"/>
  <c r="C36" i="33"/>
  <c r="E36" i="33" s="1"/>
  <c r="G36" i="33" s="1"/>
  <c r="G34" i="33"/>
  <c r="F34" i="33"/>
  <c r="E35" i="33"/>
  <c r="F48" i="9"/>
  <c r="C50" i="9"/>
  <c r="C48" i="61"/>
  <c r="C48" i="62"/>
  <c r="C50" i="19"/>
  <c r="E49" i="10"/>
  <c r="G49" i="10" s="1"/>
  <c r="F46" i="62"/>
  <c r="E49" i="9"/>
  <c r="G49" i="9" s="1"/>
  <c r="E47" i="61"/>
  <c r="G47" i="61" s="1"/>
  <c r="E49" i="12"/>
  <c r="G49" i="12" s="1"/>
  <c r="F48" i="19"/>
  <c r="E49" i="22"/>
  <c r="G49" i="22" s="1"/>
  <c r="F48" i="10"/>
  <c r="E49" i="53"/>
  <c r="G49" i="53" s="1"/>
  <c r="F48" i="12"/>
  <c r="E47" i="62"/>
  <c r="G47" i="62" s="1"/>
  <c r="E49" i="19"/>
  <c r="G49" i="19" s="1"/>
  <c r="F48" i="53"/>
  <c r="F48" i="22"/>
  <c r="F46" i="61"/>
  <c r="C23" i="8"/>
  <c r="D49" i="61"/>
  <c r="D49" i="15"/>
  <c r="D51" i="9"/>
  <c r="D49" i="62"/>
  <c r="C49" i="15" l="1"/>
  <c r="G47" i="15"/>
  <c r="F47" i="15"/>
  <c r="E48" i="15"/>
  <c r="F35" i="33"/>
  <c r="G35" i="33"/>
  <c r="F36" i="33"/>
  <c r="F49" i="22"/>
  <c r="C49" i="62"/>
  <c r="C51" i="9"/>
  <c r="C49" i="61"/>
  <c r="E50" i="19"/>
  <c r="G50" i="19" s="1"/>
  <c r="E48" i="62"/>
  <c r="G48" i="62" s="1"/>
  <c r="F49" i="9"/>
  <c r="E50" i="9"/>
  <c r="G50" i="9" s="1"/>
  <c r="F49" i="53"/>
  <c r="F47" i="61"/>
  <c r="E23" i="8"/>
  <c r="G23" i="8" s="1"/>
  <c r="D24" i="8"/>
  <c r="F47" i="62"/>
  <c r="E48" i="61"/>
  <c r="G48" i="61" s="1"/>
  <c r="F49" i="19"/>
  <c r="F49" i="10"/>
  <c r="F49" i="12"/>
  <c r="D50" i="62"/>
  <c r="D50" i="61"/>
  <c r="D52" i="9"/>
  <c r="D50" i="15"/>
  <c r="C50" i="15" l="1"/>
  <c r="E50" i="15" s="1"/>
  <c r="E49" i="15"/>
  <c r="G49" i="15" s="1"/>
  <c r="G48" i="15"/>
  <c r="F48" i="15"/>
  <c r="C52" i="9"/>
  <c r="C50" i="61"/>
  <c r="C50" i="62"/>
  <c r="E51" i="9"/>
  <c r="G51" i="9" s="1"/>
  <c r="E49" i="61"/>
  <c r="G49" i="61" s="1"/>
  <c r="F48" i="61"/>
  <c r="E49" i="62"/>
  <c r="G49" i="62" s="1"/>
  <c r="F50" i="9"/>
  <c r="C24" i="8"/>
  <c r="F48" i="62"/>
  <c r="F23" i="8"/>
  <c r="F50" i="19"/>
  <c r="D51" i="15"/>
  <c r="C51" i="15" l="1"/>
  <c r="E51" i="15" s="1"/>
  <c r="G51" i="15" s="1"/>
  <c r="F49" i="15"/>
  <c r="G50" i="15"/>
  <c r="F50" i="15"/>
  <c r="F51" i="9"/>
  <c r="D25" i="8"/>
  <c r="E24" i="8"/>
  <c r="G24" i="8" s="1"/>
  <c r="E50" i="62"/>
  <c r="G50" i="62" s="1"/>
  <c r="E50" i="61"/>
  <c r="G50" i="61" s="1"/>
  <c r="F49" i="61"/>
  <c r="F49" i="62"/>
  <c r="E52" i="9"/>
  <c r="G52" i="9" s="1"/>
  <c r="F51" i="15" l="1"/>
  <c r="F24" i="8"/>
  <c r="F50" i="62"/>
  <c r="C25" i="8"/>
  <c r="F50" i="61"/>
  <c r="F52" i="9"/>
  <c r="E25" i="8" l="1"/>
  <c r="G25" i="8" s="1"/>
  <c r="F25" i="8"/>
  <c r="D26" i="8"/>
  <c r="C26" i="8" l="1"/>
  <c r="D27" i="8" l="1"/>
  <c r="E26" i="8"/>
  <c r="G26" i="8" s="1"/>
  <c r="F26" i="8" l="1"/>
  <c r="C27" i="8"/>
  <c r="D28" i="8" l="1"/>
  <c r="E27" i="8"/>
  <c r="G27" i="8" s="1"/>
  <c r="F27" i="8" l="1"/>
  <c r="C28" i="8"/>
  <c r="E28" i="8" l="1"/>
  <c r="G28" i="8" s="1"/>
  <c r="F28" i="8"/>
  <c r="D29" i="8"/>
  <c r="C29" i="8" l="1"/>
  <c r="D30" i="8" l="1"/>
  <c r="E29" i="8"/>
  <c r="G29" i="8" s="1"/>
  <c r="F29" i="8" l="1"/>
  <c r="C30" i="8"/>
  <c r="D31" i="8" l="1"/>
  <c r="E30" i="8"/>
  <c r="G30" i="8" s="1"/>
  <c r="C31" i="8" l="1"/>
  <c r="F30" i="8"/>
  <c r="E31" i="8" l="1"/>
  <c r="G31" i="8" s="1"/>
  <c r="D32" i="8"/>
  <c r="C32" i="8" l="1"/>
  <c r="F31" i="8"/>
  <c r="D33" i="8" l="1"/>
  <c r="E32" i="8"/>
  <c r="G32" i="8" s="1"/>
  <c r="F32" i="8" l="1"/>
  <c r="C33" i="8"/>
  <c r="D34" i="8" l="1"/>
  <c r="E33" i="8"/>
  <c r="G33" i="8" s="1"/>
  <c r="F33" i="8" l="1"/>
  <c r="C34" i="8"/>
  <c r="D35" i="8" l="1"/>
  <c r="E34" i="8"/>
  <c r="G34" i="8" s="1"/>
  <c r="F34" i="8" l="1"/>
  <c r="C35" i="8"/>
  <c r="E35" i="8" l="1"/>
  <c r="G35" i="8" s="1"/>
  <c r="D36" i="8"/>
  <c r="C36" i="8" l="1"/>
  <c r="F35" i="8"/>
  <c r="D37" i="8" l="1"/>
  <c r="E36" i="8"/>
  <c r="G36" i="8" s="1"/>
  <c r="F36" i="8" l="1"/>
  <c r="C37" i="8"/>
  <c r="E37" i="8" l="1"/>
  <c r="G37" i="8" s="1"/>
  <c r="D38" i="8"/>
  <c r="F37" i="8"/>
  <c r="C38" i="8" l="1"/>
  <c r="E38" i="8" l="1"/>
  <c r="G38" i="8" s="1"/>
  <c r="D39" i="8"/>
  <c r="C39" i="8" l="1"/>
  <c r="F38" i="8"/>
  <c r="D40" i="8" l="1"/>
  <c r="E39" i="8"/>
  <c r="G39" i="8" s="1"/>
  <c r="F39" i="8" l="1"/>
  <c r="C40" i="8"/>
  <c r="E40" i="8" l="1"/>
  <c r="G40" i="8" s="1"/>
  <c r="D41" i="8"/>
  <c r="F40" i="8"/>
  <c r="C41" i="8" l="1"/>
  <c r="D42" i="8" l="1"/>
  <c r="E41" i="8"/>
  <c r="G41" i="8" s="1"/>
  <c r="F41" i="8" l="1"/>
  <c r="C42" i="8"/>
  <c r="D43" i="8" l="1"/>
  <c r="E42" i="8"/>
  <c r="G42" i="8" s="1"/>
  <c r="C43" i="8" l="1"/>
  <c r="F42" i="8"/>
  <c r="D44" i="8" l="1"/>
  <c r="E43" i="8"/>
  <c r="G43" i="8" s="1"/>
  <c r="F43" i="8" l="1"/>
  <c r="C44" i="8"/>
  <c r="D45" i="8" l="1"/>
  <c r="E44" i="8"/>
  <c r="G44" i="8" s="1"/>
  <c r="F44" i="8" l="1"/>
  <c r="C45" i="8"/>
  <c r="D46" i="8" l="1"/>
  <c r="E45" i="8"/>
  <c r="G45" i="8" s="1"/>
  <c r="F45" i="8"/>
  <c r="C46" i="8" l="1"/>
  <c r="D47" i="8" l="1"/>
  <c r="E46" i="8"/>
  <c r="G46" i="8" s="1"/>
  <c r="F46" i="8" l="1"/>
  <c r="C47" i="8"/>
  <c r="E47" i="8" l="1"/>
  <c r="G47" i="8" s="1"/>
  <c r="D48" i="8"/>
  <c r="C48" i="8" l="1"/>
  <c r="F47" i="8"/>
  <c r="D49" i="8" l="1"/>
  <c r="E48" i="8"/>
  <c r="G48" i="8" s="1"/>
  <c r="F48" i="8" l="1"/>
  <c r="C49" i="8"/>
  <c r="E49" i="8" l="1"/>
  <c r="G49" i="8" s="1"/>
  <c r="D50" i="8"/>
  <c r="C50" i="8" l="1"/>
  <c r="F49" i="8"/>
  <c r="D51" i="8" l="1"/>
  <c r="E50" i="8"/>
  <c r="G50" i="8" s="1"/>
  <c r="F50" i="8" l="1"/>
  <c r="C51" i="8"/>
  <c r="D52" i="8" l="1"/>
  <c r="E51" i="8"/>
  <c r="G51" i="8" s="1"/>
  <c r="F51" i="8" l="1"/>
  <c r="C52" i="8"/>
  <c r="E52" i="8" l="1"/>
  <c r="G52" i="8" s="1"/>
  <c r="F52" i="8"/>
  <c r="D53" i="8"/>
  <c r="C53" i="8" l="1"/>
  <c r="D54" i="8" l="1"/>
  <c r="E53" i="8"/>
  <c r="G53" i="8" s="1"/>
  <c r="F53" i="8" l="1"/>
  <c r="C54" i="8"/>
  <c r="E54" i="8" l="1"/>
  <c r="G54" i="8" s="1"/>
  <c r="F54" i="8" l="1"/>
</calcChain>
</file>

<file path=xl/sharedStrings.xml><?xml version="1.0" encoding="utf-8"?>
<sst xmlns="http://schemas.openxmlformats.org/spreadsheetml/2006/main" count="5186" uniqueCount="1369">
  <si>
    <t>Rev</t>
  </si>
  <si>
    <t>Date</t>
  </si>
  <si>
    <t>Update description</t>
  </si>
  <si>
    <t>0.00</t>
  </si>
  <si>
    <t>copy from “GDMA_A2_DES_REG_v2.7.xlsx”</t>
  </si>
  <si>
    <t>0.01</t>
  </si>
  <si>
    <t>(1) 增加 CSR base_addr_region 至 32 个
(2) 修改 DMA_tensor 指令</t>
  </si>
  <si>
    <t>0.03</t>
  </si>
  <si>
    <t>增加 randgen/randmask 指令 descriptor</t>
  </si>
  <si>
    <t>0.04</t>
  </si>
  <si>
    <t>修改 CSR 寄存器：
(1) 增加副线程 descriptor 寄存器
(2) 将地址增加至 40bits
(3) 增加 compress_wqos / decompress_rqos
(4) 增加有多管 rdma_ctrl 指令的 slot memory 的分配寄存器
(5) 删除一组 ddr qos 寄存器，只留下一组</t>
  </si>
  <si>
    <t>0.05</t>
  </si>
  <si>
    <r>
      <rPr>
        <b/>
        <sz val="8"/>
        <color theme="1"/>
        <rFont val="宋体"/>
        <family val="3"/>
        <charset val="134"/>
      </rPr>
      <t>修改</t>
    </r>
    <r>
      <rPr>
        <b/>
        <sz val="8"/>
        <color theme="1"/>
        <rFont val="Arial"/>
        <family val="2"/>
      </rPr>
      <t>gather/scatter</t>
    </r>
    <r>
      <rPr>
        <b/>
        <sz val="8"/>
        <color theme="1"/>
        <rFont val="宋体"/>
        <family val="3"/>
        <charset val="134"/>
      </rPr>
      <t>指令
（</t>
    </r>
    <r>
      <rPr>
        <b/>
        <sz val="8"/>
        <color theme="1"/>
        <rFont val="Arial"/>
        <family val="2"/>
      </rPr>
      <t>1</t>
    </r>
    <r>
      <rPr>
        <b/>
        <sz val="8"/>
        <color theme="1"/>
        <rFont val="宋体"/>
        <family val="3"/>
        <charset val="134"/>
      </rPr>
      <t>）增加</t>
    </r>
    <r>
      <rPr>
        <b/>
        <sz val="8"/>
        <color theme="1"/>
        <rFont val="Arial"/>
        <family val="2"/>
      </rPr>
      <t>idx</t>
    </r>
    <r>
      <rPr>
        <b/>
        <sz val="8"/>
        <color theme="1"/>
        <rFont val="宋体"/>
        <family val="3"/>
        <charset val="134"/>
      </rPr>
      <t>的</t>
    </r>
    <r>
      <rPr>
        <b/>
        <sz val="8"/>
        <color theme="1"/>
        <rFont val="Arial"/>
        <family val="2"/>
      </rPr>
      <t>UINT64</t>
    </r>
    <r>
      <rPr>
        <b/>
        <sz val="8"/>
        <color theme="1"/>
        <rFont val="宋体"/>
        <family val="3"/>
        <charset val="134"/>
      </rPr>
      <t>类型
（</t>
    </r>
    <r>
      <rPr>
        <b/>
        <sz val="8"/>
        <color theme="1"/>
        <rFont val="Arial"/>
        <family val="2"/>
      </rPr>
      <t>2</t>
    </r>
    <r>
      <rPr>
        <b/>
        <sz val="8"/>
        <color theme="1"/>
        <rFont val="宋体"/>
        <family val="3"/>
        <charset val="134"/>
      </rPr>
      <t>）增加</t>
    </r>
    <r>
      <rPr>
        <b/>
        <sz val="8"/>
        <color theme="1"/>
        <rFont val="Arial"/>
        <family val="2"/>
      </rPr>
      <t>gather/scatter</t>
    </r>
    <r>
      <rPr>
        <b/>
        <sz val="8"/>
        <color theme="1"/>
        <rFont val="宋体"/>
        <family val="3"/>
        <charset val="134"/>
      </rPr>
      <t>地址描述</t>
    </r>
  </si>
  <si>
    <t>0.06</t>
  </si>
  <si>
    <t>修改gather/scatter指令
（1）删除idx的UINT64类型
（2）修改gather/scatter cmd_type field，与其他指令对齐
（3）增加scatter inplace/add special_func</t>
  </si>
  <si>
    <t>0.07</t>
  </si>
  <si>
    <t>新增GDMA_VBD指令</t>
  </si>
  <si>
    <r>
      <rPr>
        <sz val="11"/>
        <color theme="1"/>
        <rFont val="Microsoft YaHei UI"/>
        <family val="2"/>
        <charset val="134"/>
      </rPr>
      <t>0</t>
    </r>
    <r>
      <rPr>
        <sz val="11"/>
        <color theme="1"/>
        <rFont val="Microsoft YaHei UI"/>
        <family val="2"/>
        <charset val="134"/>
      </rPr>
      <t>.08</t>
    </r>
  </si>
  <si>
    <t>CSR寄存器新增cdma_vde_bypass</t>
  </si>
  <si>
    <t>0.09</t>
  </si>
  <si>
    <t>新增CSR寄存器master_des_addr_update，slave_des_addr_updata；修改des_clr为rw类型，修改ins_buf_one_forth_full，ins_buf_three_forth_full, ins_buf_empty_full, ins_buf_full为rwc类型, 修改cfg_load_mon_clr为rws类型</t>
  </si>
  <si>
    <t>0.10</t>
  </si>
  <si>
    <t>CSR Table新增寄存器：randmask_seed[63:0]和randmask_seed_enable，type为rw</t>
  </si>
  <si>
    <t>0.11</t>
  </si>
  <si>
    <t>CSR Table: des_mode_enable, sync_id_reset, des_clr, master/slave_des_addr_l32, word_nums_after_filter, ins_buff_empty, ins_buf_one_fouth_full, ins_buff_three_forth_full, ins_buff_full, cfg_load_mon_clr的description添加A2到sg2260的r/w type修改；表格下方添加寄存器类型说明。</t>
  </si>
  <si>
    <t>0.12</t>
  </si>
  <si>
    <r>
      <rPr>
        <sz val="8"/>
        <color theme="1"/>
        <rFont val="Cambria"/>
        <family val="1"/>
      </rPr>
      <t>CSR Table</t>
    </r>
    <r>
      <rPr>
        <sz val="8"/>
        <color theme="1"/>
        <rFont val="宋体"/>
        <family val="3"/>
        <charset val="134"/>
      </rPr>
      <t>新增mst/slv_des_addr,a4s_dest_id,a4s_src_id寄存器，修改message_base_id为9bit</t>
    </r>
  </si>
  <si>
    <t>0.13</t>
  </si>
  <si>
    <t>新增DES指令：lossy_compress, lossy_decompress。</t>
  </si>
  <si>
    <t>0.14</t>
  </si>
  <si>
    <t>修改各指令 DES
(1) 增加 cache_en / cache_flush 位段
(2) 修改 cmd_type 至 5bits
(3) 修改 addr 至 40bits，并修改描述</t>
  </si>
  <si>
    <r>
      <rPr>
        <sz val="11"/>
        <color theme="1"/>
        <rFont val="Microsoft YaHei UI"/>
        <family val="2"/>
        <charset val="134"/>
      </rPr>
      <t>0</t>
    </r>
    <r>
      <rPr>
        <sz val="11"/>
        <color theme="1"/>
        <rFont val="Microsoft YaHei UI"/>
        <family val="2"/>
        <charset val="134"/>
      </rPr>
      <t>.15</t>
    </r>
  </si>
  <si>
    <t>CSR寄存器：current_sync_id, intr_sync_id位宽24bit修改为32bit。其中intr_sync_id地址从gdma_csr_11移至gdma_csr_69。DES指令：cmd_id_dep位宽24bit-&gt;17bit。</t>
  </si>
  <si>
    <t>0.18</t>
  </si>
  <si>
    <t>scatter / compress / lossy_decompress / decompress 地址 40bit 修正至 45bit</t>
  </si>
  <si>
    <r>
      <rPr>
        <sz val="11"/>
        <color theme="1"/>
        <rFont val="Microsoft YaHei UI"/>
        <family val="2"/>
        <charset val="134"/>
      </rPr>
      <t>0</t>
    </r>
    <r>
      <rPr>
        <sz val="11"/>
        <color theme="1"/>
        <rFont val="Microsoft YaHei UI"/>
        <family val="2"/>
        <charset val="134"/>
      </rPr>
      <t>.19</t>
    </r>
  </si>
  <si>
    <t>DMA_sys指令constant value栏位描述中，message_id修改为9bit，wcnt和scnt修改为6bit</t>
  </si>
  <si>
    <t>0.20</t>
  </si>
  <si>
    <t>(1) DES cmd_type 删除 send
(2) 增加 transfer 指令描述</t>
  </si>
  <si>
    <r>
      <rPr>
        <sz val="11"/>
        <color theme="1"/>
        <rFont val="Microsoft YaHei UI"/>
        <family val="2"/>
        <charset val="134"/>
      </rPr>
      <t>0</t>
    </r>
    <r>
      <rPr>
        <sz val="11"/>
        <color theme="1"/>
        <rFont val="Microsoft YaHei UI"/>
        <family val="2"/>
        <charset val="134"/>
      </rPr>
      <t>.21</t>
    </r>
  </si>
  <si>
    <r>
      <rPr>
        <sz val="11"/>
        <color theme="1"/>
        <rFont val="Cambria"/>
        <family val="1"/>
      </rPr>
      <t>DMA_sys</t>
    </r>
    <r>
      <rPr>
        <sz val="11"/>
        <color theme="1"/>
        <rFont val="宋体"/>
        <family val="3"/>
        <charset val="134"/>
      </rPr>
      <t>指令</t>
    </r>
    <r>
      <rPr>
        <sz val="11"/>
        <color theme="1"/>
        <rFont val="Cambria"/>
        <family val="1"/>
      </rPr>
      <t>cmd_special_function</t>
    </r>
    <r>
      <rPr>
        <sz val="11"/>
        <color theme="1"/>
        <rFont val="宋体"/>
        <family val="3"/>
        <charset val="134"/>
      </rPr>
      <t>位段新增sys_fork/join/exit指令</t>
    </r>
  </si>
  <si>
    <t>0.22</t>
  </si>
  <si>
    <r>
      <rPr>
        <sz val="11"/>
        <color theme="1"/>
        <rFont val="Cambria"/>
        <family val="1"/>
      </rPr>
      <t>CSR</t>
    </r>
    <r>
      <rPr>
        <sz val="11"/>
        <color theme="1"/>
        <rFont val="宋体"/>
        <family val="3"/>
        <charset val="134"/>
      </rPr>
      <t>：
修改</t>
    </r>
    <r>
      <rPr>
        <sz val="11"/>
        <color theme="1"/>
        <rFont val="Cambria"/>
        <family val="1"/>
      </rPr>
      <t>current_sync_id</t>
    </r>
    <r>
      <rPr>
        <sz val="11"/>
        <color theme="1"/>
        <rFont val="宋体"/>
        <family val="3"/>
        <charset val="134"/>
      </rPr>
      <t>为</t>
    </r>
    <r>
      <rPr>
        <sz val="11"/>
        <color theme="1"/>
        <rFont val="Cambria"/>
        <family val="1"/>
      </rPr>
      <t>mst_current_sync_id</t>
    </r>
    <r>
      <rPr>
        <sz val="11"/>
        <color theme="1"/>
        <rFont val="宋体"/>
        <family val="3"/>
        <charset val="134"/>
      </rPr>
      <t>，添加</t>
    </r>
    <r>
      <rPr>
        <sz val="11"/>
        <color theme="1"/>
        <rFont val="Cambria"/>
        <family val="1"/>
      </rPr>
      <t>slv_current_sync_id</t>
    </r>
    <r>
      <rPr>
        <sz val="11"/>
        <color theme="1"/>
        <rFont val="宋体"/>
        <family val="3"/>
        <charset val="134"/>
      </rPr>
      <t>，</t>
    </r>
    <r>
      <rPr>
        <sz val="11"/>
        <color theme="1"/>
        <rFont val="Cambria"/>
        <family val="1"/>
      </rPr>
      <t xml:space="preserve">
</t>
    </r>
    <r>
      <rPr>
        <sz val="11"/>
        <color theme="1"/>
        <rFont val="宋体"/>
        <family val="3"/>
        <charset val="134"/>
      </rPr>
      <t>修改intr_sync_id为mst_intr_sync_id，添加slv_intr_sync_id，
修改ins_buf_status为mst_ins_buf_status,添加slv_ins_buf_status,</t>
    </r>
    <r>
      <rPr>
        <sz val="11"/>
        <color theme="1"/>
        <rFont val="Cambria"/>
        <family val="1"/>
      </rPr>
      <t xml:space="preserve">
</t>
    </r>
    <r>
      <rPr>
        <sz val="11"/>
        <color theme="1"/>
        <rFont val="宋体"/>
        <family val="3"/>
        <charset val="134"/>
      </rPr>
      <t>DMA_sys:
wcnt和scnt从6bit修改为7bit</t>
    </r>
    <r>
      <rPr>
        <sz val="11"/>
        <color theme="1"/>
        <rFont val="Cambria"/>
        <family val="1"/>
      </rPr>
      <t>,</t>
    </r>
  </si>
  <si>
    <t>0.23</t>
  </si>
  <si>
    <r>
      <rPr>
        <sz val="11"/>
        <color theme="1"/>
        <rFont val="Cambria"/>
        <family val="1"/>
      </rPr>
      <t>CSR:
1.</t>
    </r>
    <r>
      <rPr>
        <sz val="11"/>
        <color theme="1"/>
        <rFont val="宋体"/>
        <family val="3"/>
        <charset val="134"/>
      </rPr>
      <t>删除</t>
    </r>
    <r>
      <rPr>
        <sz val="11"/>
        <color theme="1"/>
        <rFont val="Cambria"/>
        <family val="1"/>
      </rPr>
      <t>a4s_tdest_id</t>
    </r>
    <r>
      <rPr>
        <sz val="11"/>
        <color theme="1"/>
        <rFont val="宋体"/>
        <family val="3"/>
        <charset val="134"/>
      </rPr>
      <t>寄存器，</t>
    </r>
    <r>
      <rPr>
        <sz val="11"/>
        <color theme="1"/>
        <rFont val="Cambria"/>
        <family val="1"/>
      </rPr>
      <t>a4s_src_id</t>
    </r>
    <r>
      <rPr>
        <sz val="11"/>
        <color theme="1"/>
        <rFont val="宋体"/>
        <family val="3"/>
        <charset val="134"/>
      </rPr>
      <t>地址更改为原本</t>
    </r>
    <r>
      <rPr>
        <sz val="11"/>
        <color theme="1"/>
        <rFont val="Cambria"/>
        <family val="1"/>
      </rPr>
      <t>a4s_tdest_id</t>
    </r>
    <r>
      <rPr>
        <sz val="11"/>
        <color theme="1"/>
        <rFont val="宋体"/>
        <family val="3"/>
        <charset val="134"/>
      </rPr>
      <t>所在的地址；
2.</t>
    </r>
    <r>
      <rPr>
        <sz val="11"/>
        <color theme="1"/>
        <rFont val="Cambria"/>
        <family val="1"/>
      </rPr>
      <t>tpu0_rd_err</t>
    </r>
    <r>
      <rPr>
        <sz val="11"/>
        <color theme="1"/>
        <rFont val="宋体"/>
        <family val="3"/>
        <charset val="134"/>
      </rPr>
      <t>和</t>
    </r>
    <r>
      <rPr>
        <sz val="11"/>
        <color theme="1"/>
        <rFont val="Cambria"/>
        <family val="1"/>
      </rPr>
      <t>tpu0_wr_err</t>
    </r>
    <r>
      <rPr>
        <sz val="11"/>
        <color theme="1"/>
        <rFont val="宋体"/>
        <family val="3"/>
        <charset val="134"/>
      </rPr>
      <t>更名为</t>
    </r>
    <r>
      <rPr>
        <sz val="11"/>
        <color theme="1"/>
        <rFont val="Cambria"/>
        <family val="1"/>
      </rPr>
      <t>tpu0_data_rd_err</t>
    </r>
    <r>
      <rPr>
        <sz val="11"/>
        <color theme="1"/>
        <rFont val="宋体"/>
        <family val="3"/>
        <charset val="134"/>
      </rPr>
      <t>和</t>
    </r>
    <r>
      <rPr>
        <sz val="11"/>
        <color theme="1"/>
        <rFont val="Cambria"/>
        <family val="1"/>
      </rPr>
      <t>tpu0_data_wr_err</t>
    </r>
    <r>
      <rPr>
        <sz val="11"/>
        <color theme="1"/>
        <rFont val="宋体"/>
        <family val="3"/>
        <charset val="134"/>
      </rPr>
      <t>；</t>
    </r>
    <r>
      <rPr>
        <sz val="11"/>
        <color theme="1"/>
        <rFont val="Cambria"/>
        <family val="1"/>
      </rPr>
      <t xml:space="preserve">
DMA_sys</t>
    </r>
    <r>
      <rPr>
        <sz val="11"/>
        <color theme="1"/>
        <rFont val="宋体"/>
        <family val="3"/>
        <charset val="134"/>
      </rPr>
      <t>：</t>
    </r>
    <r>
      <rPr>
        <sz val="11"/>
        <color theme="1"/>
        <rFont val="Cambria"/>
        <family val="1"/>
      </rPr>
      <t>constant value</t>
    </r>
    <r>
      <rPr>
        <sz val="11"/>
        <color theme="1"/>
        <rFont val="宋体"/>
        <family val="3"/>
        <charset val="134"/>
      </rPr>
      <t>位段增加</t>
    </r>
    <r>
      <rPr>
        <sz val="11"/>
        <color theme="1"/>
        <rFont val="Cambria"/>
        <family val="1"/>
      </rPr>
      <t>a4s_tdest_id</t>
    </r>
    <r>
      <rPr>
        <sz val="11"/>
        <color theme="1"/>
        <rFont val="宋体"/>
        <family val="3"/>
        <charset val="134"/>
      </rPr>
      <t>信息,长度8bit；</t>
    </r>
  </si>
  <si>
    <t>0.24</t>
  </si>
  <si>
    <r>
      <rPr>
        <sz val="11"/>
        <color theme="1"/>
        <rFont val="Cambria"/>
        <family val="1"/>
      </rPr>
      <t>Randmask</t>
    </r>
    <r>
      <rPr>
        <sz val="11"/>
        <color theme="1"/>
        <rFont val="宋体"/>
        <family val="3"/>
        <charset val="134"/>
      </rPr>
      <t>指令增加</t>
    </r>
    <r>
      <rPr>
        <sz val="11"/>
        <color theme="1"/>
        <rFont val="Cambria"/>
        <family val="1"/>
      </rPr>
      <t>inter_state</t>
    </r>
    <r>
      <rPr>
        <sz val="11"/>
        <color theme="1"/>
        <rFont val="宋体"/>
        <family val="3"/>
        <charset val="134"/>
      </rPr>
      <t>栏位</t>
    </r>
  </si>
  <si>
    <t>0.25</t>
  </si>
  <si>
    <r>
      <rPr>
        <sz val="11"/>
        <color theme="1"/>
        <rFont val="Cambria"/>
        <family val="1"/>
      </rPr>
      <t xml:space="preserve">CSR:
</t>
    </r>
    <r>
      <rPr>
        <sz val="11"/>
        <color theme="1"/>
        <rFont val="宋体"/>
        <family val="3"/>
        <charset val="134"/>
      </rPr>
      <t>1.增加</t>
    </r>
    <r>
      <rPr>
        <sz val="11"/>
        <color theme="1"/>
        <rFont val="Cambria"/>
        <family val="1"/>
      </rPr>
      <t>des_hang_timer;
2.gdma_csr_12/73/74/75</t>
    </r>
    <r>
      <rPr>
        <sz val="11"/>
        <color theme="1"/>
        <rFont val="宋体"/>
        <family val="3"/>
        <charset val="134"/>
      </rPr>
      <t>地址与</t>
    </r>
    <r>
      <rPr>
        <sz val="11"/>
        <color theme="1"/>
        <rFont val="Cambria"/>
        <family val="1"/>
      </rPr>
      <t>interrupt</t>
    </r>
    <r>
      <rPr>
        <sz val="11"/>
        <color theme="1"/>
        <rFont val="宋体"/>
        <family val="3"/>
        <charset val="134"/>
      </rPr>
      <t>相关功能修改；</t>
    </r>
    <r>
      <rPr>
        <sz val="11"/>
        <color theme="1"/>
        <rFont val="Cambria"/>
        <family val="1"/>
      </rPr>
      <t>_12</t>
    </r>
    <r>
      <rPr>
        <sz val="11"/>
        <color theme="1"/>
        <rFont val="宋体"/>
        <family val="3"/>
        <charset val="134"/>
      </rPr>
      <t>为</t>
    </r>
    <r>
      <rPr>
        <sz val="11"/>
        <color theme="1"/>
        <rFont val="Cambria"/>
        <family val="1"/>
      </rPr>
      <t>status</t>
    </r>
    <r>
      <rPr>
        <sz val="11"/>
        <color theme="1"/>
        <rFont val="宋体"/>
        <family val="3"/>
        <charset val="134"/>
      </rPr>
      <t>的</t>
    </r>
    <r>
      <rPr>
        <sz val="11"/>
        <color theme="1"/>
        <rFont val="Cambria"/>
        <family val="1"/>
      </rPr>
      <t>mask</t>
    </r>
    <r>
      <rPr>
        <sz val="11"/>
        <color theme="1"/>
        <rFont val="宋体"/>
        <family val="3"/>
        <charset val="134"/>
      </rPr>
      <t>，</t>
    </r>
    <r>
      <rPr>
        <sz val="11"/>
        <color theme="1"/>
        <rFont val="Cambria"/>
        <family val="1"/>
      </rPr>
      <t>_73</t>
    </r>
    <r>
      <rPr>
        <sz val="11"/>
        <color theme="1"/>
        <rFont val="宋体"/>
        <family val="3"/>
        <charset val="134"/>
      </rPr>
      <t>为</t>
    </r>
    <r>
      <rPr>
        <sz val="11"/>
        <color theme="1"/>
        <rFont val="Cambria"/>
        <family val="1"/>
      </rPr>
      <t>error</t>
    </r>
    <r>
      <rPr>
        <sz val="11"/>
        <color theme="1"/>
        <rFont val="宋体"/>
        <family val="3"/>
        <charset val="134"/>
      </rPr>
      <t>的</t>
    </r>
    <r>
      <rPr>
        <sz val="11"/>
        <color theme="1"/>
        <rFont val="Cambria"/>
        <family val="1"/>
      </rPr>
      <t>mask</t>
    </r>
    <r>
      <rPr>
        <sz val="11"/>
        <color theme="1"/>
        <rFont val="宋体"/>
        <family val="3"/>
        <charset val="134"/>
      </rPr>
      <t>，</t>
    </r>
    <r>
      <rPr>
        <sz val="11"/>
        <color theme="1"/>
        <rFont val="Cambria"/>
        <family val="1"/>
      </rPr>
      <t>_74</t>
    </r>
    <r>
      <rPr>
        <sz val="11"/>
        <color theme="1"/>
        <rFont val="宋体"/>
        <family val="3"/>
        <charset val="134"/>
      </rPr>
      <t>为</t>
    </r>
    <r>
      <rPr>
        <sz val="11"/>
        <color theme="1"/>
        <rFont val="Cambria"/>
        <family val="1"/>
      </rPr>
      <t>status</t>
    </r>
    <r>
      <rPr>
        <sz val="11"/>
        <color theme="1"/>
        <rFont val="宋体"/>
        <family val="3"/>
        <charset val="134"/>
      </rPr>
      <t>信号，</t>
    </r>
    <r>
      <rPr>
        <sz val="11"/>
        <color theme="1"/>
        <rFont val="Cambria"/>
        <family val="1"/>
      </rPr>
      <t>_75</t>
    </r>
    <r>
      <rPr>
        <sz val="11"/>
        <color theme="1"/>
        <rFont val="宋体"/>
        <family val="3"/>
        <charset val="134"/>
      </rPr>
      <t>为</t>
    </r>
    <r>
      <rPr>
        <sz val="11"/>
        <color theme="1"/>
        <rFont val="Cambria"/>
        <family val="1"/>
      </rPr>
      <t>error</t>
    </r>
    <r>
      <rPr>
        <sz val="11"/>
        <color theme="1"/>
        <rFont val="宋体"/>
        <family val="3"/>
        <charset val="134"/>
      </rPr>
      <t>信号；
3.修改</t>
    </r>
    <r>
      <rPr>
        <sz val="11"/>
        <color theme="1"/>
        <rFont val="Cambria"/>
        <family val="1"/>
      </rPr>
      <t>pause_done</t>
    </r>
    <r>
      <rPr>
        <sz val="11"/>
        <color theme="1"/>
        <rFont val="宋体"/>
        <family val="3"/>
        <charset val="134"/>
      </rPr>
      <t>和</t>
    </r>
    <r>
      <rPr>
        <sz val="11"/>
        <color theme="1"/>
        <rFont val="Cambria"/>
        <family val="1"/>
      </rPr>
      <t>pause_bypass</t>
    </r>
    <r>
      <rPr>
        <sz val="11"/>
        <color theme="1"/>
        <rFont val="宋体"/>
        <family val="3"/>
        <charset val="134"/>
      </rPr>
      <t>寄存器位宽为1</t>
    </r>
    <r>
      <rPr>
        <sz val="11"/>
        <color theme="1"/>
        <rFont val="Cambria"/>
        <family val="1"/>
      </rPr>
      <t>bit</t>
    </r>
    <r>
      <rPr>
        <sz val="11"/>
        <color theme="1"/>
        <rFont val="宋体"/>
        <family val="3"/>
        <charset val="134"/>
      </rPr>
      <t>，删除</t>
    </r>
    <r>
      <rPr>
        <sz val="11"/>
        <color theme="1"/>
        <rFont val="Cambria"/>
        <family val="1"/>
      </rPr>
      <t>axi_filter_bypass</t>
    </r>
    <r>
      <rPr>
        <sz val="11"/>
        <color theme="1"/>
        <rFont val="宋体"/>
        <family val="3"/>
        <charset val="134"/>
      </rPr>
      <t>寄存器；</t>
    </r>
  </si>
  <si>
    <t>0.26</t>
  </si>
  <si>
    <r>
      <rPr>
        <sz val="11"/>
        <color theme="1"/>
        <rFont val="Cambria"/>
        <family val="1"/>
      </rPr>
      <t>CSR:
err interrupt</t>
    </r>
    <r>
      <rPr>
        <sz val="11"/>
        <color theme="1"/>
        <rFont val="宋体"/>
        <family val="3"/>
        <charset val="134"/>
      </rPr>
      <t>增加</t>
    </r>
    <r>
      <rPr>
        <sz val="11"/>
        <color theme="1"/>
        <rFont val="Cambria"/>
        <family val="1"/>
      </rPr>
      <t>mst/slv_depend_id_err</t>
    </r>
    <r>
      <rPr>
        <sz val="11"/>
        <color theme="1"/>
        <rFont val="宋体"/>
        <family val="3"/>
        <charset val="134"/>
      </rPr>
      <t>和相应的</t>
    </r>
    <r>
      <rPr>
        <sz val="11"/>
        <color theme="1"/>
        <rFont val="Cambria"/>
        <family val="1"/>
      </rPr>
      <t>_disable</t>
    </r>
    <r>
      <rPr>
        <sz val="11"/>
        <color theme="1"/>
        <rFont val="宋体"/>
        <family val="3"/>
        <charset val="134"/>
      </rPr>
      <t>寄存器；</t>
    </r>
  </si>
  <si>
    <t>0.27</t>
  </si>
  <si>
    <t>203/10/20</t>
  </si>
  <si>
    <t>CSR：
des_clr更改为rws类型；</t>
  </si>
  <si>
    <t>Randmask指令增加FP8格式</t>
  </si>
  <si>
    <t>CSR:
1.增加gdma_csr_76位段8个寄存器；</t>
  </si>
  <si>
    <t>DES:
1.增加 tensor / lossy_compress / lossy_decompress 指令 all_reduce_code 位段</t>
  </si>
  <si>
    <t>CSR：
1.删除a4s_src_id register；</t>
  </si>
  <si>
    <t>sys指令：constant value删除tdest_id位段</t>
  </si>
  <si>
    <t>CSR：增加des_mode_set_err和对应的disable寄存器</t>
  </si>
  <si>
    <t>1.删除 tensor 指令 distribute 描述
2.各指令 data_format 扩展为 4 bit
3.各指令 data_format 均只描述会用到的数据类型
4.增加对 tensor [63:48] [703:656] reserve 位在 GDMA 必须配 0 的描述，描述放在 templete 分页</t>
  </si>
  <si>
    <t>CSR:
interrupt增加thrd_cmd_cfg_err</t>
  </si>
  <si>
    <t>增加gather/scatter的start_pos寄存器</t>
  </si>
  <si>
    <t>增加randmask指令的init_seed寄存器</t>
  </si>
  <si>
    <t>CSR：增加verify列，标记需要验证的register，没有其他作用</t>
  </si>
  <si>
    <t>修改 tensor 指令对 cdma reserve 位段 tie0 的描述</t>
  </si>
  <si>
    <t>Field</t>
  </si>
  <si>
    <t>Length（bit）</t>
  </si>
  <si>
    <t>High （bit）</t>
  </si>
  <si>
    <t>Low （bit）</t>
  </si>
  <si>
    <t>SW Offset address</t>
  </si>
  <si>
    <t>SW High(bit)</t>
  </si>
  <si>
    <t>SW Low（bit）</t>
  </si>
  <si>
    <t>RW</t>
  </si>
  <si>
    <t>descriptions</t>
  </si>
  <si>
    <t>intr_en</t>
  </si>
  <si>
    <t>Interrupt Enable;if this bit is set, CPU COULD get interrupt when the instruction is finished 
0: disable interrupt
1: enable interrupt</t>
  </si>
  <si>
    <t>stride_enable</t>
  </si>
  <si>
    <t>Stride enable
0：No stride for all blob definition
1：Enable stride for all blob definition</t>
  </si>
  <si>
    <t>nchw_copy</t>
  </si>
  <si>
    <t>NCHW copy bit
0: use separate src and dst NCHW value setting
1: reuse src NCHW value for dst NCHW value</t>
  </si>
  <si>
    <t>cmd_long</t>
  </si>
  <si>
    <t>0:768bit full cmd;
1:128/256/384/512 short cmd</t>
  </si>
  <si>
    <t>cache_en</t>
  </si>
  <si>
    <t>Read cache enable
0: Read not use cache
1: Read use cache</t>
  </si>
  <si>
    <t>cache_flush</t>
  </si>
  <si>
    <t>Flush cache
0: Not Flush cache
1: Flush cache</t>
  </si>
  <si>
    <t>reserved</t>
  </si>
  <si>
    <t>RO</t>
  </si>
  <si>
    <t>Reserved</t>
  </si>
  <si>
    <t>cmd_type</t>
  </si>
  <si>
    <t>cmd_special_function</t>
  </si>
  <si>
    <t>this field is connected with cmd_type. when cmd_type == DMA_tensor
000: No special function
001: Enable transposition write (For Neuron transposition case, the dest_N= src_C, dest_C=src_N)
011: broadcast：only support C size&lt;=64 and lmem mask invalid
others: reserved</t>
  </si>
  <si>
    <t>fill_constant_en</t>
  </si>
  <si>
    <t>0: no fill constant
1: fill constant enable</t>
  </si>
  <si>
    <t>ASITIS</t>
  </si>
  <si>
    <t>src_data_format</t>
  </si>
  <si>
    <t>cmd_id_dep</t>
  </si>
  <si>
    <t>constant_value</t>
  </si>
  <si>
    <t>when cmd_special_function==fill constant, this field means constant value</t>
  </si>
  <si>
    <t>src_nstride</t>
  </si>
  <si>
    <t>unsigned number; Source blob N stride</t>
  </si>
  <si>
    <t>src_cstride</t>
  </si>
  <si>
    <t>unsigned number. Source blob C stride</t>
  </si>
  <si>
    <t>src_hstride</t>
  </si>
  <si>
    <t>unsigned number; Source blob H stride</t>
  </si>
  <si>
    <t>src_wstride</t>
  </si>
  <si>
    <t>unsigned number; Source blob W stride</t>
  </si>
  <si>
    <t>dst_nstride</t>
  </si>
  <si>
    <t>unsigned number; desitination blob N stride</t>
  </si>
  <si>
    <t>dst_cstride</t>
  </si>
  <si>
    <t>unsigned number.desitination blob C stride</t>
  </si>
  <si>
    <t>dst_hstride</t>
  </si>
  <si>
    <t>unsigned number; desitination blob H stride</t>
  </si>
  <si>
    <t>dst_wstride</t>
  </si>
  <si>
    <t>unsigned number; desitination blob W stride</t>
  </si>
  <si>
    <t>src_nsize</t>
  </si>
  <si>
    <t>Source Blob Number</t>
  </si>
  <si>
    <t>src_csize</t>
  </si>
  <si>
    <t>Source blob C</t>
  </si>
  <si>
    <t>src_hsize</t>
  </si>
  <si>
    <t xml:space="preserve">Source blob H </t>
  </si>
  <si>
    <t>src_wsize</t>
  </si>
  <si>
    <t xml:space="preserve">Source blob W </t>
  </si>
  <si>
    <t>dst_nsize</t>
  </si>
  <si>
    <t xml:space="preserve">Destination Blob Number </t>
  </si>
  <si>
    <t>dst_csize</t>
  </si>
  <si>
    <t xml:space="preserve">Destination blob C </t>
  </si>
  <si>
    <t>dst_hsize</t>
  </si>
  <si>
    <t>Destination blob H</t>
  </si>
  <si>
    <t>dst_wsize</t>
  </si>
  <si>
    <t xml:space="preserve">Destination blob W </t>
  </si>
  <si>
    <t>src_start_addr_l32</t>
  </si>
  <si>
    <t>source blob start address[31:0]</t>
  </si>
  <si>
    <t>src_start_addr_h13</t>
  </si>
  <si>
    <t>dst_start_addr_l32</t>
  </si>
  <si>
    <t>destination blob start address[31:0]</t>
  </si>
  <si>
    <t>dst_start_addr_h13</t>
  </si>
  <si>
    <t>all_reduce_code</t>
  </si>
  <si>
    <t>localmem_mask_l32</t>
  </si>
  <si>
    <t>used to announce is the local memory mask or not, 1 means enable access, 0 means disable access (bit 0 corresponds local memory index 0)</t>
  </si>
  <si>
    <t>localmem_mask_h32</t>
  </si>
  <si>
    <t>used to announce is the local memory mask or not, 1 means enable access, 0 means disable access (bit 0 corresponds local memory index32)</t>
  </si>
  <si>
    <t>RW: Read and writable register</t>
  </si>
  <si>
    <t>RO: Read only register</t>
  </si>
  <si>
    <t>RTC: Read to clear register</t>
  </si>
  <si>
    <t>WTC: Write to clear register</t>
  </si>
  <si>
    <t>WSC: Self clear after write</t>
  </si>
  <si>
    <t>Project Name</t>
  </si>
  <si>
    <t>GDMA</t>
  </si>
  <si>
    <t>Sub system</t>
  </si>
  <si>
    <t>regcfg</t>
  </si>
  <si>
    <t>Module Name</t>
  </si>
  <si>
    <t>gdma_csr</t>
  </si>
  <si>
    <t>Address Width</t>
  </si>
  <si>
    <t>Data Width</t>
  </si>
  <si>
    <t>Address bytes alignment</t>
  </si>
  <si>
    <t>Main Clock</t>
  </si>
  <si>
    <t>pclk</t>
  </si>
  <si>
    <t>Main Reset</t>
  </si>
  <si>
    <t>presetn</t>
  </si>
  <si>
    <t>File Version</t>
  </si>
  <si>
    <t>version 0.08</t>
  </si>
  <si>
    <t>Creation Date</t>
  </si>
  <si>
    <t>8/29/2023</t>
  </si>
  <si>
    <t>Base Address</t>
  </si>
  <si>
    <t>h58000000</t>
  </si>
  <si>
    <t>//</t>
  </si>
  <si>
    <t>//Begin</t>
  </si>
  <si>
    <t>Reg High Address</t>
  </si>
  <si>
    <t>Reg Low Address</t>
  </si>
  <si>
    <t>Register Name</t>
  </si>
  <si>
    <t>Short Description</t>
  </si>
  <si>
    <t>Register Description</t>
  </si>
  <si>
    <t>Reset</t>
  </si>
  <si>
    <t>Field Name</t>
  </si>
  <si>
    <t>verify</t>
  </si>
  <si>
    <t>MSB</t>
  </si>
  <si>
    <t>LSB</t>
  </si>
  <si>
    <t>Bits</t>
  </si>
  <si>
    <t>Init</t>
  </si>
  <si>
    <t>r/w</t>
  </si>
  <si>
    <t>Field Description</t>
  </si>
  <si>
    <t>Mask</t>
  </si>
  <si>
    <t>check value</t>
  </si>
  <si>
    <t>shadow</t>
  </si>
  <si>
    <t>shadow ctrl</t>
  </si>
  <si>
    <t>shadow read</t>
  </si>
  <si>
    <t>cross clock</t>
  </si>
  <si>
    <t>cross rst</t>
  </si>
  <si>
    <t>group</t>
  </si>
  <si>
    <t>Visibility</t>
  </si>
  <si>
    <t>h0</t>
  </si>
  <si>
    <t>gdma_csr_0</t>
  </si>
  <si>
    <t>des_mode_enable</t>
  </si>
  <si>
    <t>rws</t>
  </si>
  <si>
    <t>0: gdma in PIO mode
1: gdma in DES mode
A2:WSC -&gt; 2260:rws</t>
  </si>
  <si>
    <t>sync_id_reset</t>
  </si>
  <si>
    <t>w1p</t>
  </si>
  <si>
    <t>0: Do not reset the SyncID output
1: Reset the SyncID output to be all 0s
This bit will be cleared immediately after write.
A2:WSC -&gt; 2260:w1p</t>
  </si>
  <si>
    <t>rw</t>
  </si>
  <si>
    <t>low_power_enable</t>
  </si>
  <si>
    <t>v</t>
  </si>
  <si>
    <t>0:disable clk gate
1:enable clk gate</t>
  </si>
  <si>
    <t>des_clr</t>
  </si>
  <si>
    <t>gif_bpn</t>
  </si>
  <si>
    <t>cache_cg_en</t>
  </si>
  <si>
    <t>mst_ins_buf_status</t>
  </si>
  <si>
    <t>h40</t>
  </si>
  <si>
    <t>ro</t>
  </si>
  <si>
    <t>master thread, Current entry number of the Ins Buf. It means how many descriptors that SW can write to Ins Buf.
If the Ins Buf is full, this field will be 0.</t>
  </si>
  <si>
    <t>slv_ins_buf_status</t>
  </si>
  <si>
    <t>slave thread, Current entry number of the Ins Buf. It means how many descriptors that SW can write to Ins Buf.
If the Ins Buf is full, this field will be 0.</t>
  </si>
  <si>
    <t>h4</t>
  </si>
  <si>
    <t>gdma_csr_1</t>
  </si>
  <si>
    <t>master_des_addr_l32</t>
  </si>
  <si>
    <t>If the Ins Buf is full, this field will be 0.</t>
  </si>
  <si>
    <t>h8</t>
  </si>
  <si>
    <t>gdma_csr_2</t>
  </si>
  <si>
    <t>master_des_addr_h1</t>
  </si>
  <si>
    <t>Master descriptor Address Pointer [39] is updated by this register’s bit.</t>
  </si>
  <si>
    <t>hc</t>
  </si>
  <si>
    <t>gdma_csr_3</t>
  </si>
  <si>
    <t>slave_des_addr_l32</t>
  </si>
  <si>
    <t>Slave descriptor Address Pointer [38:7] is updated by this register’s bit.
Slave descriptor address’s bit [6:0] are always 0.
both SW and HW can write: add an ro type register for apb read path</t>
  </si>
  <si>
    <t>h10</t>
  </si>
  <si>
    <t>gdma_csr_4</t>
  </si>
  <si>
    <t>slave_des_addr_h1</t>
  </si>
  <si>
    <t>Slave descriptor Address Pointer [39] is updated by this register’s bit.</t>
  </si>
  <si>
    <t>h14</t>
  </si>
  <si>
    <t>gdma_csr_5</t>
  </si>
  <si>
    <t>perf_monitor_res_start_addr_l32</t>
  </si>
  <si>
    <t>the ddr start address [38:7] for performance monitor is update by this register's bit[31:0].bit[0]must be 0
the bit [6:0] is always 0.</t>
  </si>
  <si>
    <t>h18</t>
  </si>
  <si>
    <t>gdma_csr_6</t>
  </si>
  <si>
    <t>perf_monitor_res_start_addr_h1</t>
  </si>
  <si>
    <t>the ddr start address [39] for performance monitor is update by this register's bit[0].</t>
  </si>
  <si>
    <t>h1c</t>
  </si>
  <si>
    <t>gdma_csr_7</t>
  </si>
  <si>
    <t>perf_monitor_res_end_addr_l32</t>
  </si>
  <si>
    <t>the ddr end address [38:7] for performance monitor is update by this register's bit[31:0].bit[0] must be 0
the bit [6:0] is always 0.</t>
  </si>
  <si>
    <t>h20</t>
  </si>
  <si>
    <t>gdma_csr_8</t>
  </si>
  <si>
    <t>perf_monitor_res_end_addr_h1</t>
  </si>
  <si>
    <t>the ddr end address [39] for performance monitor is update by this register's bit[0].</t>
  </si>
  <si>
    <t>h24</t>
  </si>
  <si>
    <t>gdma_csr_9</t>
  </si>
  <si>
    <t>mst_current_sync_id</t>
  </si>
  <si>
    <t>Current SyncID output of this engine. This field will automatically update to be consistent with the SyncID output of this engine for master thread.</t>
  </si>
  <si>
    <t>h28</t>
  </si>
  <si>
    <t>gdma_csr_10</t>
  </si>
  <si>
    <t>word_nums_after_filter</t>
  </si>
  <si>
    <t>rwc</t>
  </si>
  <si>
    <t xml:space="preserve">used in DMA_masked_select/DMA_nonzero command, this means the number of the data after filtering .
A2:WTC(address decoded clear) -&gt; 2260:rwc(write 1 to clear) </t>
  </si>
  <si>
    <t>h2c</t>
  </si>
  <si>
    <t>gdma_csr_11</t>
  </si>
  <si>
    <t>mem_size_per_npu</t>
  </si>
  <si>
    <t>h1</t>
  </si>
  <si>
    <t>For NCHW data, based on MEM size of a NPU, it can know the start address of next NPU
0: 128KB 
1: 256KB</t>
  </si>
  <si>
    <t>eu_num_per_npu</t>
  </si>
  <si>
    <t xml:space="preserve">EU_NUM in each NPU (operate on int8)
0: 128;   </t>
  </si>
  <si>
    <t>npu_num</t>
  </si>
  <si>
    <t>h30</t>
  </si>
  <si>
    <t>gdma_csr_12</t>
  </si>
  <si>
    <t>intr_status_disable</t>
  </si>
  <si>
    <t>intr_des_mode_end_disable</t>
  </si>
  <si>
    <t>intr_mst_inst_buf_empty_disable</t>
  </si>
  <si>
    <t>intr_slv_inst_buf_empty_disable</t>
  </si>
  <si>
    <t>intr_mst_inst_buf_full_disable</t>
  </si>
  <si>
    <t>intr_slv_inst_buf_full_disable</t>
  </si>
  <si>
    <t>h34</t>
  </si>
  <si>
    <t>gdma_csr_13</t>
  </si>
  <si>
    <t>base_addr_region0_h32</t>
  </si>
  <si>
    <t>h38</t>
  </si>
  <si>
    <t>gdma_csr_14</t>
  </si>
  <si>
    <t>base_addr_region1_h32</t>
  </si>
  <si>
    <t>h3c</t>
  </si>
  <si>
    <t>gdma_csr_15</t>
  </si>
  <si>
    <t>base_addr_region2_h32</t>
  </si>
  <si>
    <t>gdma_csr_16</t>
  </si>
  <si>
    <t>base_addr_region3_h32</t>
  </si>
  <si>
    <t>h44</t>
  </si>
  <si>
    <t>gdma_csr_17</t>
  </si>
  <si>
    <t>base_addr_region4_h32</t>
  </si>
  <si>
    <t>h48</t>
  </si>
  <si>
    <t>gdma_csr_18</t>
  </si>
  <si>
    <t>base_addr_region5_h32</t>
  </si>
  <si>
    <t>h4c</t>
  </si>
  <si>
    <t>gdma_csr_19</t>
  </si>
  <si>
    <t>base_addr_region6_h32</t>
  </si>
  <si>
    <t>h50</t>
  </si>
  <si>
    <t>gdma_csr_20</t>
  </si>
  <si>
    <t>base_addr_region7_h32</t>
  </si>
  <si>
    <t>h54</t>
  </si>
  <si>
    <t>gdma_csr_21</t>
  </si>
  <si>
    <t>base_addr_region8_h32</t>
  </si>
  <si>
    <t>h58</t>
  </si>
  <si>
    <t>gdma_csr_22</t>
  </si>
  <si>
    <t>base_addr_region9_h32</t>
  </si>
  <si>
    <t>h5c</t>
  </si>
  <si>
    <t>gdma_csr_23</t>
  </si>
  <si>
    <t>base_addr_region10_h32</t>
  </si>
  <si>
    <t>h60</t>
  </si>
  <si>
    <t>gdma_csr_24</t>
  </si>
  <si>
    <t>base_addr_region11_h32</t>
  </si>
  <si>
    <t>h64</t>
  </si>
  <si>
    <t>gdma_csr_25</t>
  </si>
  <si>
    <t>base_addr_region12_h32</t>
  </si>
  <si>
    <t>h68</t>
  </si>
  <si>
    <t>gdma_csr_26</t>
  </si>
  <si>
    <t>base_addr_region13_h32</t>
  </si>
  <si>
    <t>h6c</t>
  </si>
  <si>
    <t>gdma_csr_27</t>
  </si>
  <si>
    <t>base_addr_region14_h32</t>
  </si>
  <si>
    <t>h70</t>
  </si>
  <si>
    <t>gdma_csr_28</t>
  </si>
  <si>
    <t>base_addr_region15_h32</t>
  </si>
  <si>
    <t>h74</t>
  </si>
  <si>
    <t>gdma_csr_29</t>
  </si>
  <si>
    <t>base_addr_region16_h32</t>
  </si>
  <si>
    <t>h78</t>
  </si>
  <si>
    <t>gdma_csr_30</t>
  </si>
  <si>
    <t>base_addr_region17_h32</t>
  </si>
  <si>
    <t>h7c</t>
  </si>
  <si>
    <t>gdma_csr_31</t>
  </si>
  <si>
    <t>base_addr_region18_h32</t>
  </si>
  <si>
    <t>h80</t>
  </si>
  <si>
    <t>gdma_csr_32</t>
  </si>
  <si>
    <t>base_addr_region19_h32</t>
  </si>
  <si>
    <t>h84</t>
  </si>
  <si>
    <t>gdma_csr_33</t>
  </si>
  <si>
    <t>base_addr_region20_h32</t>
  </si>
  <si>
    <t>h88</t>
  </si>
  <si>
    <t>gdma_csr_34</t>
  </si>
  <si>
    <t>base_addr_region21_h32</t>
  </si>
  <si>
    <t>h8c</t>
  </si>
  <si>
    <t>gdma_csr_35</t>
  </si>
  <si>
    <t>base_addr_region22_h32</t>
  </si>
  <si>
    <t>h90</t>
  </si>
  <si>
    <t>gdma_csr_36</t>
  </si>
  <si>
    <t>base_addr_region23_h32</t>
  </si>
  <si>
    <t>h94</t>
  </si>
  <si>
    <t>gdma_csr_37</t>
  </si>
  <si>
    <t>base_addr_region24_h32</t>
  </si>
  <si>
    <t>h98</t>
  </si>
  <si>
    <t>gdma_csr_38</t>
  </si>
  <si>
    <t>base_addr_region25_h32</t>
  </si>
  <si>
    <t>h9c</t>
  </si>
  <si>
    <t>gdma_csr_39</t>
  </si>
  <si>
    <t>base_addr_region26_h32</t>
  </si>
  <si>
    <t>ha0</t>
  </si>
  <si>
    <t>gdma_csr_40</t>
  </si>
  <si>
    <t>base_addr_region27_h32</t>
  </si>
  <si>
    <t>ha4</t>
  </si>
  <si>
    <t>gdma_csr_41</t>
  </si>
  <si>
    <t>base_addr_region28_h32</t>
  </si>
  <si>
    <t>ha8</t>
  </si>
  <si>
    <t>gdma_csr_42</t>
  </si>
  <si>
    <t>base_addr_region29_h32</t>
  </si>
  <si>
    <t>hac</t>
  </si>
  <si>
    <t>gdma_csr_43</t>
  </si>
  <si>
    <t>base_addr_region30_h32</t>
  </si>
  <si>
    <t>hb0</t>
  </si>
  <si>
    <t>gdma_csr_44</t>
  </si>
  <si>
    <t>base_addr_region31_h32</t>
  </si>
  <si>
    <t>hb4</t>
  </si>
  <si>
    <t>gdma_csr_45</t>
  </si>
  <si>
    <t>des_awqos</t>
  </si>
  <si>
    <t>des_arqos</t>
  </si>
  <si>
    <t>ddr_awqos</t>
  </si>
  <si>
    <t>ddr_arqos</t>
  </si>
  <si>
    <t>compress_wqos</t>
  </si>
  <si>
    <t>bit[1:0] -&gt; wdma_ctrl0 qos; bit[3:2] -&gt; wdma_ctrl1; bit[5:4] -&gt; wdma_ctrl2</t>
  </si>
  <si>
    <t>decompress_rqos</t>
  </si>
  <si>
    <t>bit[1:0] -&gt; rdma_ctrl0 qos; bit[3:2] -&gt; rdma_ctrl1; bit[5:4] -&gt; rdma_ctrl2</t>
  </si>
  <si>
    <t>hb8</t>
  </si>
  <si>
    <t>gdma_csr_46</t>
  </si>
  <si>
    <t>cfg_load_mon_en</t>
  </si>
  <si>
    <t>cfg_load_mon_clr</t>
  </si>
  <si>
    <t>hbc</t>
  </si>
  <si>
    <t>gdma_csr_47</t>
  </si>
  <si>
    <t>cfg_load_mon_cnt_low</t>
  </si>
  <si>
    <t>hc0</t>
  </si>
  <si>
    <t>gdma_csr_48</t>
  </si>
  <si>
    <t>cfg_load_mon_cnt_high</t>
  </si>
  <si>
    <t>interface ddr0_arqos</t>
  </si>
  <si>
    <t>hc4</t>
  </si>
  <si>
    <t>gdma_csr_49</t>
  </si>
  <si>
    <t>cfg_instr_vld_cnt_low</t>
  </si>
  <si>
    <t>hc8</t>
  </si>
  <si>
    <t>gdma_csr_50</t>
  </si>
  <si>
    <t>cfg_instr_vld_cnt_high</t>
  </si>
  <si>
    <t>hcc</t>
  </si>
  <si>
    <t>gdma_csr_51</t>
  </si>
  <si>
    <t>cfg_instr_iss_cnt_low</t>
  </si>
  <si>
    <t>hd0</t>
  </si>
  <si>
    <t>gdma_csr_52</t>
  </si>
  <si>
    <t>cfg_instr_iss_cnt_high</t>
  </si>
  <si>
    <t>hd4</t>
  </si>
  <si>
    <t>gdma_csr_53</t>
  </si>
  <si>
    <t>sys_pulse</t>
  </si>
  <si>
    <t>sys_pulse,shut down sys and drain up all os</t>
  </si>
  <si>
    <t>pulse_bypass</t>
  </si>
  <si>
    <t>bypass sys_pulse engine</t>
  </si>
  <si>
    <t>pulse_done</t>
  </si>
  <si>
    <t>sys_pulse done,software can reset gdma
[0]:m_des_axi
[1]:m_ddr_axi_0
[2]:m_ddr_axi_1
[3]:m_lmem_gif</t>
  </si>
  <si>
    <t>hd8</t>
  </si>
  <si>
    <t>gdma_csr_54</t>
  </si>
  <si>
    <t>perf_monitor_wr_addr_l32</t>
  </si>
  <si>
    <t>the ddr nxt wr address [38:7] for performance monitor.</t>
  </si>
  <si>
    <t>hdc</t>
  </si>
  <si>
    <t>gdma_csr_55</t>
  </si>
  <si>
    <t>perf_monitor_wr_addr_h1</t>
  </si>
  <si>
    <t>the ddr nxt wr address [39] for performance monitor.</t>
  </si>
  <si>
    <t>he0</t>
  </si>
  <si>
    <t>gdma_csr_56</t>
  </si>
  <si>
    <t>masked_select_slot_div</t>
  </si>
  <si>
    <t>GDMA_masked_select instruction slot memory. bit[6:0] means rdma_ctrl0; bit[13:7] means rdma_ctrl1.</t>
  </si>
  <si>
    <t>he4</t>
  </si>
  <si>
    <t>gdma_csr_57</t>
  </si>
  <si>
    <t>gather_slot_div</t>
  </si>
  <si>
    <t>GDMA_gather instruction slot memory. bit[6:0] means rdma_ctrl0; bit[13:7] means rdma_ctrl1.</t>
  </si>
  <si>
    <t>he8</t>
  </si>
  <si>
    <t>gdma_csr_58</t>
  </si>
  <si>
    <t>scatter_slot_div</t>
  </si>
  <si>
    <t>GDMA_scatter instruction slot memory. bit[6:0] means rdma_ctrl0; bit[13:7] means rdma_ctrl1.</t>
  </si>
  <si>
    <t>hec</t>
  </si>
  <si>
    <t>gdma_csr_59</t>
  </si>
  <si>
    <t>decompress_slot_div</t>
  </si>
  <si>
    <t>GDMA_decompress instruction slot memory. bit[6:0] means rdma_ctrl0; bit[13:7] means rdma_ctrl1; bit[27:14] means rdma_ctrl2.</t>
  </si>
  <si>
    <t>hf0</t>
  </si>
  <si>
    <t>gdma_csr_60</t>
  </si>
  <si>
    <t>cdma_vde_bypass</t>
  </si>
  <si>
    <t>used for cdma_vbd</t>
  </si>
  <si>
    <t>hf4</t>
  </si>
  <si>
    <t>gdma_csr_61</t>
  </si>
  <si>
    <t>randmask_seed_low</t>
  </si>
  <si>
    <t>used for randmask instruction</t>
  </si>
  <si>
    <t>hf8</t>
  </si>
  <si>
    <t>gdma_csr_62</t>
  </si>
  <si>
    <t>randmask_seed_high</t>
  </si>
  <si>
    <t>hfc</t>
  </si>
  <si>
    <t>gdma_csr_63</t>
  </si>
  <si>
    <t>randmask_seed_enable</t>
  </si>
  <si>
    <t>h100</t>
  </si>
  <si>
    <t>gdma_csr_64</t>
  </si>
  <si>
    <t>mst_des_addr_l32</t>
  </si>
  <si>
    <t>sample master_des_addr_l32 for apb read</t>
  </si>
  <si>
    <t>h104</t>
  </si>
  <si>
    <t>gdma_csr_65</t>
  </si>
  <si>
    <t>mst_des_addr_h1</t>
  </si>
  <si>
    <t>sample master_des_addr_h1 for apb read</t>
  </si>
  <si>
    <t>h108</t>
  </si>
  <si>
    <t>gdma_csr_66</t>
  </si>
  <si>
    <t>slv_des_addr_l32</t>
  </si>
  <si>
    <t>sample slv_des_addr_l32 for apb read</t>
  </si>
  <si>
    <t>h10c</t>
  </si>
  <si>
    <t>gdma_csr_67</t>
  </si>
  <si>
    <t>slv_des_addr_h1</t>
  </si>
  <si>
    <t>sample slv_des_addr_h1 for apb read</t>
  </si>
  <si>
    <t>h114</t>
  </si>
  <si>
    <t>gdma_csr_68</t>
  </si>
  <si>
    <t>mst_intr_sync_id</t>
  </si>
  <si>
    <t>moved from gdma_csr_11 3-26(24bit), expanded to 32 bit. The registered SyncID when the latest interrupt triggered for master thread. This field won’t update until next interrupt event happens.</t>
  </si>
  <si>
    <t>h118</t>
  </si>
  <si>
    <t>slv_current_sync_id</t>
  </si>
  <si>
    <t>Current SyncID output of this engine. This field will automatically update to be consistent with the SyncID output of this engine for slave thread.</t>
  </si>
  <si>
    <t>h11c</t>
  </si>
  <si>
    <t>slv_intr_sync_id</t>
  </si>
  <si>
    <t>The registered SyncID when the latest interrupt triggered for slave thread. This field won’t update until next interrupt event happens.</t>
  </si>
  <si>
    <t>h120</t>
  </si>
  <si>
    <t>des_hang_timer</t>
  </si>
  <si>
    <t>h124</t>
  </si>
  <si>
    <t>intr_error_disable</t>
  </si>
  <si>
    <t>intr_mst_invld_des_disable</t>
  </si>
  <si>
    <t>intr_slv_invld_des_disable</t>
  </si>
  <si>
    <t>intr_mst_des_rd_err_disable</t>
  </si>
  <si>
    <t>intr_slv_des_rd_err_disable</t>
  </si>
  <si>
    <t>intr_dtn_data_rd_err_disable</t>
  </si>
  <si>
    <t>intr_gif_data_rd_err_disable</t>
  </si>
  <si>
    <t>intr_pmu_data_wr_err_disable</t>
  </si>
  <si>
    <t>intr_dtn_data_wr_err_disable</t>
  </si>
  <si>
    <t>intr_gif_data_wr_err_disable</t>
  </si>
  <si>
    <t>intr_dma_abort_disable</t>
  </si>
  <si>
    <t>intr_ip_hang_disable</t>
  </si>
  <si>
    <t>intr_des_hang_disable</t>
  </si>
  <si>
    <t>intr_mst_depend_id_err_disable</t>
  </si>
  <si>
    <t>intr_slv_depend_id_err_disable</t>
  </si>
  <si>
    <t>intr_des_mode_set_err_disable</t>
  </si>
  <si>
    <t>intr_thrd_cmd_cfg_err_disable</t>
  </si>
  <si>
    <t>h128</t>
  </si>
  <si>
    <t>des_mode_end</t>
  </si>
  <si>
    <t>mst_cmd_done_status</t>
  </si>
  <si>
    <t>slv_cmd_done_status</t>
  </si>
  <si>
    <t>mst_inst_buf_empty</t>
  </si>
  <si>
    <t>slv_inst_buf_empty</t>
  </si>
  <si>
    <t>Write 1 clear
0: No interrupt
5: Interrupt triggered</t>
  </si>
  <si>
    <t>mst_inst_buf_full</t>
  </si>
  <si>
    <t>Write 1 clear
0: No interrupt
6: Interrupt triggered</t>
  </si>
  <si>
    <t>slv_inst_buf_full</t>
  </si>
  <si>
    <t>Write 1 clear
0: No interrupt
7: Interrupt triggered</t>
  </si>
  <si>
    <t>h12c</t>
  </si>
  <si>
    <t>mst_invld_des</t>
  </si>
  <si>
    <t>Write 1 clear
0: No interrupt
8: Interrupt triggered</t>
  </si>
  <si>
    <t>slv_invld_des</t>
  </si>
  <si>
    <t>Write 1 clear
0: No interrupt
9: Interrupt triggered</t>
  </si>
  <si>
    <t>mst_des_rd_err</t>
  </si>
  <si>
    <t>Write 1 clear
0: No interrupt
10: Interrupt triggered</t>
  </si>
  <si>
    <t>slv_des_rd_err</t>
  </si>
  <si>
    <t>Write 1 clear
0: No interrupt
11: Interrupt triggered</t>
  </si>
  <si>
    <t>dtn_data_rd_err</t>
  </si>
  <si>
    <t>Write 1 clear
0: No interrupt
14: Interrupt triggered</t>
  </si>
  <si>
    <t>gif_data_rd_err</t>
  </si>
  <si>
    <t>Write 1 clear
0: No interrupt
15: Interrupt triggered</t>
  </si>
  <si>
    <t>pmu_data_wr_err</t>
  </si>
  <si>
    <t>Write 1 clear
0: No interrupt
18: Interrupt triggered</t>
  </si>
  <si>
    <t>dtn_data_wr_err</t>
  </si>
  <si>
    <t>Write 1 clear
0: No interrupt
19: Interrupt triggered</t>
  </si>
  <si>
    <t>gif_data_wr_err</t>
  </si>
  <si>
    <t>Write 1 clear
0: No interrupt
20: Interrupt triggered</t>
  </si>
  <si>
    <t>dma_abort</t>
  </si>
  <si>
    <t>Write 1 clear
0: No interrupt
21: Interrupt triggered</t>
  </si>
  <si>
    <t>ip_hang</t>
  </si>
  <si>
    <t>Write 1 clear
0: No interrupt
22: Interrupt triggered</t>
  </si>
  <si>
    <t>des_hang</t>
  </si>
  <si>
    <t>Write 1 clear
0: No interrupt
23: Interrupt triggered</t>
  </si>
  <si>
    <t>mst_depend_id_err</t>
  </si>
  <si>
    <t>slv_depend_id_err</t>
  </si>
  <si>
    <t>des_mode_set_err</t>
  </si>
  <si>
    <t>thrd_cmd_cfg_err</t>
  </si>
  <si>
    <t>h130</t>
  </si>
  <si>
    <t>// End</t>
  </si>
  <si>
    <t>2260 register type</t>
  </si>
  <si>
    <t>description</t>
  </si>
  <si>
    <t>input reg, read only</t>
  </si>
  <si>
    <t>output reg, read and write</t>
  </si>
  <si>
    <t>黄色：</t>
  </si>
  <si>
    <t>input reg for read, output reg_clr for TOP, write "1" to clear (level)</t>
  </si>
  <si>
    <t>input reg for read, output reg_set for TOP, write "1" to set (level)</t>
  </si>
  <si>
    <t>rwb</t>
  </si>
  <si>
    <t xml:space="preserve">not used </t>
  </si>
  <si>
    <t>roc</t>
  </si>
  <si>
    <t>not used</t>
  </si>
  <si>
    <t>output reg, read, write 1 pulse</t>
  </si>
  <si>
    <t>w1t</t>
  </si>
  <si>
    <t>rw1t</t>
  </si>
  <si>
    <t>A2 register type:</t>
  </si>
  <si>
    <t>Read and writable register</t>
  </si>
  <si>
    <t>Read only register</t>
  </si>
  <si>
    <t>RTC</t>
  </si>
  <si>
    <t>Read to clear register</t>
  </si>
  <si>
    <t>WTC</t>
  </si>
  <si>
    <t>Write to clear register</t>
  </si>
  <si>
    <t>WSC</t>
  </si>
  <si>
    <t>Self clear after write</t>
  </si>
  <si>
    <t>configure_necessery</t>
  </si>
  <si>
    <t>由软件配置</t>
  </si>
  <si>
    <t>无需软件配置，且不影响硬件行为的field</t>
  </si>
  <si>
    <t>无需软件配置，由硬件推导的配置</t>
  </si>
  <si>
    <t>cmd_short</t>
  </si>
  <si>
    <t>0: no fill constant
1: fill constant enable
only support special_func=000/011/100</t>
  </si>
  <si>
    <t>reserved (for CDMA src_hsize[31:16], GDMA must tie 0)</t>
  </si>
  <si>
    <t>fill constant:ASITIS
others:0</t>
  </si>
  <si>
    <t>fill constant:no need to config
others:ASITIS</t>
  </si>
  <si>
    <t>fill constant:no need to config
broadcast:no need to config
lmem 4 bank broadcast:no need to config
others:ASITIS</t>
  </si>
  <si>
    <t>spfunc=000:ASITIS
others:no need to config</t>
  </si>
  <si>
    <t>fill constant:no need to config
broadcast:no need to config
others:ASITIS</t>
  </si>
  <si>
    <t xml:space="preserve"> </t>
  </si>
  <si>
    <t>NC_transpose: no need to config
nchw_copy: no need to config
others:ASITIS</t>
  </si>
  <si>
    <t>nchw_copy: no need to config
ASITIS</t>
  </si>
  <si>
    <t>broadcast/distribute:no need to config
ASITIS</t>
  </si>
  <si>
    <t>RW: Read and writeable register</t>
  </si>
  <si>
    <t>this field is connected with cmd_type. when cmd_type == DMA_matrix
0000: no special function,which means A(h,c,0,w)=B(0,0,h,c*w)
0001: matrix transpose,which means A(h,c,0,w)=B(0,0,c*w,h)
others: reserved</t>
  </si>
  <si>
    <t>0: no fill constant</t>
  </si>
  <si>
    <t>no need to config</t>
  </si>
  <si>
    <t xml:space="preserve">
0</t>
  </si>
  <si>
    <t>src is lmem : ASITIS
others: no need to config</t>
  </si>
  <si>
    <t>src is lmem : no need to config
others: ASITIS</t>
  </si>
  <si>
    <t>src_hstride/dst_hstride</t>
  </si>
  <si>
    <t>if dst is lmem, this field is src hstride;if src is lmem,this field is dst hstride</t>
  </si>
  <si>
    <t>dst_nstride/src_nstride</t>
  </si>
  <si>
    <t>if dst is lmem, ths field is dst nstride; if src is lmem,this field is src nstride</t>
  </si>
  <si>
    <t>dst_cstride/src_cstride</t>
  </si>
  <si>
    <t>if dst is lmem, ths field is dst cstride; if src is lmem,this field is src cstride</t>
  </si>
  <si>
    <t>src_hsize/dst_hsize</t>
  </si>
  <si>
    <t>if dst is lmem, ths field is src hsize; if src is lmem,this field is dst hsize</t>
  </si>
  <si>
    <t>src_wsize/dst_wsize</t>
  </si>
  <si>
    <t>if dst is lmem, ths field is src wsize; if src is lmem,this field is dst wsize</t>
  </si>
  <si>
    <t>dst_nsize/src_nsize</t>
  </si>
  <si>
    <t>if dst is lmem, ths field is dst nsize; if src is lmem,this field is src nsize</t>
  </si>
  <si>
    <t>dst_csize/src_csize</t>
  </si>
  <si>
    <t>if dst is lmem, ths field is dst csize; if src is lmem,this field is src csize</t>
  </si>
  <si>
    <t>dst_wsize/src_wsize</t>
  </si>
  <si>
    <t>if dst is lmem, ths field is dst wsize; if src is lmem,this field is src wsize</t>
  </si>
  <si>
    <t>src_start_addr_h8</t>
  </si>
  <si>
    <t>dst_start_addr_h8</t>
  </si>
  <si>
    <t>this field is connected with cmd_type. when cmd_type==DMA_masked_select
0000: No special function
0001:ncw mode</t>
  </si>
  <si>
    <t>mask_data_format</t>
  </si>
  <si>
    <t>src_hsize/src_wsize_high</t>
  </si>
  <si>
    <t>When cmd_special_function==ncw mode, this field means src wsize high 16 bit;others means Source blob h</t>
  </si>
  <si>
    <t>mask_start_addr_l32</t>
  </si>
  <si>
    <t>mask_start_addr_h8</t>
  </si>
  <si>
    <t>cmd_special_function(mask_mem)</t>
  </si>
  <si>
    <t xml:space="preserve">no need to config
</t>
  </si>
  <si>
    <t>src_cstride(move length)</t>
  </si>
  <si>
    <t>broadcast:ASITIS
others:no need to config</t>
  </si>
  <si>
    <t>broadcast:no need to config
others:ASITIS</t>
  </si>
  <si>
    <t>nchw_copy: no need to config
others:ASITIS</t>
  </si>
  <si>
    <t>this field is connected with cmd_type. when cmd_type == DMA_nonzero
0000: No special function</t>
  </si>
  <si>
    <t>index_data_format</t>
  </si>
  <si>
    <t>index Data Format
0:UINT8
3:UINT16
4:UINT32
others：not support</t>
  </si>
  <si>
    <t>dst_nstride（base_i）</t>
  </si>
  <si>
    <t>when cmd_type==nonzero, this field means base_i</t>
  </si>
  <si>
    <t>index</t>
  </si>
  <si>
    <t>when cmd_special_function==sys_tr_wr, this field means index</t>
  </si>
  <si>
    <t>sys_tr_wr,sys_send,sys_wait：ASITIS
others：0</t>
  </si>
  <si>
    <t>src cstride</t>
  </si>
  <si>
    <t>src hstride</t>
  </si>
  <si>
    <t>index_cstride</t>
  </si>
  <si>
    <t>index_csize</t>
  </si>
  <si>
    <t>index_hsize</t>
  </si>
  <si>
    <t>index_start_addr_l32</t>
  </si>
  <si>
    <t>index_start_addr_h13</t>
  </si>
  <si>
    <t>reserve</t>
  </si>
  <si>
    <t>Default</t>
  </si>
  <si>
    <t>des_valid</t>
  </si>
  <si>
    <t>1'b0</t>
  </si>
  <si>
    <t>Descriptor valid
When a write ‘1’ to this bit location is detected, the whole descriptor will be loaded into command FIFO immediately. After that, all the command FIFO access port register bits will be reset to default value immediately</t>
  </si>
  <si>
    <t>des_type</t>
  </si>
  <si>
    <t>Descriptor Type
0: No next descriptor address pointer
1: With next descriptor address pointer</t>
  </si>
  <si>
    <t>chain_end</t>
  </si>
  <si>
    <t>EOD end of chain
0: not end of chain
1: End of descriptor chain</t>
  </si>
  <si>
    <t xml:space="preserve">Interrupt Enable
0: disable interrupt
1: enable interrupt
</t>
  </si>
  <si>
    <t>barrier_enable</t>
  </si>
  <si>
    <t xml:space="preserve">Barrier Enable
0: No need to sync, execute immediately
1: Need to check for SyncID
</t>
  </si>
  <si>
    <t xml:space="preserve">Stride enable
0：No stride for all blob definition
1：Enable stride for all blob definition
</t>
  </si>
  <si>
    <t>direction</t>
  </si>
  <si>
    <t>2'b00</t>
  </si>
  <si>
    <t>DMA Transfer Direction
00: system memory to local memory
01: local memory to system memory
10: system memory to system memory
11: local memory to local memory</t>
  </si>
  <si>
    <t>acc_write_enable</t>
  </si>
  <si>
    <t>Accumulate write enable
0：overwrite write
1：accumulate write</t>
  </si>
  <si>
    <t>common_mode</t>
  </si>
  <si>
    <t>Common DMA mode
0 : NCHW format DMA
1: common format DMA
common DMA transaction. In this mode there is not NCHW parameter. Source blob N stride will be used as data transfer length in data format</t>
  </si>
  <si>
    <t xml:space="preserve">prefetch_disable
</t>
  </si>
  <si>
    <t>1'd1</t>
  </si>
  <si>
    <t>0 : enable prefetch
1 : disable prefetch. In this mode second descriptor need wait first descriptor finish on AXI bus to issue AXI request</t>
  </si>
  <si>
    <t>hold_des_value</t>
  </si>
  <si>
    <t>There are so many regs for each descriptor. When SW write descriptor, not all regs are updated by SW write request. For next descriptor, this register defines the values for regs which are not written by SW. 
0: next descriptor use the default value
1:hold value, so next descriptors use the same value as current one(this value is only enable in PIO mode).</t>
  </si>
  <si>
    <t>b0</t>
  </si>
  <si>
    <t>cmd_id</t>
  </si>
  <si>
    <t>16'b0</t>
  </si>
  <si>
    <t>This is a sequence number for descriptor. It will be updated to the SyncID output port of the engine after this descriptor execution complete.</t>
  </si>
  <si>
    <t>special_func</t>
  </si>
  <si>
    <t>3'd0</t>
  </si>
  <si>
    <t>000: No special function
001: Enable transposition write (For Neuron transposition case, the dest_N= src_C, dest_C=src_N)
010: LRN shift operation (only support local to local)
011: Data format conversion 
100: Constant fill (The constant that will be fill in is specified in another register)
101： Localmem C/W transposition</t>
  </si>
  <si>
    <t>dst_data_format</t>
  </si>
  <si>
    <t>Destination data format (This field will be ignored if “Data format conversion” is not specified in the “Special Function” field.)
000: 32 bit float
001:16 bit integer(used for general move)
010: 8 bit unsigned integer
011: 8 bit signed integer
100: 16bit float</t>
  </si>
  <si>
    <t>chw_copy</t>
  </si>
  <si>
    <t>1'd0</t>
  </si>
  <si>
    <t>CHW copy bit
0: use separate src and dst CHW value setting
1: reuse src CHW value for dst CHW value</t>
  </si>
  <si>
    <t>sys_mem_type</t>
  </si>
  <si>
    <t>system memory data type
0: Neuron
1: Matrix (when matrix type is selected, special function can only select 000 and 001)</t>
  </si>
  <si>
    <t xml:space="preserve">Source Data Format
000: 32 bit float
001:16 bit integer(used for general move)
010: 8 bit unsigned integer
011: 8 bit signed integer
100: 16bit float </t>
  </si>
  <si>
    <t>lrn_shift_num</t>
  </si>
  <si>
    <t>4'd1</t>
  </si>
  <si>
    <t>LRN shift number</t>
  </si>
  <si>
    <t>lrn_shift_dir</t>
  </si>
  <si>
    <t>1‘d0</t>
  </si>
  <si>
    <t>LRN shift direction
0: Left shift
1: Right shift</t>
  </si>
  <si>
    <t>eng0_sync_id</t>
  </si>
  <si>
    <t>Execution of this descriptor need to wait for sync ID of Eng0 to be bigger than the ID specified in this field</t>
  </si>
  <si>
    <t>eng1_sync_id</t>
  </si>
  <si>
    <t>Execution of this descriptor need to wait for sync ID of Eng1 to be bigger than the ID specified in this field.</t>
  </si>
  <si>
    <t>eng3_sync_id</t>
  </si>
  <si>
    <t>Execution of this descriptor need to wait for sync ID of Eng3 to be bigger than the ID specified in this field.</t>
  </si>
  <si>
    <t>32'b0</t>
  </si>
  <si>
    <t>Constant number to be filled in</t>
  </si>
  <si>
    <t>32'd0</t>
  </si>
  <si>
    <t>signed number; Source blob N stride (when data type is matrix, this field is not cared)
when in general_dma operation, this mean the number of data move (0x04[7:5] shows data formats: 32bit/16bit/8bit)</t>
  </si>
  <si>
    <t>signed number. Source blob C stride, (when data type is matrix, this field is not cared)</t>
  </si>
  <si>
    <t>signed number; Source blob H stride</t>
  </si>
  <si>
    <t>signed number; Source blob W stride</t>
  </si>
  <si>
    <t>signed number; desitination blob N stride (when data type is matrix, this field is not cared)</t>
  </si>
  <si>
    <t>signed number.desitination blob C stride, (when data type is matrix, this field is not cared)</t>
  </si>
  <si>
    <t>signed number; desitination blob H stride</t>
  </si>
  <si>
    <t>signed number; desitination blob W stride</t>
  </si>
  <si>
    <t>16'h0</t>
  </si>
  <si>
    <t>Source Blob Number (Most of the case Destination Blob Number equal to Source Blob Number. Only when Neuron Transposition case, Destination Blob Number equal to Source Blob C)</t>
  </si>
  <si>
    <t>Source blob C (when data type is matrix, this field is not cared)</t>
  </si>
  <si>
    <t>Source blob H (when data type is matrix, this field means row)</t>
  </si>
  <si>
    <t>Source blob W (when data type is matrix, this field means column)</t>
  </si>
  <si>
    <t>Destination Blob Number (Most of the case Destination Blob Number equal to Source Blob Number. Only when Neuron Transposition case, Destination Blob Number equal to Source Blob C)</t>
  </si>
  <si>
    <t>Destination blob C (when data type is matrix, this field is not cared)</t>
  </si>
  <si>
    <t>Destination blob H (when data type is matrix, this field means row)</t>
  </si>
  <si>
    <t>Destination blob W (when data type is matrix, this field means column)</t>
  </si>
  <si>
    <t>source blob start address</t>
  </si>
  <si>
    <t>destination blob start address</t>
  </si>
  <si>
    <t>8'b0</t>
  </si>
  <si>
    <t>Source blob start address [39:32]</t>
  </si>
  <si>
    <t>8'd0</t>
  </si>
  <si>
    <t>Destination blob start address [39:32]</t>
  </si>
  <si>
    <t>src_hshift</t>
  </si>
  <si>
    <t>16'd16</t>
  </si>
  <si>
    <t>src H shift num used to shift src H stride</t>
  </si>
  <si>
    <t>src_wshift</t>
  </si>
  <si>
    <t>src W shift num used to shift src W stride</t>
  </si>
  <si>
    <t>dst_hshift</t>
  </si>
  <si>
    <t>16'd0</t>
  </si>
  <si>
    <t>dst H shift num used to shift src H stride</t>
  </si>
  <si>
    <t>dst_wshift</t>
  </si>
  <si>
    <t>dst W shift num used to shift src W stride</t>
  </si>
  <si>
    <t xml:space="preserve"> localmem_mask_l32</t>
  </si>
  <si>
    <t>used to announce is the local memory mask or not, 1 means mask, 0 means unmask (bit 0 corresponds local memory index 0)</t>
  </si>
  <si>
    <t>used to announce is the local memory mask or not, 1 means mask, 0 means unmask (bit 0 corresponds local memory index32)</t>
  </si>
  <si>
    <t>single_step</t>
  </si>
  <si>
    <t>This bit is auto clear when one descriptor finish on AXI bus.
SW can write 1’b1 to let gdma process one descriptor. After that SW need polling this bit to be 1’b0 to know gdma has finish one descriptor.</t>
  </si>
  <si>
    <t>debug_mode</t>
  </si>
  <si>
    <t>0 : normal mode
1: single step debug mode</t>
  </si>
  <si>
    <t>000: normal inplace
001: scatter sum</t>
  </si>
  <si>
    <t>this field is connected with cmd_type. when cmd_type == DMA_tensor
0000: w reverse
0001: h reverse
0010: c reverse
0011: n reverse
others: reserved</t>
  </si>
  <si>
    <t>this field is connected with cmd_type. when cmd_type == DMA_index_select
0000: non-random-access
0001: random-access</t>
  </si>
  <si>
    <t>unsigned number; racu blob N stride</t>
  </si>
  <si>
    <t>unsigned number; racu blob lane C stride</t>
  </si>
  <si>
    <t>unsigned number; racu blob h stride</t>
  </si>
  <si>
    <t>unsigned number; dst blob N stride</t>
  </si>
  <si>
    <t>unsigned number; dst blob lane C stride</t>
  </si>
  <si>
    <t>unsigned number; dst blob h stride</t>
  </si>
  <si>
    <t>index/mask</t>
  </si>
  <si>
    <t>备注</t>
  </si>
  <si>
    <t>性能公式</t>
  </si>
  <si>
    <t>cmd</t>
  </si>
  <si>
    <t>special func</t>
  </si>
  <si>
    <t>ddr</t>
  </si>
  <si>
    <t>lmem</t>
  </si>
  <si>
    <t>l2mem</t>
  </si>
  <si>
    <t>ddr0</t>
  </si>
  <si>
    <t>ddr1</t>
  </si>
  <si>
    <t>tensor</t>
  </si>
  <si>
    <t>common</t>
  </si>
  <si>
    <t>✅</t>
  </si>
  <si>
    <t>nc transpose</t>
  </si>
  <si>
    <t>collect</t>
  </si>
  <si>
    <t>❌</t>
  </si>
  <si>
    <t>broadcast</t>
  </si>
  <si>
    <t>distribute</t>
  </si>
  <si>
    <t>lmem 4bank</t>
  </si>
  <si>
    <t>lmem 4bank broadcast</t>
  </si>
  <si>
    <t>fill constant common</t>
  </si>
  <si>
    <t>fill constant broadcast</t>
  </si>
  <si>
    <t>matrix</t>
  </si>
  <si>
    <t>ddr/l2mem&lt;-&gt;lmem</t>
  </si>
  <si>
    <t>只支持两种情况：src为ddr/l2mem，dst为lmem；dst为ddr/l2mem，src为lmem</t>
  </si>
  <si>
    <t>transpose ddr/l2mem&lt;-&gt;lmem）</t>
  </si>
  <si>
    <t>mask select</t>
  </si>
  <si>
    <t>general</t>
  </si>
  <si>
    <t>if (src_start_addr - dst_start_addr)%32 ==0 : src_length*data_size/（64*（1+src_mem==dst_mem））; else：src_length*（17+src/dst_isnot_ddr）*data_size/（1024*（1+src_mem==dst_mem））</t>
  </si>
  <si>
    <t>src_length*data_size/（64*（1+src_mem==dst_mem））</t>
  </si>
  <si>
    <t>cw_transpose</t>
  </si>
  <si>
    <t>nonzero</t>
  </si>
  <si>
    <t>gather</t>
  </si>
  <si>
    <t>src和index来自同一mem</t>
  </si>
  <si>
    <t>scatter</t>
  </si>
  <si>
    <t>频率按1G评估</t>
  </si>
  <si>
    <t>典型带宽（仅考虑数据量足够大情况）GB/s</t>
  </si>
  <si>
    <t>max</t>
  </si>
  <si>
    <t>min（不考虑w过小）</t>
  </si>
  <si>
    <t>其他</t>
  </si>
  <si>
    <t>common（w stride！=1时等比例减小）</t>
  </si>
  <si>
    <t>src/dst起始地址不对齐:56.88</t>
  </si>
  <si>
    <t>ddr：size+start_addr[8:0]&lt;=512bytes且stride=1024bytes:32</t>
  </si>
  <si>
    <t>w过小(2):&lt;1</t>
  </si>
  <si>
    <t>transpose</t>
  </si>
  <si>
    <t>&lt;1</t>
  </si>
  <si>
    <t>64*(round(csize*datasize/64)+csize*data_size%64)/(round(csize*datasize/64)+1)</t>
  </si>
  <si>
    <t>dst w过小(2):&lt;1</t>
  </si>
  <si>
    <t>src w过小(2):&lt;1</t>
  </si>
  <si>
    <t>fmem 4bank broadcast</t>
  </si>
  <si>
    <t>mac ddr&lt;-&gt;fmem</t>
  </si>
  <si>
    <t>sec_len过小(2):&lt;1</t>
  </si>
  <si>
    <t>cube no transform ddr&lt;-&gt;fmem</t>
  </si>
  <si>
    <t>cube distribute transform ddr&lt;-&gt;fmem</t>
  </si>
  <si>
    <t>64IC ddr-&gt;kmem</t>
  </si>
  <si>
    <t>linear</t>
  </si>
  <si>
    <t>CW</t>
  </si>
  <si>
    <t>NC</t>
  </si>
  <si>
    <t>cube transform ddr&lt;-&gt;fmem</t>
  </si>
  <si>
    <t>ddr h/w size*data_size=33：16</t>
  </si>
  <si>
    <t>HW（ddr&lt;-&gt;fmem）</t>
  </si>
  <si>
    <t>src data size=1,index data size=4：16</t>
  </si>
  <si>
    <t>onehot</t>
  </si>
  <si>
    <t>common（输出带宽）</t>
  </si>
  <si>
    <t>natural_numgen</t>
  </si>
  <si>
    <t>intr_mst_parity_err_intrp_disable</t>
  </si>
  <si>
    <t>v</t>
    <phoneticPr fontId="31" type="noConversion"/>
  </si>
  <si>
    <t>h0</t>
    <phoneticPr fontId="31" type="noConversion"/>
  </si>
  <si>
    <t>rw</t>
    <phoneticPr fontId="31" type="noConversion"/>
  </si>
  <si>
    <t>intr_slv_parity_err_intrp_disable</t>
    <phoneticPr fontId="31" type="noConversion"/>
  </si>
  <si>
    <t>mst_inst_parity_err_intrp</t>
  </si>
  <si>
    <t>slv_inst_parity_err_intrp</t>
  </si>
  <si>
    <t>rwc</t>
    <phoneticPr fontId="31" type="noConversion"/>
  </si>
  <si>
    <t>h134</t>
    <phoneticPr fontId="31" type="noConversion"/>
  </si>
  <si>
    <t>gdma_csr_76</t>
    <phoneticPr fontId="31" type="noConversion"/>
  </si>
  <si>
    <t>slv_inst_err_cnt</t>
    <phoneticPr fontId="31" type="noConversion"/>
  </si>
  <si>
    <t>master thread cmd buffer xor err interrupt count, write 1 to clear</t>
    <phoneticPr fontId="31" type="noConversion"/>
  </si>
  <si>
    <t>slave thread cmd buffer xor err interrupt count, write 1 to clear</t>
    <phoneticPr fontId="31" type="noConversion"/>
  </si>
  <si>
    <t>mst_inst_err_cnt</t>
    <phoneticPr fontId="31" type="noConversion"/>
  </si>
  <si>
    <t>h138</t>
    <phoneticPr fontId="31" type="noConversion"/>
  </si>
  <si>
    <t>gdma_csr_77</t>
    <phoneticPr fontId="31" type="noConversion"/>
  </si>
  <si>
    <t>ro</t>
    <phoneticPr fontId="31" type="noConversion"/>
  </si>
  <si>
    <t>h13c</t>
    <phoneticPr fontId="31" type="noConversion"/>
  </si>
  <si>
    <t>gdma_csr_78</t>
    <phoneticPr fontId="31" type="noConversion"/>
  </si>
  <si>
    <t>slv_parity_cmd_id</t>
    <phoneticPr fontId="31" type="noConversion"/>
  </si>
  <si>
    <t>record the lasted master thread cmd_id which has passed the xor ecc, attention that the descriptor which the lasted cmd_id corresponds to may not execute finished</t>
    <phoneticPr fontId="31" type="noConversion"/>
  </si>
  <si>
    <t>record the lasted slave thread cmd_id which has passed the xor ecc, attention that the descriptor which the lasted cmd_id corresponds to may not execute finished</t>
    <phoneticPr fontId="31" type="noConversion"/>
  </si>
  <si>
    <t>mst_parity_cmd_id</t>
    <phoneticPr fontId="31" type="noConversion"/>
  </si>
  <si>
    <t>gdma_csr_79</t>
    <phoneticPr fontId="31" type="noConversion"/>
  </si>
  <si>
    <t>h110</t>
    <phoneticPr fontId="31" type="noConversion"/>
  </si>
  <si>
    <t>gdma_csr_69</t>
    <phoneticPr fontId="31" type="noConversion"/>
  </si>
  <si>
    <t>gdma_csr_70</t>
    <phoneticPr fontId="31" type="noConversion"/>
  </si>
  <si>
    <t>gdma_csr_71</t>
    <phoneticPr fontId="31" type="noConversion"/>
  </si>
  <si>
    <t>gdma_csr_72</t>
    <phoneticPr fontId="31" type="noConversion"/>
  </si>
  <si>
    <t>gdma_csr_73</t>
    <phoneticPr fontId="31" type="noConversion"/>
  </si>
  <si>
    <t>gdma_csr_74</t>
    <phoneticPr fontId="31" type="noConversion"/>
  </si>
  <si>
    <t>gdma_csr_75</t>
    <phoneticPr fontId="31" type="noConversion"/>
  </si>
  <si>
    <t>dual_thrd_nxt_state</t>
    <phoneticPr fontId="31" type="noConversion"/>
  </si>
  <si>
    <t>mst_sync_id_block</t>
  </si>
  <si>
    <t>slv_sync_id_block</t>
    <phoneticPr fontId="31" type="noConversion"/>
  </si>
  <si>
    <t>the next state of dual therad FSM</t>
    <phoneticPr fontId="31" type="noConversion"/>
  </si>
  <si>
    <t>depend_id dosent pass the syncID in master thread</t>
    <phoneticPr fontId="31" type="noConversion"/>
  </si>
  <si>
    <t>depend_id dosent pass the syncID in slave thread</t>
    <phoneticPr fontId="31" type="noConversion"/>
  </si>
  <si>
    <t>dual_thrd_mst_period</t>
  </si>
  <si>
    <t>sys_wait cmd in master thread</t>
    <phoneticPr fontId="31" type="noConversion"/>
  </si>
  <si>
    <t>sys_wait cmd in slave thread</t>
    <phoneticPr fontId="31" type="noConversion"/>
  </si>
  <si>
    <t>dual_thrd_slv_period</t>
    <phoneticPr fontId="31" type="noConversion"/>
  </si>
  <si>
    <t>indicate that the master thread is not over when the dual thread is opened</t>
    <phoneticPr fontId="31" type="noConversion"/>
  </si>
  <si>
    <t>indicate that the slave thread is not over when the dual thread is opened</t>
    <phoneticPr fontId="31" type="noConversion"/>
  </si>
  <si>
    <t>wait_slv_thrd_end</t>
  </si>
  <si>
    <t>the slave thread is over but the master thread is not over when the dual thread is opened</t>
    <phoneticPr fontId="31" type="noConversion"/>
  </si>
  <si>
    <t>mst_sys_wait_period</t>
    <phoneticPr fontId="31" type="noConversion"/>
  </si>
  <si>
    <t>slv_sys_wait_period</t>
    <phoneticPr fontId="31" type="noConversion"/>
  </si>
  <si>
    <t>CSR: 
增加xor ecc校验中断：mst/slv_inst_parity_err_intrp；
增加xor ecc中断次数count：mst/slv_inst_err_cnt；
增加记录xor ecc中断时上一个通过xor ecc的cmd id寄存器：mst/slv_parity_cmd_id
h110地址增加和双线程状态机相关信号的read only 寄存器；
中断中删除tpu0_rd/wr_err；</t>
    <phoneticPr fontId="32" type="noConversion"/>
  </si>
  <si>
    <t>h140</t>
    <phoneticPr fontId="31" type="noConversion"/>
  </si>
  <si>
    <t>gdma_csr_80</t>
    <phoneticPr fontId="31" type="noConversion"/>
  </si>
  <si>
    <t>rws</t>
    <phoneticPr fontId="31" type="noConversion"/>
  </si>
  <si>
    <t>sw write 1 to start next descriptor (single step mode) or start fetch descriptor (breakpoint mode)</t>
    <phoneticPr fontId="31" type="noConversion"/>
  </si>
  <si>
    <t>h144</t>
    <phoneticPr fontId="31" type="noConversion"/>
  </si>
  <si>
    <t>gdma_csr_81</t>
    <phoneticPr fontId="31" type="noConversion"/>
  </si>
  <si>
    <t>h148</t>
    <phoneticPr fontId="31" type="noConversion"/>
  </si>
  <si>
    <t>h14c</t>
    <phoneticPr fontId="31" type="noConversion"/>
  </si>
  <si>
    <t>h150</t>
    <phoneticPr fontId="31" type="noConversion"/>
  </si>
  <si>
    <t>h154</t>
    <phoneticPr fontId="31" type="noConversion"/>
  </si>
  <si>
    <t>h158</t>
    <phoneticPr fontId="31" type="noConversion"/>
  </si>
  <si>
    <t>h15c</t>
    <phoneticPr fontId="31" type="noConversion"/>
  </si>
  <si>
    <t>h160</t>
    <phoneticPr fontId="31" type="noConversion"/>
  </si>
  <si>
    <t>h164</t>
    <phoneticPr fontId="31" type="noConversion"/>
  </si>
  <si>
    <t>h168</t>
    <phoneticPr fontId="31" type="noConversion"/>
  </si>
  <si>
    <t>h16c</t>
    <phoneticPr fontId="31" type="noConversion"/>
  </si>
  <si>
    <t>h170</t>
    <phoneticPr fontId="31" type="noConversion"/>
  </si>
  <si>
    <t>h174</t>
    <phoneticPr fontId="31" type="noConversion"/>
  </si>
  <si>
    <t>h178</t>
    <phoneticPr fontId="31" type="noConversion"/>
  </si>
  <si>
    <t>h17c</t>
    <phoneticPr fontId="31" type="noConversion"/>
  </si>
  <si>
    <t>h180</t>
    <phoneticPr fontId="31" type="noConversion"/>
  </si>
  <si>
    <t>h184</t>
    <phoneticPr fontId="31" type="noConversion"/>
  </si>
  <si>
    <t>h188</t>
    <phoneticPr fontId="31" type="noConversion"/>
  </si>
  <si>
    <t>h18c</t>
    <phoneticPr fontId="31" type="noConversion"/>
  </si>
  <si>
    <t>h190</t>
    <phoneticPr fontId="31" type="noConversion"/>
  </si>
  <si>
    <t>h194</t>
    <phoneticPr fontId="31" type="noConversion"/>
  </si>
  <si>
    <t>h198</t>
    <phoneticPr fontId="31" type="noConversion"/>
  </si>
  <si>
    <t>h19c</t>
    <phoneticPr fontId="31" type="noConversion"/>
  </si>
  <si>
    <t>h1a0</t>
    <phoneticPr fontId="31" type="noConversion"/>
  </si>
  <si>
    <t>h1a4</t>
    <phoneticPr fontId="31" type="noConversion"/>
  </si>
  <si>
    <t>h1a8</t>
    <phoneticPr fontId="31" type="noConversion"/>
  </si>
  <si>
    <t>h1ac</t>
    <phoneticPr fontId="31" type="noConversion"/>
  </si>
  <si>
    <t>h1b0</t>
    <phoneticPr fontId="31" type="noConversion"/>
  </si>
  <si>
    <t>h1b4</t>
    <phoneticPr fontId="31" type="noConversion"/>
  </si>
  <si>
    <t>h1b8</t>
    <phoneticPr fontId="31" type="noConversion"/>
  </si>
  <si>
    <t>h1bc</t>
    <phoneticPr fontId="31" type="noConversion"/>
  </si>
  <si>
    <t>h1c0</t>
    <phoneticPr fontId="31" type="noConversion"/>
  </si>
  <si>
    <t>h1c4</t>
    <phoneticPr fontId="31" type="noConversion"/>
  </si>
  <si>
    <t>gdma_csr_82</t>
    <phoneticPr fontId="31" type="noConversion"/>
  </si>
  <si>
    <t>gdma_csr_83</t>
  </si>
  <si>
    <t>gdma_csr_84</t>
  </si>
  <si>
    <t>gdma_csr_85</t>
  </si>
  <si>
    <t>gdma_csr_86</t>
  </si>
  <si>
    <t>gdma_csr_87</t>
  </si>
  <si>
    <t>gdma_csr_88</t>
  </si>
  <si>
    <t>gdma_csr_89</t>
  </si>
  <si>
    <t>gdma_csr_90</t>
  </si>
  <si>
    <t>gdma_csr_91</t>
  </si>
  <si>
    <t>gdma_csr_92</t>
  </si>
  <si>
    <t>gdma_csr_93</t>
  </si>
  <si>
    <t>gdma_csr_94</t>
  </si>
  <si>
    <t>gdma_csr_95</t>
  </si>
  <si>
    <t>gdma_csr_96</t>
  </si>
  <si>
    <t>gdma_csr_97</t>
  </si>
  <si>
    <t>gdma_csr_98</t>
  </si>
  <si>
    <t>gdma_csr_99</t>
  </si>
  <si>
    <t>gdma_csr_100</t>
  </si>
  <si>
    <t>gdma_csr_101</t>
  </si>
  <si>
    <t>gdma_csr_102</t>
  </si>
  <si>
    <t>gdma_csr_103</t>
  </si>
  <si>
    <t>gdma_csr_104</t>
  </si>
  <si>
    <t>gdma_csr_105</t>
  </si>
  <si>
    <t>gdma_csr_106</t>
  </si>
  <si>
    <t>gdma_csr_107</t>
  </si>
  <si>
    <t>gdma_csr_108</t>
  </si>
  <si>
    <t>gdma_csr_109</t>
  </si>
  <si>
    <t>gdma_csr_110</t>
  </si>
  <si>
    <t>gdma_csr_111</t>
  </si>
  <si>
    <t>gdma_csr_112</t>
  </si>
  <si>
    <t>gdma_csr_113</t>
  </si>
  <si>
    <t>h1c8</t>
    <phoneticPr fontId="31" type="noConversion"/>
  </si>
  <si>
    <t>h1cc</t>
    <phoneticPr fontId="31" type="noConversion"/>
  </si>
  <si>
    <t>h1d0</t>
    <phoneticPr fontId="31" type="noConversion"/>
  </si>
  <si>
    <t>h1d4</t>
    <phoneticPr fontId="31" type="noConversion"/>
  </si>
  <si>
    <t>h1d8</t>
    <phoneticPr fontId="31" type="noConversion"/>
  </si>
  <si>
    <t>h1dc</t>
    <phoneticPr fontId="31" type="noConversion"/>
  </si>
  <si>
    <t>h1e0</t>
    <phoneticPr fontId="31" type="noConversion"/>
  </si>
  <si>
    <t>h1e4</t>
    <phoneticPr fontId="31" type="noConversion"/>
  </si>
  <si>
    <t>h1e8</t>
    <phoneticPr fontId="31" type="noConversion"/>
  </si>
  <si>
    <t>h1ec</t>
    <phoneticPr fontId="31" type="noConversion"/>
  </si>
  <si>
    <t>h1f0</t>
    <phoneticPr fontId="32" type="noConversion"/>
  </si>
  <si>
    <t>h1f4</t>
    <phoneticPr fontId="32" type="noConversion"/>
  </si>
  <si>
    <t>h1f8</t>
    <phoneticPr fontId="32" type="noConversion"/>
  </si>
  <si>
    <t>h1fc</t>
    <phoneticPr fontId="32" type="noConversion"/>
  </si>
  <si>
    <t>h200</t>
    <phoneticPr fontId="32" type="noConversion"/>
  </si>
  <si>
    <t>h204</t>
    <phoneticPr fontId="32" type="noConversion"/>
  </si>
  <si>
    <t>h208</t>
    <phoneticPr fontId="32" type="noConversion"/>
  </si>
  <si>
    <t>h20c</t>
    <phoneticPr fontId="32" type="noConversion"/>
  </si>
  <si>
    <t>h210</t>
    <phoneticPr fontId="32" type="noConversion"/>
  </si>
  <si>
    <t>h214</t>
    <phoneticPr fontId="32" type="noConversion"/>
  </si>
  <si>
    <t>h218</t>
    <phoneticPr fontId="32" type="noConversion"/>
  </si>
  <si>
    <t>h21c</t>
    <phoneticPr fontId="32" type="noConversion"/>
  </si>
  <si>
    <t>h220</t>
    <phoneticPr fontId="32" type="noConversion"/>
  </si>
  <si>
    <t>h224</t>
    <phoneticPr fontId="32" type="noConversion"/>
  </si>
  <si>
    <t>h228</t>
    <phoneticPr fontId="32" type="noConversion"/>
  </si>
  <si>
    <t>h22c</t>
    <phoneticPr fontId="32" type="noConversion"/>
  </si>
  <si>
    <t>h230</t>
    <phoneticPr fontId="32" type="noConversion"/>
  </si>
  <si>
    <t>h234</t>
    <phoneticPr fontId="32" type="noConversion"/>
  </si>
  <si>
    <t>h238</t>
    <phoneticPr fontId="32" type="noConversion"/>
  </si>
  <si>
    <t>h23c</t>
    <phoneticPr fontId="32" type="noConversion"/>
  </si>
  <si>
    <t>h244</t>
    <phoneticPr fontId="31" type="noConversion"/>
  </si>
  <si>
    <t>h240</t>
    <phoneticPr fontId="31" type="noConversion"/>
  </si>
  <si>
    <t>gdma_csr_114</t>
  </si>
  <si>
    <t>gdma_csr_115</t>
  </si>
  <si>
    <t>gdma_csr_116</t>
  </si>
  <si>
    <t>gdma_csr_117</t>
  </si>
  <si>
    <t>gdma_csr_118</t>
  </si>
  <si>
    <t>gdma_csr_119</t>
  </si>
  <si>
    <t>gdma_csr_120</t>
  </si>
  <si>
    <t>gdma_csr_121</t>
  </si>
  <si>
    <t>gdma_csr_122</t>
  </si>
  <si>
    <t>gdma_csr_123</t>
  </si>
  <si>
    <t>gdma_csr_124</t>
  </si>
  <si>
    <t>gdma_csr_125</t>
  </si>
  <si>
    <t>gdma_csr_126</t>
  </si>
  <si>
    <t>gdma_csr_127</t>
  </si>
  <si>
    <t>gdma_csr_128</t>
  </si>
  <si>
    <t>gdma_csr_129</t>
  </si>
  <si>
    <t>gdma_csr_130</t>
  </si>
  <si>
    <t>gdma_csr_131</t>
  </si>
  <si>
    <t>gdma_csr_132</t>
  </si>
  <si>
    <t>gdma_csr_133</t>
  </si>
  <si>
    <t>gdma_csr_134</t>
  </si>
  <si>
    <t>gdma_csr_135</t>
  </si>
  <si>
    <t>gdma_csr_136</t>
  </si>
  <si>
    <t>gdma_csr_137</t>
  </si>
  <si>
    <t>gdma_csr_138</t>
  </si>
  <si>
    <t>gdma_csr_139</t>
  </si>
  <si>
    <t>gdma_csr_140</t>
  </si>
  <si>
    <t>gdma_csr_141</t>
  </si>
  <si>
    <t>gdma_csr_142</t>
  </si>
  <si>
    <t>gdma_csr_143</t>
  </si>
  <si>
    <t>gdma_csr_144</t>
  </si>
  <si>
    <t>gdma_csr_145</t>
  </si>
  <si>
    <t>memory protection unit start address, low 32 bit</t>
    <phoneticPr fontId="31" type="noConversion"/>
  </si>
  <si>
    <t>memory protection unit start address, high 8 bit</t>
    <phoneticPr fontId="31" type="noConversion"/>
  </si>
  <si>
    <t>memory protection unit end address, low 32 bit</t>
    <phoneticPr fontId="31" type="noConversion"/>
  </si>
  <si>
    <t>memory protection unit end address, high 8 bit</t>
    <phoneticPr fontId="31" type="noConversion"/>
  </si>
  <si>
    <t>break_point</t>
    <phoneticPr fontId="32" type="noConversion"/>
  </si>
  <si>
    <t>mst_dbg_exec_enable</t>
    <phoneticPr fontId="31" type="noConversion"/>
  </si>
  <si>
    <t>slv_dbg_exec_enable</t>
    <phoneticPr fontId="31" type="noConversion"/>
  </si>
  <si>
    <t>mst_mpu_fetch_addr_err</t>
    <phoneticPr fontId="31" type="noConversion"/>
  </si>
  <si>
    <t>slv_mpu_fetch_addr_err</t>
    <phoneticPr fontId="31" type="noConversion"/>
  </si>
  <si>
    <t>DMA指令87th位段设置为break_point
CSR:h12c地址增加4个跟pmu相关的中断寄存器，及相应的disable寄存器</t>
    <phoneticPr fontId="32" type="noConversion"/>
  </si>
  <si>
    <t>intr_mst_mpu_fetch_addr_err_disable</t>
    <phoneticPr fontId="31" type="noConversion"/>
  </si>
  <si>
    <t>intr_slv_mpu_fetch_addr_err_disable</t>
    <phoneticPr fontId="31" type="noConversion"/>
  </si>
  <si>
    <t>CSR:
h140增加3个寄存器，用于debug mode；
增加4个irq_xxx中断寄存器用于debug mode，以及相应的_disable信号，位于h30和h128地址；
增加memory protection unit相关寄存器，位于h144至h244地址；</t>
    <phoneticPr fontId="32" type="noConversion"/>
  </si>
  <si>
    <t>RO</t>
    <phoneticPr fontId="32" type="noConversion"/>
  </si>
  <si>
    <t>RW</t>
    <phoneticPr fontId="32" type="noConversion"/>
  </si>
  <si>
    <t xml:space="preserve">when dbg_mode equals to 2'b10 and this bit is 1, the gdma will stop executing the next descriptor after this descriptor is executed, </t>
    <phoneticPr fontId="32" type="noConversion"/>
  </si>
  <si>
    <t>slv_cmd_exec_cnt</t>
  </si>
  <si>
    <t>the number of descriptors which are executing in master thread</t>
    <phoneticPr fontId="31" type="noConversion"/>
  </si>
  <si>
    <t>the number of descriptors which are executing in slave thread</t>
    <phoneticPr fontId="31" type="noConversion"/>
  </si>
  <si>
    <t>slv_des_fetch_cur_state</t>
  </si>
  <si>
    <t>fetching descriptor FSM when des mode in master thread</t>
    <phoneticPr fontId="31" type="noConversion"/>
  </si>
  <si>
    <t>fetching descriptor FSM when des mode in slave thread</t>
    <phoneticPr fontId="31" type="noConversion"/>
  </si>
  <si>
    <t>clear descriptro FSM in master thread, which is triggered by des_clr</t>
    <phoneticPr fontId="31" type="noConversion"/>
  </si>
  <si>
    <t>slv_des_clear_cur_state</t>
  </si>
  <si>
    <t>mst_des_fetch_cur_state</t>
    <phoneticPr fontId="31" type="noConversion"/>
  </si>
  <si>
    <t>mst_des_clear_cur_state</t>
    <phoneticPr fontId="31" type="noConversion"/>
  </si>
  <si>
    <t>mst_cmd_exec_cnt</t>
    <phoneticPr fontId="31" type="noConversion"/>
  </si>
  <si>
    <t>CSR:
1.h110地址删除dual_thrd_nxt_state，mst/slv_buffer_empty共3个寄存器；
2.h110的11-26位段新增6个寄存器：mst/slv_des_fetch_cur_state，mst/slv_des_clear_cur_state，mst/slv_cmd_exec_cnt；</t>
    <phoneticPr fontId="32" type="noConversion"/>
  </si>
  <si>
    <t>presetn</t>
    <phoneticPr fontId="31" type="noConversion"/>
  </si>
  <si>
    <t>slv_dbg_mode</t>
    <phoneticPr fontId="31" type="noConversion"/>
  </si>
  <si>
    <t>mst_dbg_mode</t>
    <phoneticPr fontId="31" type="noConversion"/>
  </si>
  <si>
    <t>sw set the msater thread debug mode</t>
    <phoneticPr fontId="31" type="noConversion"/>
  </si>
  <si>
    <t>sw set the slave thread debug mode</t>
    <phoneticPr fontId="31" type="noConversion"/>
  </si>
  <si>
    <t>sw set the dual thread mode. 0: sdma dual thread roundrobin; 1: gdma dual thread fork/join/exit</t>
    <phoneticPr fontId="31" type="noConversion"/>
  </si>
  <si>
    <t>when thrd_mode is 0, this bit is equivalent to des_mode_enable, sw needs to write 1 to start fetching cmd for slave thread</t>
    <phoneticPr fontId="31" type="noConversion"/>
  </si>
  <si>
    <t>when thrd_mode = 0, this bit is used to set slave thread cmd_id to 32'h0
0: Do not reset the SyncID output
1: Reset the SyncID output to be all 0s
This bit will be cleared immediately after write.
A2:WSC -&gt; 2260:w1p</t>
    <phoneticPr fontId="31" type="noConversion"/>
  </si>
  <si>
    <t>slv_des_mode_end</t>
    <phoneticPr fontId="31" type="noConversion"/>
  </si>
  <si>
    <t>slv_des_mode_set_err</t>
    <phoneticPr fontId="31" type="noConversion"/>
  </si>
  <si>
    <t>CSR: 
位于h140地址
1.dbg mode 分别两套，主副线程各自控制；
2.增加thrd_mode rw寄存器，可选择线程切换策略
3.增加slv_des_mode_enable;
4.增加slv_sync_id_reset;
位于h128地址
5.增加slv_des_mode_end；及相应disable；标识副线程的des_mode结束
位于h12c地址
5.增加slv_des_mode_set_err；及相应disable；标识roundrobin副线程开启有效时二次开启的错误</t>
    <phoneticPr fontId="32" type="noConversion"/>
  </si>
  <si>
    <t>intr_slv_des_mode_end_disable</t>
    <phoneticPr fontId="31" type="noConversion"/>
  </si>
  <si>
    <t>intr_slv_des_mode_set_err_disable</t>
    <phoneticPr fontId="31" type="noConversion"/>
  </si>
  <si>
    <t>h0</t>
    <phoneticPr fontId="31" type="noConversion"/>
  </si>
  <si>
    <t>ro</t>
    <phoneticPr fontId="31" type="noConversion"/>
  </si>
  <si>
    <t>v</t>
    <phoneticPr fontId="31" type="noConversion"/>
  </si>
  <si>
    <t>CSR:
1.h110地址增加dma_state ro寄存器；</t>
    <phoneticPr fontId="32" type="noConversion"/>
  </si>
  <si>
    <t>h1</t>
    <phoneticPr fontId="31" type="noConversion"/>
  </si>
  <si>
    <t>localmem_mask_h32</t>
    <phoneticPr fontId="32" type="noConversion"/>
  </si>
  <si>
    <t>1.修改gather scatter的start pos位段，之前和lane mask位段冲突</t>
    <phoneticPr fontId="32" type="noConversion"/>
  </si>
  <si>
    <t>mpu_start_addr_region0_low32</t>
    <phoneticPr fontId="32" type="noConversion"/>
  </si>
  <si>
    <t>mpu_start_addr_region0_high8</t>
    <phoneticPr fontId="32" type="noConversion"/>
  </si>
  <si>
    <t>mpu_start_addr_region1_low32</t>
    <phoneticPr fontId="32" type="noConversion"/>
  </si>
  <si>
    <t>mpu_start_addr_region1_high8</t>
    <phoneticPr fontId="32" type="noConversion"/>
  </si>
  <si>
    <t>mpu_start_addr_region2_low32</t>
    <phoneticPr fontId="32" type="noConversion"/>
  </si>
  <si>
    <t>mpu_start_addr_region2_high8</t>
    <phoneticPr fontId="32" type="noConversion"/>
  </si>
  <si>
    <t>mpu_start_addr_region3_low32</t>
    <phoneticPr fontId="32" type="noConversion"/>
  </si>
  <si>
    <t>mpu_start_addr_region3_high8</t>
    <phoneticPr fontId="32" type="noConversion"/>
  </si>
  <si>
    <t>mpu_start_addr_region4_low32</t>
    <phoneticPr fontId="32" type="noConversion"/>
  </si>
  <si>
    <t>mpu_start_addr_region4_high8</t>
    <phoneticPr fontId="32" type="noConversion"/>
  </si>
  <si>
    <t>mpu_start_addr_region5_low32</t>
    <phoneticPr fontId="32" type="noConversion"/>
  </si>
  <si>
    <t>mpu_start_addr_region5_high8</t>
    <phoneticPr fontId="32" type="noConversion"/>
  </si>
  <si>
    <t>mpu_start_addr_region6_low32</t>
    <phoneticPr fontId="32" type="noConversion"/>
  </si>
  <si>
    <t>mpu_start_addr_region6_high8</t>
    <phoneticPr fontId="32" type="noConversion"/>
  </si>
  <si>
    <t>mpu_start_addr_region7_low32</t>
    <phoneticPr fontId="32" type="noConversion"/>
  </si>
  <si>
    <t>mpu_start_addr_region7_high8</t>
    <phoneticPr fontId="32" type="noConversion"/>
  </si>
  <si>
    <t>mpu_start_addr_region8_low32</t>
    <phoneticPr fontId="32" type="noConversion"/>
  </si>
  <si>
    <t>mpu_start_addr_region8_high8</t>
    <phoneticPr fontId="32" type="noConversion"/>
  </si>
  <si>
    <t>mpu_start_addr_region9_low32</t>
    <phoneticPr fontId="32" type="noConversion"/>
  </si>
  <si>
    <t>mpu_start_addr_region9_high8</t>
    <phoneticPr fontId="32" type="noConversion"/>
  </si>
  <si>
    <t>mpu_start_addr_region10_low32</t>
    <phoneticPr fontId="32" type="noConversion"/>
  </si>
  <si>
    <t>mpu_start_addr_region10_high8</t>
    <phoneticPr fontId="32" type="noConversion"/>
  </si>
  <si>
    <t>mpu_start_addr_region11_low32</t>
    <phoneticPr fontId="32" type="noConversion"/>
  </si>
  <si>
    <t>mpu_start_addr_region11_high8</t>
    <phoneticPr fontId="32" type="noConversion"/>
  </si>
  <si>
    <t>mpu_start_addr_region12_low32</t>
    <phoneticPr fontId="32" type="noConversion"/>
  </si>
  <si>
    <t>mpu_start_addr_region12_high8</t>
    <phoneticPr fontId="32" type="noConversion"/>
  </si>
  <si>
    <t>mpu_start_addr_region13_low32</t>
    <phoneticPr fontId="32" type="noConversion"/>
  </si>
  <si>
    <t>mpu_start_addr_region13_high8</t>
    <phoneticPr fontId="32" type="noConversion"/>
  </si>
  <si>
    <t>mpu_start_addr_region14_low32</t>
    <phoneticPr fontId="32" type="noConversion"/>
  </si>
  <si>
    <t>mpu_start_addr_region14_high8</t>
    <phoneticPr fontId="32" type="noConversion"/>
  </si>
  <si>
    <t>mpu_start_addr_region15_low32</t>
    <phoneticPr fontId="32" type="noConversion"/>
  </si>
  <si>
    <t>mpu_start_addr_region15_high8</t>
    <phoneticPr fontId="32" type="noConversion"/>
  </si>
  <si>
    <t>mpu_end_addr_region0_low32</t>
    <phoneticPr fontId="32" type="noConversion"/>
  </si>
  <si>
    <t>mpu_end_addr_region0_high8</t>
    <phoneticPr fontId="32" type="noConversion"/>
  </si>
  <si>
    <t>mpu_end_addr_region1_low32</t>
    <phoneticPr fontId="32" type="noConversion"/>
  </si>
  <si>
    <t>mpu_end_addr_region1_high8</t>
    <phoneticPr fontId="32" type="noConversion"/>
  </si>
  <si>
    <t>mpu_end_addr_region2_low32</t>
    <phoneticPr fontId="32" type="noConversion"/>
  </si>
  <si>
    <t>mpu_end_addr_region2_high8</t>
    <phoneticPr fontId="32" type="noConversion"/>
  </si>
  <si>
    <t>mpu_end_addr_region3_low32</t>
    <phoneticPr fontId="32" type="noConversion"/>
  </si>
  <si>
    <t>mpu_end_addr_region3_high8</t>
    <phoneticPr fontId="32" type="noConversion"/>
  </si>
  <si>
    <t>mpu_end_addr_region4_low32</t>
    <phoneticPr fontId="32" type="noConversion"/>
  </si>
  <si>
    <t>mpu_end_addr_region4_high8</t>
    <phoneticPr fontId="32" type="noConversion"/>
  </si>
  <si>
    <t>mpu_end_addr_region5_low32</t>
    <phoneticPr fontId="32" type="noConversion"/>
  </si>
  <si>
    <t>mpu_end_addr_region5_high8</t>
    <phoneticPr fontId="32" type="noConversion"/>
  </si>
  <si>
    <t>mpu_end_addr_region6_low32</t>
    <phoneticPr fontId="32" type="noConversion"/>
  </si>
  <si>
    <t>mpu_end_addr_region6_high8</t>
    <phoneticPr fontId="32" type="noConversion"/>
  </si>
  <si>
    <t>mpu_end_addr_region7_low32</t>
    <phoneticPr fontId="32" type="noConversion"/>
  </si>
  <si>
    <t>mpu_end_addr_region7_high8</t>
    <phoneticPr fontId="32" type="noConversion"/>
  </si>
  <si>
    <t>mpu_end_addr_region8_low32</t>
    <phoneticPr fontId="32" type="noConversion"/>
  </si>
  <si>
    <t>mpu_end_addr_region8_high8</t>
    <phoneticPr fontId="32" type="noConversion"/>
  </si>
  <si>
    <t>mpu_end_addr_region9_low32</t>
    <phoneticPr fontId="32" type="noConversion"/>
  </si>
  <si>
    <t>mpu_end_addr_region9_high8</t>
    <phoneticPr fontId="32" type="noConversion"/>
  </si>
  <si>
    <t>mpu_end_addr_region10_low32</t>
    <phoneticPr fontId="32" type="noConversion"/>
  </si>
  <si>
    <t>mpu_end_addr_region10_high8</t>
    <phoneticPr fontId="32" type="noConversion"/>
  </si>
  <si>
    <t>mpu_end_addr_region11_low32</t>
    <phoneticPr fontId="32" type="noConversion"/>
  </si>
  <si>
    <t>mpu_end_addr_region11_high8</t>
    <phoneticPr fontId="32" type="noConversion"/>
  </si>
  <si>
    <t>mpu_end_addr_region12_low32</t>
    <phoneticPr fontId="32" type="noConversion"/>
  </si>
  <si>
    <t>mpu_end_addr_region12_high8</t>
    <phoneticPr fontId="32" type="noConversion"/>
  </si>
  <si>
    <t>mpu_end_addr_region13_low32</t>
    <phoneticPr fontId="32" type="noConversion"/>
  </si>
  <si>
    <t>mpu_end_addr_region13_high8</t>
    <phoneticPr fontId="32" type="noConversion"/>
  </si>
  <si>
    <t>mpu_end_addr_region14_low32</t>
    <phoneticPr fontId="32" type="noConversion"/>
  </si>
  <si>
    <t>mpu_end_addr_region14_high8</t>
    <phoneticPr fontId="32" type="noConversion"/>
  </si>
  <si>
    <t>mpu_end_addr_region15_low32</t>
    <phoneticPr fontId="32" type="noConversion"/>
  </si>
  <si>
    <t>mpu_end_addr_region15_high8</t>
    <phoneticPr fontId="32" type="noConversion"/>
  </si>
  <si>
    <t>h248</t>
    <phoneticPr fontId="31" type="noConversion"/>
  </si>
  <si>
    <t>gdma_csr_146</t>
    <phoneticPr fontId="31" type="noConversion"/>
  </si>
  <si>
    <t>mst_current_id_pre</t>
    <phoneticPr fontId="31" type="noConversion"/>
  </si>
  <si>
    <t>v</t>
    <phoneticPr fontId="31" type="noConversion"/>
  </si>
  <si>
    <t>ro</t>
    <phoneticPr fontId="31" type="noConversion"/>
  </si>
  <si>
    <t>主线程正在执行的最后一个非sys指令的cmd_id</t>
    <phoneticPr fontId="31" type="noConversion"/>
  </si>
  <si>
    <t>h24c</t>
    <phoneticPr fontId="31" type="noConversion"/>
  </si>
  <si>
    <t>gdma_csr_147</t>
    <phoneticPr fontId="31" type="noConversion"/>
  </si>
  <si>
    <t>slv_current_id_pre</t>
    <phoneticPr fontId="31" type="noConversion"/>
  </si>
  <si>
    <t>h0</t>
    <phoneticPr fontId="31" type="noConversion"/>
  </si>
  <si>
    <t>副线程正在执行的最后一个非sys指令的cmd_id</t>
    <phoneticPr fontId="31" type="noConversion"/>
  </si>
  <si>
    <t>CSR：
1.h248和h24c增加mst/slv_current_id_pre 只读寄存器</t>
    <phoneticPr fontId="32" type="noConversion"/>
  </si>
  <si>
    <t>slv_irq_breakpoint</t>
    <phoneticPr fontId="31" type="noConversion"/>
  </si>
  <si>
    <t>mst_irq_breakpoint</t>
    <phoneticPr fontId="31" type="noConversion"/>
  </si>
  <si>
    <t>slv_irq_singlestep</t>
    <phoneticPr fontId="31" type="noConversion"/>
  </si>
  <si>
    <t>mst_irq_singlestep</t>
    <phoneticPr fontId="31" type="noConversion"/>
  </si>
  <si>
    <t>intr_mst_singlestep_disable</t>
    <phoneticPr fontId="31" type="noConversion"/>
  </si>
  <si>
    <t>intr_slv_singlestep_disable</t>
    <phoneticPr fontId="31" type="noConversion"/>
  </si>
  <si>
    <t>intr_mst_breakpoint_disable</t>
    <phoneticPr fontId="31" type="noConversion"/>
  </si>
  <si>
    <t>intr_slv_breakpoint_disable</t>
    <phoneticPr fontId="31" type="noConversion"/>
  </si>
  <si>
    <r>
      <t>C</t>
    </r>
    <r>
      <rPr>
        <sz val="11"/>
        <color theme="1"/>
        <rFont val="Microsoft YaHei UI"/>
        <family val="2"/>
        <charset val="134"/>
      </rPr>
      <t>SR：
1.h30和h128地址与dbg mode有关的四根中断信号名字去掉stopped</t>
    </r>
    <phoneticPr fontId="32" type="noConversion"/>
  </si>
  <si>
    <t>h1</t>
    <phoneticPr fontId="31" type="noConversion"/>
  </si>
  <si>
    <t>slv_word_nums_after_filter</t>
  </si>
  <si>
    <t>h250</t>
    <phoneticPr fontId="31" type="noConversion"/>
  </si>
  <si>
    <t>gdma_csr_148</t>
    <phoneticPr fontId="31" type="noConversion"/>
  </si>
  <si>
    <t>v</t>
    <phoneticPr fontId="31" type="noConversion"/>
  </si>
  <si>
    <t>h0</t>
    <phoneticPr fontId="31" type="noConversion"/>
  </si>
  <si>
    <t>rwc</t>
    <phoneticPr fontId="31" type="noConversion"/>
  </si>
  <si>
    <t>slave thread: used in DMA_masked_select/DMA_nonzero command, this means the number of the data after filtering .</t>
    <phoneticPr fontId="31" type="noConversion"/>
  </si>
  <si>
    <t>CSR:
h250地址新增副线程的slv_word_num_after_filter rwc register</t>
    <phoneticPr fontId="32" type="noConversion"/>
  </si>
  <si>
    <t>dma_mst_thrd_state</t>
    <phoneticPr fontId="31" type="noConversion"/>
  </si>
  <si>
    <t>dma_slv_thrd_state</t>
    <phoneticPr fontId="31" type="noConversion"/>
  </si>
  <si>
    <t>v</t>
    <phoneticPr fontId="31" type="noConversion"/>
  </si>
  <si>
    <t>h0</t>
    <phoneticPr fontId="31" type="noConversion"/>
  </si>
  <si>
    <t>ro</t>
    <phoneticPr fontId="31" type="noConversion"/>
  </si>
  <si>
    <t>gdma/sdma master thread state: 0: idle; 1:active</t>
    <phoneticPr fontId="31" type="noConversion"/>
  </si>
  <si>
    <t>gdma/sdma slave thread state: 0: idle; 1:active</t>
    <phoneticPr fontId="31" type="noConversion"/>
  </si>
  <si>
    <r>
      <t>C</t>
    </r>
    <r>
      <rPr>
        <sz val="11"/>
        <color theme="1"/>
        <rFont val="Microsoft YaHei UI"/>
        <family val="2"/>
        <charset val="134"/>
      </rPr>
      <t>SR:
h110地址dma_state分为dma_mst_thrd_state和dma_slv_thrd_state两个ro寄存器；</t>
    </r>
    <phoneticPr fontId="32" type="noConversion"/>
  </si>
  <si>
    <t>h254</t>
    <phoneticPr fontId="31" type="noConversion"/>
  </si>
  <si>
    <t>gdma_csr_149</t>
    <phoneticPr fontId="31" type="noConversion"/>
  </si>
  <si>
    <t>sw_des_arcache</t>
  </si>
  <si>
    <t>h2</t>
    <phoneticPr fontId="31" type="noConversion"/>
  </si>
  <si>
    <t>sw_pmu_awcache</t>
    <phoneticPr fontId="31" type="noConversion"/>
  </si>
  <si>
    <t>sw_dp_arcache_en</t>
  </si>
  <si>
    <t>sw_dp_arcache</t>
    <phoneticPr fontId="31" type="noConversion"/>
  </si>
  <si>
    <t>sw_dp_awcache_en</t>
  </si>
  <si>
    <t>sw_dp_awcache</t>
    <phoneticPr fontId="31" type="noConversion"/>
  </si>
  <si>
    <t>for pmu aw channel port</t>
    <phoneticPr fontId="31" type="noConversion"/>
  </si>
  <si>
    <t>for des ar channel port</t>
    <phoneticPr fontId="31" type="noConversion"/>
  </si>
  <si>
    <t>for datapath ar channel port</t>
    <phoneticPr fontId="31" type="noConversion"/>
  </si>
  <si>
    <t>for datapath aw channel port</t>
    <phoneticPr fontId="31" type="noConversion"/>
  </si>
  <si>
    <t>enable for datapath ar channel port, 0: hw set value; 1: sw set value</t>
    <phoneticPr fontId="31" type="noConversion"/>
  </si>
  <si>
    <t>enable for datapath aw channel port, 0: hw set value; 1: sw set value</t>
    <phoneticPr fontId="31" type="noConversion"/>
  </si>
  <si>
    <t>CSR：
1.新增h254地址，为axi接口axcache register
2.h110地址mst/slv_exe_cnt位宽从2bit修改为3bit；</t>
    <phoneticPr fontId="32" type="noConversion"/>
  </si>
  <si>
    <t>h34040</t>
    <phoneticPr fontId="31" type="noConversion"/>
  </si>
  <si>
    <t>h72a2a2a</t>
    <phoneticPr fontId="31" type="noConversion"/>
  </si>
  <si>
    <t>h0</t>
    <phoneticPr fontId="31" type="noConversion"/>
  </si>
  <si>
    <t>gdma_csr_150</t>
    <phoneticPr fontId="31" type="noConversion"/>
  </si>
  <si>
    <t>h258</t>
    <phoneticPr fontId="31" type="noConversion"/>
  </si>
  <si>
    <t>reg_csr_reg_auto_gate_enable</t>
    <phoneticPr fontId="31" type="noConversion"/>
  </si>
  <si>
    <t>reg_reg_auto_gate_enable</t>
    <phoneticPr fontId="31" type="noConversion"/>
  </si>
  <si>
    <t>reg_dis_fab_lp_opt</t>
    <phoneticPr fontId="31" type="noConversion"/>
  </si>
  <si>
    <t>reg_csr_reg_idle_cycles_before_gate</t>
    <phoneticPr fontId="31" type="noConversion"/>
  </si>
  <si>
    <t>reg_axi_fab0_reg_idle_cycles_before_gate</t>
    <phoneticPr fontId="31" type="noConversion"/>
  </si>
  <si>
    <t>v</t>
    <phoneticPr fontId="31" type="noConversion"/>
  </si>
  <si>
    <t>h1</t>
    <phoneticPr fontId="31" type="noConversion"/>
  </si>
  <si>
    <t>CSR:
1.gdma_csr_56/57/58/59 四个地址的寄存器修改了位宽和默认值；
2.gdma_csr_150新增5个寄存器；
3.删除gdma_csr_0中第2 bit上的pmu_enable寄存器；</t>
    <phoneticPr fontId="32" type="noConversion"/>
  </si>
  <si>
    <t>tensor_rd_mode</t>
    <phoneticPr fontId="31" type="noConversion"/>
  </si>
  <si>
    <t>tensor_wr_mode</t>
    <phoneticPr fontId="31" type="noConversion"/>
  </si>
  <si>
    <t>CSR:
1.gdma_csr_76原有的8个reg删除，替换为tensor_rd/wr_mode两个reg；</t>
    <phoneticPr fontId="32" type="noConversion"/>
  </si>
  <si>
    <t>CSR：
1.gdma_csr_80的slv_des_mode_enable, slv_sync_id_reset, thrd_mode移动到gdma_csr_0地址的[2],[7],[15]</t>
    <phoneticPr fontId="32" type="noConversion"/>
  </si>
  <si>
    <t>slv_des_mode_enable</t>
    <phoneticPr fontId="31" type="noConversion"/>
  </si>
  <si>
    <t>h0</t>
    <phoneticPr fontId="31" type="noConversion"/>
  </si>
  <si>
    <t>slv_sync_id_reset</t>
    <phoneticPr fontId="31" type="noConversion"/>
  </si>
  <si>
    <t>v</t>
    <phoneticPr fontId="31" type="noConversion"/>
  </si>
  <si>
    <t>thrd_mode</t>
    <phoneticPr fontId="31" type="noConversion"/>
  </si>
  <si>
    <t>rw</t>
    <phoneticPr fontId="31" type="noConversion"/>
  </si>
  <si>
    <t>gdma_csr_151</t>
    <phoneticPr fontId="31" type="noConversion"/>
  </si>
  <si>
    <t>gdma_csr_152</t>
    <phoneticPr fontId="31" type="noConversion"/>
  </si>
  <si>
    <t>h25c</t>
    <phoneticPr fontId="31" type="noConversion"/>
  </si>
  <si>
    <t>h260</t>
    <phoneticPr fontId="31" type="noConversion"/>
  </si>
  <si>
    <t>v</t>
    <phoneticPr fontId="31" type="noConversion"/>
  </si>
  <si>
    <t>des_hang_timer_lm</t>
    <phoneticPr fontId="31" type="noConversion"/>
  </si>
  <si>
    <t>ip_hang_timer_lm</t>
    <phoneticPr fontId="31" type="noConversion"/>
  </si>
  <si>
    <t>hffffffff</t>
    <phoneticPr fontId="31" type="noConversion"/>
  </si>
  <si>
    <t>rw</t>
    <phoneticPr fontId="31" type="noConversion"/>
  </si>
  <si>
    <t>timer for gdma_des  descriptor outputing with sys_ctrl，hang住cycle计数器</t>
    <phoneticPr fontId="31" type="noConversion"/>
  </si>
  <si>
    <t>CSR：
1.gdma_csr_151/152增加两个32bit rw reg，sw设定hang住的最大cycle数</t>
    <phoneticPr fontId="32" type="noConversion"/>
  </si>
  <si>
    <t>mst_mpu_inst_araddr_err</t>
    <phoneticPr fontId="31" type="noConversion"/>
  </si>
  <si>
    <t>mst_mpu_inst_awaddr_err</t>
    <phoneticPr fontId="31" type="noConversion"/>
  </si>
  <si>
    <t>intr_mst_mpu_inst_araddr_err_disable</t>
    <phoneticPr fontId="31" type="noConversion"/>
  </si>
  <si>
    <t>intr_slv_mpu_inst_araddr_err_disable</t>
    <phoneticPr fontId="31" type="noConversion"/>
  </si>
  <si>
    <t>intr_mst_mpu_inst_awaddr_err_disable</t>
    <phoneticPr fontId="31" type="noConversion"/>
  </si>
  <si>
    <t>intr_slv_mpu_inst_awaddr_err_disable</t>
    <phoneticPr fontId="31" type="noConversion"/>
  </si>
  <si>
    <t>intr_mpu_pmu_awaddr_err_disable</t>
    <phoneticPr fontId="31" type="noConversion"/>
  </si>
  <si>
    <t>mpu_pmu_awaddr_err</t>
    <phoneticPr fontId="31" type="noConversion"/>
  </si>
  <si>
    <t>hff</t>
    <phoneticPr fontId="31" type="noConversion"/>
  </si>
  <si>
    <t>CSR:
1.新增gdma_csr_73/75新增三个mpu相关中断和相应的disable信号；
2.mpu16组地址的end改为全f；</t>
    <phoneticPr fontId="32" type="noConversion"/>
  </si>
  <si>
    <t>slv_mpu_inst_araddr_err</t>
    <phoneticPr fontId="31" type="noConversion"/>
  </si>
  <si>
    <t>slv_mpu_inst_awaddr_err</t>
    <phoneticPr fontId="31" type="noConversion"/>
  </si>
  <si>
    <t>CSR：
1.gdma_csr_2/3删除两个_update寄存器</t>
    <phoneticPr fontId="32" type="noConversion"/>
  </si>
  <si>
    <t>no</t>
    <phoneticPr fontId="31" type="noConversion"/>
  </si>
  <si>
    <t>no(TBD)</t>
    <phoneticPr fontId="31" type="noConversion"/>
  </si>
  <si>
    <t>output but not used in gdma_top</t>
    <phoneticPr fontId="31" type="noConversion"/>
  </si>
  <si>
    <t>not output</t>
    <phoneticPr fontId="31" type="noConversion"/>
  </si>
  <si>
    <t>base addr region0 high 32bit, for gmem/l2</t>
    <phoneticPr fontId="31" type="noConversion"/>
  </si>
  <si>
    <t>base addr region1 high 32bit, for gmem/l2</t>
    <phoneticPr fontId="31" type="noConversion"/>
  </si>
  <si>
    <t>base addr region2 high 32bit, for gmem/l2</t>
    <phoneticPr fontId="31" type="noConversion"/>
  </si>
  <si>
    <t>base addr region3 high 32bit, for gmem/l2</t>
    <phoneticPr fontId="31" type="noConversion"/>
  </si>
  <si>
    <t>base addr region4 high 32bit, for gmem/l2</t>
    <phoneticPr fontId="31" type="noConversion"/>
  </si>
  <si>
    <t>base addr region5 high 32bit, for gmem/l2</t>
    <phoneticPr fontId="31" type="noConversion"/>
  </si>
  <si>
    <t>base addr region6 high 32bit, for gmem/l2</t>
    <phoneticPr fontId="31" type="noConversion"/>
  </si>
  <si>
    <t>base addr region7 high 32bit, for gmem/l2</t>
    <phoneticPr fontId="31" type="noConversion"/>
  </si>
  <si>
    <t>base addr region8 high 32bit, for gmem/l2</t>
    <phoneticPr fontId="31" type="noConversion"/>
  </si>
  <si>
    <t>base addr region9 high 32bit, for gmem/l2</t>
    <phoneticPr fontId="31" type="noConversion"/>
  </si>
  <si>
    <t>base addr region10 high 32bit, for gmem/l2</t>
    <phoneticPr fontId="31" type="noConversion"/>
  </si>
  <si>
    <t>base addr region11 high 32bit, for gmem/l2</t>
    <phoneticPr fontId="31" type="noConversion"/>
  </si>
  <si>
    <t>base addr region12 high 32bit, for gmem/l2</t>
    <phoneticPr fontId="31" type="noConversion"/>
  </si>
  <si>
    <t>base addr region13 high 32bit, for gmem/l2</t>
    <phoneticPr fontId="31" type="noConversion"/>
  </si>
  <si>
    <t>base addr region14 high 32bit, for gmem/l2</t>
    <phoneticPr fontId="31" type="noConversion"/>
  </si>
  <si>
    <t>base addr region15 high 32bit, for gmem/l2</t>
    <phoneticPr fontId="31" type="noConversion"/>
  </si>
  <si>
    <t>base addr region16 high 32bit, for gmem/l2</t>
    <phoneticPr fontId="31" type="noConversion"/>
  </si>
  <si>
    <t>base addr region17 high 32bit, for gmem/l2</t>
    <phoneticPr fontId="31" type="noConversion"/>
  </si>
  <si>
    <t>base addr region18 high 32bit, for gmem/l2</t>
    <phoneticPr fontId="31" type="noConversion"/>
  </si>
  <si>
    <t>base addr region19 high 32bit, for gmem/l2</t>
    <phoneticPr fontId="31" type="noConversion"/>
  </si>
  <si>
    <t>base addr region20 high 32bit, for gmem/l2</t>
    <phoneticPr fontId="31" type="noConversion"/>
  </si>
  <si>
    <t>base addr region21 high 32bit, for gmem/l2</t>
    <phoneticPr fontId="31" type="noConversion"/>
  </si>
  <si>
    <t>base addr region22 high 32bit, for gmem/l2</t>
    <phoneticPr fontId="31" type="noConversion"/>
  </si>
  <si>
    <t>base addr region23 high 32bit, for gmem/l2</t>
    <phoneticPr fontId="31" type="noConversion"/>
  </si>
  <si>
    <t>base addr region24 high 32bit, for gmem/l2</t>
    <phoneticPr fontId="31" type="noConversion"/>
  </si>
  <si>
    <t>base addr region25 high 32bit, for gmem/l2</t>
    <phoneticPr fontId="31" type="noConversion"/>
  </si>
  <si>
    <t>base addr region26 high 32bit, for gmem/l2</t>
    <phoneticPr fontId="31" type="noConversion"/>
  </si>
  <si>
    <t>base addr region27 high 32bit, for gmem/l2</t>
    <phoneticPr fontId="31" type="noConversion"/>
  </si>
  <si>
    <t>base addr region28 high 32bit, for gmem/l2</t>
    <phoneticPr fontId="31" type="noConversion"/>
  </si>
  <si>
    <t>base addr region29 high 32bit, for gmem/l2</t>
    <phoneticPr fontId="31" type="noConversion"/>
  </si>
  <si>
    <t>base addr region30 high 32bit, for gmem/l2</t>
    <phoneticPr fontId="31" type="noConversion"/>
  </si>
  <si>
    <t>CSR:
1. base addr的0-30给gmem/l2，31给lmem和smem</t>
    <phoneticPr fontId="32" type="noConversion"/>
  </si>
  <si>
    <t>base addr region31 high 32bit, for lmem/smem</t>
    <phoneticPr fontId="31" type="noConversion"/>
  </si>
  <si>
    <t>DMA_SYS
1. sys指令cmd_id_dep位宽17bit扩展为21bit</t>
    <phoneticPr fontId="32" type="noConversion"/>
  </si>
  <si>
    <t>slv thread, message_id use for snyc_wait and sync_send</t>
    <phoneticPr fontId="31" type="noConversion"/>
  </si>
  <si>
    <t>h264</t>
    <phoneticPr fontId="31" type="noConversion"/>
  </si>
  <si>
    <t>gdma_csr_153</t>
    <phoneticPr fontId="31" type="noConversion"/>
  </si>
  <si>
    <t>slv_message_base_id</t>
    <phoneticPr fontId="31" type="noConversion"/>
  </si>
  <si>
    <t>CSR:
1.gdma_csr_264地址增加slv_message_base_id</t>
    <phoneticPr fontId="32" type="noConversion"/>
  </si>
  <si>
    <t>reg_dummy</t>
  </si>
  <si>
    <t>for eco</t>
  </si>
  <si>
    <t>reg_dummy_ro</t>
  </si>
  <si>
    <t>bid_in_order</t>
    <phoneticPr fontId="31" type="noConversion"/>
  </si>
  <si>
    <t>RW</t>
    <phoneticPr fontId="31" type="noConversion"/>
  </si>
  <si>
    <t>bw_lmt_rd</t>
    <phoneticPr fontId="31" type="noConversion"/>
  </si>
  <si>
    <t>bw_lmt_wr</t>
    <phoneticPr fontId="31" type="noConversion"/>
  </si>
  <si>
    <t>CSR：
1.增加reg_dummy和reg_dummy_ro
DMA：
1.8th bit add bid_in_order;
2.9th bit add bw_lmt_rd;
3.10th bit add bw_lmt_wr;</t>
    <phoneticPr fontId="31" type="noConversion"/>
  </si>
  <si>
    <t>DMA：11th bit增加early_resp_dis;</t>
    <phoneticPr fontId="32" type="noConversion"/>
  </si>
  <si>
    <t>early_resp_dis</t>
  </si>
  <si>
    <t>RW</t>
    <phoneticPr fontId="32" type="noConversion"/>
  </si>
  <si>
    <t>reserved, not used</t>
    <phoneticPr fontId="31" type="noConversion"/>
  </si>
  <si>
    <t>interface axi master awqos</t>
    <phoneticPr fontId="31" type="noConversion"/>
  </si>
  <si>
    <t>interface axi master arqos</t>
    <phoneticPr fontId="31" type="noConversion"/>
  </si>
  <si>
    <t>r_l2m_ostd_lmt_en</t>
    <phoneticPr fontId="31" type="noConversion"/>
  </si>
  <si>
    <t>v</t>
    <phoneticPr fontId="31" type="noConversion"/>
  </si>
  <si>
    <t>h0</t>
    <phoneticPr fontId="31" type="noConversion"/>
  </si>
  <si>
    <t>rw</t>
    <phoneticPr fontId="31" type="noConversion"/>
  </si>
  <si>
    <t>r_l2m_ostd_lmt_ratio</t>
    <phoneticPr fontId="31" type="noConversion"/>
  </si>
  <si>
    <t>h2</t>
    <phoneticPr fontId="31" type="noConversion"/>
  </si>
  <si>
    <t>CSR：增加r_l2m_ostd_lmt_en/ration两个reg</t>
    <phoneticPr fontId="32" type="noConversion"/>
  </si>
  <si>
    <t>ar_latency_th</t>
    <phoneticPr fontId="31" type="noConversion"/>
  </si>
  <si>
    <t>v</t>
    <phoneticPr fontId="31" type="noConversion"/>
  </si>
  <si>
    <t>rw</t>
    <phoneticPr fontId="31" type="noConversion"/>
  </si>
  <si>
    <t>CSR: h264地址增加ar_latency_th</t>
    <phoneticPr fontId="32" type="noConversion"/>
  </si>
  <si>
    <t>h200</t>
    <phoneticPr fontId="31" type="noConversion"/>
  </si>
  <si>
    <t>reserved</t>
    <phoneticPr fontId="32" type="noConversion"/>
  </si>
  <si>
    <t>该位段实际没用</t>
    <phoneticPr fontId="31" type="noConversion"/>
  </si>
  <si>
    <t>Write 1 clear
0: No interrupt
1: Interrupt triggered</t>
    <phoneticPr fontId="31" type="noConversion"/>
  </si>
  <si>
    <t>Write 1 clear
0: No interrupt
2: Interrupt triggered</t>
    <phoneticPr fontId="31" type="noConversion"/>
  </si>
  <si>
    <t>Write 1 clear
0: No interrupt
3: Interrupt triggered</t>
    <phoneticPr fontId="31" type="noConversion"/>
  </si>
  <si>
    <t>Write 1 clear
0: No interrupt
4: Interrupt triggered</t>
    <phoneticPr fontId="31" type="noConversion"/>
  </si>
  <si>
    <t>reserved</t>
    <phoneticPr fontId="32" type="noConversion"/>
  </si>
  <si>
    <t>src_wsize_h16</t>
    <phoneticPr fontId="32" type="noConversion"/>
  </si>
  <si>
    <t>src_hsize_h16</t>
    <phoneticPr fontId="32" type="noConversion"/>
  </si>
  <si>
    <t>Source blob h high 16bits</t>
    <phoneticPr fontId="32" type="noConversion"/>
  </si>
  <si>
    <t>Source blob w high 16bits</t>
    <phoneticPr fontId="32" type="noConversion"/>
  </si>
  <si>
    <t>Source blob W high 16bits</t>
    <phoneticPr fontId="32" type="noConversion"/>
  </si>
  <si>
    <t>Source blob H high 16bits</t>
    <phoneticPr fontId="32" type="noConversion"/>
  </si>
  <si>
    <t>h280</t>
    <phoneticPr fontId="31" type="noConversion"/>
  </si>
  <si>
    <t>h284</t>
    <phoneticPr fontId="31" type="noConversion"/>
  </si>
  <si>
    <t>gdma_csr_154</t>
    <phoneticPr fontId="31" type="noConversion"/>
  </si>
  <si>
    <t>message_base_id</t>
    <phoneticPr fontId="31" type="noConversion"/>
  </si>
  <si>
    <t>gdma or sdma mst thread, message_id use for snyc_wait and sync_send</t>
    <phoneticPr fontId="31" type="noConversion"/>
  </si>
  <si>
    <t>gdma_csr_final_0</t>
    <phoneticPr fontId="31" type="noConversion"/>
  </si>
  <si>
    <t>gdma_csr_final_1</t>
    <phoneticPr fontId="31" type="noConversion"/>
  </si>
  <si>
    <t>h268</t>
    <phoneticPr fontId="31" type="noConversion"/>
  </si>
  <si>
    <t>this field is connected with cmd_type. when cmd_type == DMA_linear
000: No special function. when stride_en=0, move_length=src_cstride; when stride_en=1, move_length=src_nchw.
001: broadcast.</t>
    <phoneticPr fontId="32" type="noConversion"/>
  </si>
  <si>
    <t>cmd_special_function</t>
    <phoneticPr fontId="32" type="noConversion"/>
  </si>
  <si>
    <t>when stride_en=0, move_length=src_cstride;
when stride_en=1 &amp; cmd_special_function=0, move_length=src_nchw;
when stride_en=1 &amp; cmd_special_function=1, move_length=src_nhw.</t>
    <phoneticPr fontId="32" type="noConversion"/>
  </si>
  <si>
    <t>0x0:GDMA_tensor                     0x1:GDMA_matrix
0x2:GDMA_masked_select       0x3:GDMA_general
                                                   0x5:GDMA_nonzero
0x6:GDMA_sys                           0x7:GDMA_gather
0x8:GDMA_scatter                    0x9:GDMA_reverse
0xc:GDMA_lossy_compress      0xd:GDMA_lossy_decompress</t>
    <phoneticPr fontId="32" type="noConversion"/>
  </si>
  <si>
    <t>Source Data Format
0:INT8
1:FP16
2:FP32
3:INT16
4:INT32
5:BFP16
6:FP20
7:FP8 E4M3
8:FP8 E5M2
others：not support</t>
    <phoneticPr fontId="32" type="noConversion"/>
  </si>
  <si>
    <t>Execution of this descriptor need to wait for engine[i]'s cmd_id  which depends on the cmd_id_en to be bigger than the ID specified in this field. [15:0] is depend_id, [16] is depend_id_enable(0:disable; 1:enable)</t>
  </si>
  <si>
    <r>
      <rPr>
        <sz val="11"/>
        <rFont val="宋体"/>
        <family val="3"/>
        <charset val="134"/>
      </rPr>
      <t>清空指令</t>
    </r>
    <r>
      <rPr>
        <sz val="11"/>
        <rFont val="Times New Roman"/>
        <family val="1"/>
      </rPr>
      <t xml:space="preserve">buffer
</t>
    </r>
    <r>
      <rPr>
        <sz val="11"/>
        <rFont val="宋体"/>
        <family val="3"/>
        <charset val="134"/>
      </rPr>
      <t>写</t>
    </r>
    <r>
      <rPr>
        <sz val="11"/>
        <rFont val="Times New Roman"/>
        <family val="1"/>
      </rPr>
      <t xml:space="preserve">1‘b1 </t>
    </r>
    <r>
      <rPr>
        <sz val="11"/>
        <rFont val="宋体"/>
        <family val="3"/>
        <charset val="134"/>
      </rPr>
      <t>使能
自动清</t>
    </r>
    <r>
      <rPr>
        <sz val="11"/>
        <rFont val="Times New Roman"/>
        <family val="1"/>
      </rPr>
      <t>0</t>
    </r>
  </si>
  <si>
    <r>
      <rPr>
        <sz val="11"/>
        <rFont val="宋体"/>
        <family val="3"/>
        <charset val="134"/>
      </rPr>
      <t>为</t>
    </r>
    <r>
      <rPr>
        <sz val="11"/>
        <rFont val="Times New Roman"/>
        <family val="1"/>
      </rPr>
      <t>0</t>
    </r>
    <r>
      <rPr>
        <sz val="11"/>
        <rFont val="宋体"/>
        <family val="3"/>
        <charset val="134"/>
      </rPr>
      <t>时控制</t>
    </r>
    <r>
      <rPr>
        <sz val="11"/>
        <rFont val="Times New Roman"/>
        <family val="1"/>
      </rPr>
      <t>gif</t>
    </r>
    <r>
      <rPr>
        <sz val="11"/>
        <rFont val="宋体"/>
        <family val="3"/>
        <charset val="134"/>
      </rPr>
      <t>可反压，为</t>
    </r>
    <r>
      <rPr>
        <sz val="11"/>
        <rFont val="Times New Roman"/>
        <family val="1"/>
      </rPr>
      <t>1</t>
    </r>
    <r>
      <rPr>
        <sz val="11"/>
        <rFont val="宋体"/>
        <family val="3"/>
        <charset val="134"/>
      </rPr>
      <t>时</t>
    </r>
    <r>
      <rPr>
        <sz val="11"/>
        <rFont val="Times New Roman"/>
        <family val="1"/>
      </rPr>
      <t>gif</t>
    </r>
    <r>
      <rPr>
        <sz val="11"/>
        <rFont val="宋体"/>
        <family val="3"/>
        <charset val="134"/>
      </rPr>
      <t>不可反压</t>
    </r>
  </si>
  <si>
    <r>
      <rPr>
        <sz val="11"/>
        <rFont val="宋体"/>
        <family val="3"/>
        <charset val="134"/>
      </rPr>
      <t>为</t>
    </r>
    <r>
      <rPr>
        <sz val="11"/>
        <rFont val="Times New Roman"/>
        <family val="1"/>
      </rPr>
      <t>1</t>
    </r>
    <r>
      <rPr>
        <sz val="11"/>
        <rFont val="宋体"/>
        <family val="3"/>
        <charset val="134"/>
      </rPr>
      <t>时</t>
    </r>
    <r>
      <rPr>
        <sz val="11"/>
        <rFont val="Times New Roman"/>
        <family val="1"/>
      </rPr>
      <t xml:space="preserve"> clk_gate tie1</t>
    </r>
    <r>
      <rPr>
        <sz val="11"/>
        <rFont val="宋体"/>
        <family val="3"/>
        <charset val="134"/>
      </rPr>
      <t>，为</t>
    </r>
    <r>
      <rPr>
        <sz val="11"/>
        <rFont val="Times New Roman"/>
        <family val="1"/>
      </rPr>
      <t>0</t>
    </r>
    <r>
      <rPr>
        <sz val="11"/>
        <rFont val="宋体"/>
        <family val="3"/>
        <charset val="134"/>
      </rPr>
      <t>时</t>
    </r>
    <r>
      <rPr>
        <sz val="11"/>
        <rFont val="Times New Roman"/>
        <family val="1"/>
      </rPr>
      <t xml:space="preserve"> clk_gate </t>
    </r>
    <r>
      <rPr>
        <sz val="11"/>
        <rFont val="宋体"/>
        <family val="3"/>
        <charset val="134"/>
      </rPr>
      <t>根据指令控制</t>
    </r>
  </si>
  <si>
    <r>
      <t>NPU NUMBER
0: 64;
1: 32</t>
    </r>
    <r>
      <rPr>
        <sz val="11"/>
        <rFont val="宋体"/>
        <family val="3"/>
        <charset val="134"/>
      </rPr>
      <t>；</t>
    </r>
    <r>
      <rPr>
        <sz val="11"/>
        <rFont val="Times New Roman"/>
        <family val="1"/>
      </rPr>
      <t xml:space="preserve"> </t>
    </r>
  </si>
  <si>
    <r>
      <t>Interrupt Disable,highest priority in interrupt generation (gdma/sdma)
0: Enable all interrupt (</t>
    </r>
    <r>
      <rPr>
        <sz val="11"/>
        <rFont val="宋体"/>
        <family val="3"/>
        <charset val="134"/>
      </rPr>
      <t>其它</t>
    </r>
    <r>
      <rPr>
        <sz val="11"/>
        <rFont val="Times New Roman"/>
        <family val="1"/>
      </rPr>
      <t xml:space="preserve"> gdma_csr_12 </t>
    </r>
    <r>
      <rPr>
        <sz val="11"/>
        <rFont val="宋体"/>
        <family val="3"/>
        <charset val="134"/>
      </rPr>
      <t>的</t>
    </r>
    <r>
      <rPr>
        <sz val="11"/>
        <rFont val="Times New Roman"/>
        <family val="1"/>
      </rPr>
      <t xml:space="preserve"> intr_*_disable </t>
    </r>
    <r>
      <rPr>
        <sz val="11"/>
        <rFont val="宋体"/>
        <family val="3"/>
        <charset val="134"/>
      </rPr>
      <t>可以起作用</t>
    </r>
    <r>
      <rPr>
        <sz val="11"/>
        <rFont val="Times New Roman"/>
        <family val="1"/>
      </rPr>
      <t>)
1: Disable all interrupt (</t>
    </r>
    <r>
      <rPr>
        <sz val="11"/>
        <rFont val="宋体"/>
        <family val="3"/>
        <charset val="134"/>
      </rPr>
      <t>关闭所有</t>
    </r>
    <r>
      <rPr>
        <sz val="11"/>
        <rFont val="Times New Roman"/>
        <family val="1"/>
      </rPr>
      <t xml:space="preserve"> function </t>
    </r>
    <r>
      <rPr>
        <sz val="11"/>
        <rFont val="宋体"/>
        <family val="3"/>
        <charset val="134"/>
      </rPr>
      <t>中断产生，其它</t>
    </r>
    <r>
      <rPr>
        <sz val="11"/>
        <rFont val="Times New Roman"/>
        <family val="1"/>
      </rPr>
      <t xml:space="preserve"> gdma_csr_12 </t>
    </r>
    <r>
      <rPr>
        <sz val="11"/>
        <rFont val="宋体"/>
        <family val="3"/>
        <charset val="134"/>
      </rPr>
      <t>的</t>
    </r>
    <r>
      <rPr>
        <sz val="11"/>
        <rFont val="Times New Roman"/>
        <family val="1"/>
      </rPr>
      <t xml:space="preserve"> intr_*_disable </t>
    </r>
    <r>
      <rPr>
        <sz val="11"/>
        <rFont val="宋体"/>
        <family val="3"/>
        <charset val="134"/>
      </rPr>
      <t>不起作用</t>
    </r>
    <r>
      <rPr>
        <sz val="11"/>
        <rFont val="Times New Roman"/>
        <family val="1"/>
      </rPr>
      <t>)
When this bit is cleared, the interrupt generation is decided by each individual interrupt enable bits.</t>
    </r>
    <phoneticPr fontId="31" type="noConversion"/>
  </si>
  <si>
    <r>
      <rPr>
        <sz val="11"/>
        <rFont val="宋体"/>
        <family val="3"/>
        <charset val="134"/>
      </rPr>
      <t>主线程</t>
    </r>
    <r>
      <rPr>
        <sz val="11"/>
        <rFont val="Times New Roman"/>
        <family val="1"/>
      </rPr>
      <t xml:space="preserve"> chain_end sys </t>
    </r>
    <r>
      <rPr>
        <sz val="11"/>
        <rFont val="宋体"/>
        <family val="3"/>
        <charset val="134"/>
      </rPr>
      <t>指令执行完成中断无效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</si>
  <si>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主线程指令</t>
    </r>
    <r>
      <rPr>
        <sz val="11"/>
        <rFont val="Times New Roman"/>
        <family val="1"/>
      </rPr>
      <t xml:space="preserve"> buffer </t>
    </r>
    <r>
      <rPr>
        <sz val="11"/>
        <rFont val="宋体"/>
        <family val="3"/>
        <charset val="134"/>
      </rPr>
      <t>空中断无效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</si>
  <si>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副线程指令</t>
    </r>
    <r>
      <rPr>
        <sz val="11"/>
        <rFont val="Times New Roman"/>
        <family val="1"/>
      </rPr>
      <t xml:space="preserve"> buffer </t>
    </r>
    <r>
      <rPr>
        <sz val="11"/>
        <rFont val="宋体"/>
        <family val="3"/>
        <charset val="134"/>
      </rPr>
      <t>空中断无效</t>
    </r>
    <r>
      <rPr>
        <sz val="11"/>
        <rFont val="Times New Roman"/>
        <family val="1"/>
      </rPr>
      <t xml:space="preserve"> (sdma)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</si>
  <si>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主线程指令</t>
    </r>
    <r>
      <rPr>
        <sz val="11"/>
        <rFont val="Times New Roman"/>
        <family val="1"/>
      </rPr>
      <t xml:space="preserve"> buffer </t>
    </r>
    <r>
      <rPr>
        <sz val="11"/>
        <rFont val="宋体"/>
        <family val="3"/>
        <charset val="134"/>
      </rPr>
      <t>满中断无效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</si>
  <si>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副线程指令</t>
    </r>
    <r>
      <rPr>
        <sz val="11"/>
        <rFont val="Times New Roman"/>
        <family val="1"/>
      </rPr>
      <t xml:space="preserve"> buffer </t>
    </r>
    <r>
      <rPr>
        <sz val="11"/>
        <rFont val="宋体"/>
        <family val="3"/>
        <charset val="134"/>
      </rPr>
      <t>满中断无效</t>
    </r>
    <r>
      <rPr>
        <sz val="11"/>
        <rFont val="Times New Roman"/>
        <family val="1"/>
      </rPr>
      <t xml:space="preserve"> (sdma)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</si>
  <si>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主线程单步调试指令完成中断无效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</si>
  <si>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副线程单步调试指令完成中断无效</t>
    </r>
    <r>
      <rPr>
        <sz val="11"/>
        <rFont val="Times New Roman"/>
        <family val="1"/>
      </rPr>
      <t xml:space="preserve"> (sdma)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</si>
  <si>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主线程断点调试指令完成中断无效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</si>
  <si>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副线程断点调试指令完成中断无效</t>
    </r>
    <r>
      <rPr>
        <sz val="11"/>
        <rFont val="Times New Roman"/>
        <family val="1"/>
      </rPr>
      <t xml:space="preserve"> (sdma)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</si>
  <si>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使能</t>
    </r>
    <r>
      <rPr>
        <sz val="11"/>
        <rFont val="Times New Roman"/>
        <family val="1"/>
      </rPr>
      <t>loading monitor</t>
    </r>
    <r>
      <rPr>
        <sz val="11"/>
        <rFont val="宋体"/>
        <family val="3"/>
        <charset val="134"/>
      </rPr>
      <t>功能</t>
    </r>
  </si>
  <si>
    <r>
      <rPr>
        <sz val="11"/>
        <rFont val="宋体"/>
        <family val="3"/>
        <charset val="134"/>
      </rPr>
      <t>对</t>
    </r>
    <r>
      <rPr>
        <sz val="11"/>
        <rFont val="Times New Roman"/>
        <family val="1"/>
      </rPr>
      <t>load_mon_cnt,instr_vld_cnt</t>
    </r>
    <r>
      <rPr>
        <sz val="11"/>
        <rFont val="宋体"/>
        <family val="3"/>
        <charset val="134"/>
      </rPr>
      <t>，</t>
    </r>
    <r>
      <rPr>
        <sz val="11"/>
        <rFont val="Times New Roman"/>
        <family val="1"/>
      </rPr>
      <t>instr_iss_cnt</t>
    </r>
    <r>
      <rPr>
        <sz val="11"/>
        <rFont val="宋体"/>
        <family val="3"/>
        <charset val="134"/>
      </rPr>
      <t>同步清</t>
    </r>
    <r>
      <rPr>
        <sz val="11"/>
        <rFont val="Times New Roman"/>
        <family val="1"/>
      </rPr>
      <t>0
A2:WSC -&gt; 2260:rws</t>
    </r>
  </si>
  <si>
    <r>
      <t>load mon</t>
    </r>
    <r>
      <rPr>
        <sz val="11"/>
        <rFont val="宋体"/>
        <family val="3"/>
        <charset val="134"/>
      </rPr>
      <t>计数器，当</t>
    </r>
    <r>
      <rPr>
        <sz val="11"/>
        <rFont val="Times New Roman"/>
        <family val="1"/>
      </rPr>
      <t>cfg_load_mon_en</t>
    </r>
    <r>
      <rPr>
        <sz val="11"/>
        <rFont val="宋体"/>
        <family val="3"/>
        <charset val="134"/>
      </rPr>
      <t>使能后，对时钟计数</t>
    </r>
  </si>
  <si>
    <r>
      <rPr>
        <sz val="11"/>
        <rFont val="宋体"/>
        <family val="3"/>
        <charset val="134"/>
      </rPr>
      <t>指令队列有待发射指令时进行计数</t>
    </r>
  </si>
  <si>
    <r>
      <rPr>
        <sz val="11"/>
        <rFont val="宋体"/>
        <family val="3"/>
        <charset val="134"/>
      </rPr>
      <t>指令队列有正在执行的指令时进行计数</t>
    </r>
  </si>
  <si>
    <t>Interrupt Disable,highest priority in interrupt generation (gdma/sdma)
0: Enable all interrupt (其它 gdma_csr_73 的 intr_*_disable 可以起作用)
1: Disable all interrupt (关闭所有 error 中断产生，其它 gdma_csr_73 的 intr_*_disable 不起作用)
When this bit is cleared, the interrupt generation is decided by each individual interrupt enable bits.</t>
    <phoneticPr fontId="31" type="noConversion"/>
  </si>
  <si>
    <r>
      <rPr>
        <sz val="11"/>
        <rFont val="宋体"/>
        <family val="3"/>
        <charset val="134"/>
      </rPr>
      <t>主线程非法指令中断无效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</si>
  <si>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副线程非法指令中断无效</t>
    </r>
    <r>
      <rPr>
        <sz val="11"/>
        <rFont val="Times New Roman"/>
        <family val="1"/>
      </rPr>
      <t xml:space="preserve"> (sdma)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</si>
  <si>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主线程读指令总线错误中断无效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</si>
  <si>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副线程读指令总线错误中断无效</t>
    </r>
    <r>
      <rPr>
        <sz val="11"/>
        <rFont val="Times New Roman"/>
        <family val="1"/>
      </rPr>
      <t xml:space="preserve"> (sdma)
0: interrupt generation is enabled
1: interrupt is masked (</t>
    </r>
    <r>
      <rPr>
        <sz val="11"/>
        <rFont val="宋体"/>
        <family val="3"/>
        <charset val="134"/>
      </rPr>
      <t>不产生该中断</t>
    </r>
    <r>
      <rPr>
        <sz val="11"/>
        <rFont val="Times New Roman"/>
        <family val="1"/>
      </rPr>
      <t>)</t>
    </r>
    <phoneticPr fontId="31" type="noConversion"/>
  </si>
  <si>
    <r>
      <t xml:space="preserve">DTN </t>
    </r>
    <r>
      <rPr>
        <sz val="11"/>
        <rFont val="宋体"/>
        <family val="3"/>
        <charset val="134"/>
      </rPr>
      <t>读数据总线错误中断无效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</si>
  <si>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t xml:space="preserve">GIF </t>
    </r>
    <r>
      <rPr>
        <sz val="11"/>
        <rFont val="宋体"/>
        <family val="3"/>
        <charset val="134"/>
      </rPr>
      <t>读数据总线错误中断无效</t>
    </r>
    <r>
      <rPr>
        <sz val="11"/>
        <rFont val="Times New Roman"/>
        <family val="1"/>
      </rPr>
      <t xml:space="preserve"> (gdma)
0: interrupt generation is enabled
1: interrupt is masked (</t>
    </r>
    <r>
      <rPr>
        <sz val="11"/>
        <rFont val="宋体"/>
        <family val="3"/>
        <charset val="134"/>
      </rPr>
      <t>不产生该中断</t>
    </r>
    <r>
      <rPr>
        <sz val="11"/>
        <rFont val="Times New Roman"/>
        <family val="1"/>
      </rPr>
      <t>)</t>
    </r>
    <phoneticPr fontId="31" type="noConversion"/>
  </si>
  <si>
    <r>
      <t xml:space="preserve">PMU </t>
    </r>
    <r>
      <rPr>
        <sz val="11"/>
        <rFont val="宋体"/>
        <family val="3"/>
        <charset val="134"/>
      </rPr>
      <t>写</t>
    </r>
    <r>
      <rPr>
        <sz val="11"/>
        <rFont val="Times New Roman"/>
        <family val="1"/>
      </rPr>
      <t xml:space="preserve"> LOG </t>
    </r>
    <r>
      <rPr>
        <sz val="11"/>
        <rFont val="宋体"/>
        <family val="3"/>
        <charset val="134"/>
      </rPr>
      <t>总线错误中断无效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</si>
  <si>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t xml:space="preserve">DTN </t>
    </r>
    <r>
      <rPr>
        <sz val="11"/>
        <rFont val="宋体"/>
        <family val="3"/>
        <charset val="134"/>
      </rPr>
      <t>写数据总线错误中断无效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</si>
  <si>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t xml:space="preserve">GIF </t>
    </r>
    <r>
      <rPr>
        <sz val="11"/>
        <rFont val="宋体"/>
        <family val="3"/>
        <charset val="134"/>
      </rPr>
      <t>写数据总线错误中断无效</t>
    </r>
    <r>
      <rPr>
        <sz val="11"/>
        <rFont val="Times New Roman"/>
        <family val="1"/>
      </rPr>
      <t xml:space="preserve"> (gdma)
0: interrupt generation is enabled
1: interrupt is masked (</t>
    </r>
    <r>
      <rPr>
        <sz val="11"/>
        <rFont val="宋体"/>
        <family val="3"/>
        <charset val="134"/>
      </rPr>
      <t>不产生该中断</t>
    </r>
    <r>
      <rPr>
        <sz val="11"/>
        <rFont val="Times New Roman"/>
        <family val="1"/>
      </rPr>
      <t>)</t>
    </r>
    <phoneticPr fontId="31" type="noConversion"/>
  </si>
  <si>
    <r>
      <t xml:space="preserve">RDMA/WDMA AXI </t>
    </r>
    <r>
      <rPr>
        <sz val="11"/>
        <rFont val="宋体"/>
        <family val="3"/>
        <charset val="134"/>
      </rPr>
      <t>读写错误中断无效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</si>
  <si>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指令发射</t>
    </r>
    <r>
      <rPr>
        <sz val="11"/>
        <rFont val="Times New Roman"/>
        <family val="1"/>
      </rPr>
      <t xml:space="preserve"> hang </t>
    </r>
    <r>
      <rPr>
        <sz val="11"/>
        <rFont val="宋体"/>
        <family val="3"/>
        <charset val="134"/>
      </rPr>
      <t>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</si>
  <si>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主线程</t>
    </r>
    <r>
      <rPr>
        <sz val="11"/>
        <rFont val="Times New Roman"/>
        <family val="1"/>
      </rPr>
      <t xml:space="preserve"> depend_id </t>
    </r>
    <r>
      <rPr>
        <sz val="11"/>
        <rFont val="宋体"/>
        <family val="3"/>
        <charset val="134"/>
      </rPr>
      <t>扩展失败中断无效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</si>
  <si>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t>
    </r>
    <r>
      <rPr>
        <sz val="11"/>
        <rFont val="Times New Roman"/>
        <family val="1"/>
      </rPr>
      <t xml:space="preserve"> depend_id </t>
    </r>
    <r>
      <rPr>
        <sz val="11"/>
        <rFont val="宋体"/>
        <family val="3"/>
        <charset val="134"/>
      </rPr>
      <t>扩展失败中断无效</t>
    </r>
    <r>
      <rPr>
        <sz val="11"/>
        <rFont val="Times New Roman"/>
        <family val="1"/>
      </rPr>
      <t xml:space="preserve"> (sdma)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</si>
  <si>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主线程</t>
    </r>
    <r>
      <rPr>
        <sz val="11"/>
        <rFont val="Times New Roman"/>
        <family val="1"/>
      </rPr>
      <t xml:space="preserve"> des_mode </t>
    </r>
    <r>
      <rPr>
        <sz val="11"/>
        <rFont val="宋体"/>
        <family val="3"/>
        <charset val="134"/>
      </rPr>
      <t>重复设置错误中断无效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</si>
  <si>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主线程指令</t>
    </r>
    <r>
      <rPr>
        <sz val="11"/>
        <rFont val="Times New Roman"/>
        <family val="1"/>
      </rPr>
      <t xml:space="preserve"> check sum </t>
    </r>
    <r>
      <rPr>
        <sz val="11"/>
        <rFont val="宋体"/>
        <family val="3"/>
        <charset val="134"/>
      </rPr>
      <t>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</si>
  <si>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副线程指令</t>
    </r>
    <r>
      <rPr>
        <sz val="11"/>
        <rFont val="Times New Roman"/>
        <family val="1"/>
      </rPr>
      <t xml:space="preserve"> check sum </t>
    </r>
    <r>
      <rPr>
        <sz val="11"/>
        <rFont val="宋体"/>
        <family val="3"/>
        <charset val="134"/>
      </rPr>
      <t>错误中断无效</t>
    </r>
    <r>
      <rPr>
        <sz val="11"/>
        <rFont val="Times New Roman"/>
        <family val="1"/>
      </rPr>
      <t xml:space="preserve"> (sdma)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</si>
  <si>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主线程取指令</t>
    </r>
    <r>
      <rPr>
        <sz val="11"/>
        <rFont val="Times New Roman"/>
        <family val="1"/>
      </rPr>
      <t xml:space="preserve"> memory protect </t>
    </r>
    <r>
      <rPr>
        <sz val="11"/>
        <rFont val="宋体"/>
        <family val="3"/>
        <charset val="134"/>
      </rPr>
      <t>地址错误中断无效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</si>
  <si>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副线程取指令</t>
    </r>
    <r>
      <rPr>
        <sz val="11"/>
        <rFont val="Times New Roman"/>
        <family val="1"/>
      </rPr>
      <t xml:space="preserve"> memory protect </t>
    </r>
    <r>
      <rPr>
        <sz val="11"/>
        <rFont val="宋体"/>
        <family val="3"/>
        <charset val="134"/>
      </rPr>
      <t>地址错误中断无效</t>
    </r>
    <r>
      <rPr>
        <sz val="11"/>
        <rFont val="Times New Roman"/>
        <family val="1"/>
      </rPr>
      <t xml:space="preserve"> (sdma)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</si>
  <si>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主线程读数据</t>
    </r>
    <r>
      <rPr>
        <sz val="11"/>
        <rFont val="Times New Roman"/>
        <family val="1"/>
      </rPr>
      <t xml:space="preserve"> memory protect </t>
    </r>
    <r>
      <rPr>
        <sz val="11"/>
        <rFont val="宋体"/>
        <family val="3"/>
        <charset val="134"/>
      </rPr>
      <t>地址错误中断无效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</si>
  <si>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副线程读数据</t>
    </r>
    <r>
      <rPr>
        <sz val="11"/>
        <rFont val="Times New Roman"/>
        <family val="1"/>
      </rPr>
      <t xml:space="preserve"> memory protect </t>
    </r>
    <r>
      <rPr>
        <sz val="11"/>
        <rFont val="宋体"/>
        <family val="3"/>
        <charset val="134"/>
      </rPr>
      <t>地址错误中断无效</t>
    </r>
    <r>
      <rPr>
        <sz val="11"/>
        <rFont val="Times New Roman"/>
        <family val="1"/>
      </rPr>
      <t xml:space="preserve"> (sdma)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</si>
  <si>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t>
    </r>
    <r>
      <rPr>
        <sz val="11"/>
        <rFont val="Times New Roman"/>
        <family val="1"/>
      </rPr>
      <t xml:space="preserve"> des_mode </t>
    </r>
    <r>
      <rPr>
        <sz val="11"/>
        <rFont val="宋体"/>
        <family val="3"/>
        <charset val="134"/>
      </rPr>
      <t>重复设置错误中断无效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</si>
  <si>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主线程写数据</t>
    </r>
    <r>
      <rPr>
        <sz val="11"/>
        <rFont val="Times New Roman"/>
        <family val="1"/>
      </rPr>
      <t xml:space="preserve"> memory protect </t>
    </r>
    <r>
      <rPr>
        <sz val="11"/>
        <rFont val="宋体"/>
        <family val="3"/>
        <charset val="134"/>
      </rPr>
      <t>地址错误中断无效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</si>
  <si>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rPr>
        <sz val="11"/>
        <rFont val="宋体"/>
        <family val="3"/>
        <charset val="134"/>
      </rPr>
      <t>副线程写数据</t>
    </r>
    <r>
      <rPr>
        <sz val="11"/>
        <rFont val="Times New Roman"/>
        <family val="1"/>
      </rPr>
      <t xml:space="preserve"> memory protect </t>
    </r>
    <r>
      <rPr>
        <sz val="11"/>
        <rFont val="宋体"/>
        <family val="3"/>
        <charset val="134"/>
      </rPr>
      <t>地址错误中断无效</t>
    </r>
    <r>
      <rPr>
        <sz val="11"/>
        <rFont val="Times New Roman"/>
        <family val="1"/>
      </rPr>
      <t xml:space="preserve"> (sdma)
0: interrupt generation is enabled
1: interrupt is masked (</t>
    </r>
    <r>
      <rPr>
        <sz val="11"/>
        <rFont val="宋体"/>
        <family val="3"/>
        <charset val="134"/>
      </rPr>
      <t>不产生该中断</t>
    </r>
    <r>
      <rPr>
        <sz val="11"/>
        <rFont val="Times New Roman"/>
        <family val="1"/>
      </rPr>
      <t>)</t>
    </r>
    <phoneticPr fontId="31" type="noConversion"/>
  </si>
  <si>
    <r>
      <t xml:space="preserve">PMU </t>
    </r>
    <r>
      <rPr>
        <sz val="11"/>
        <rFont val="宋体"/>
        <family val="3"/>
        <charset val="134"/>
      </rPr>
      <t>写</t>
    </r>
    <r>
      <rPr>
        <sz val="11"/>
        <rFont val="Times New Roman"/>
        <family val="1"/>
      </rPr>
      <t xml:space="preserve"> LOG memory protect </t>
    </r>
    <r>
      <rPr>
        <sz val="11"/>
        <rFont val="宋体"/>
        <family val="3"/>
        <charset val="134"/>
      </rPr>
      <t>地址错误中断无效</t>
    </r>
    <r>
      <rPr>
        <sz val="11"/>
        <rFont val="Times New Roman"/>
        <family val="1"/>
      </rPr>
      <t xml:space="preserve"> (gdma/sdma)
0: interrupt generation is enabled
1: interrupt is masked (</t>
    </r>
    <r>
      <rPr>
        <sz val="11"/>
        <rFont val="宋体"/>
        <family val="3"/>
        <charset val="134"/>
      </rPr>
      <t>不产生该中断</t>
    </r>
    <r>
      <rPr>
        <sz val="11"/>
        <rFont val="Times New Roman"/>
        <family val="1"/>
      </rPr>
      <t>)</t>
    </r>
    <phoneticPr fontId="31" type="noConversion"/>
  </si>
  <si>
    <r>
      <t>rdma</t>
    </r>
    <r>
      <rPr>
        <sz val="11"/>
        <rFont val="宋体"/>
        <family val="3"/>
        <charset val="134"/>
      </rPr>
      <t>访问</t>
    </r>
    <r>
      <rPr>
        <sz val="11"/>
        <rFont val="Times New Roman"/>
        <family val="1"/>
      </rPr>
      <t>l2m</t>
    </r>
    <r>
      <rPr>
        <sz val="11"/>
        <rFont val="宋体"/>
        <family val="3"/>
        <charset val="134"/>
      </rPr>
      <t>的ostd限制使能</t>
    </r>
    <phoneticPr fontId="31" type="noConversion"/>
  </si>
  <si>
    <r>
      <t>rdma</t>
    </r>
    <r>
      <rPr>
        <sz val="11"/>
        <rFont val="宋体"/>
        <family val="3"/>
        <charset val="134"/>
      </rPr>
      <t>访问</t>
    </r>
    <r>
      <rPr>
        <sz val="11"/>
        <rFont val="Times New Roman"/>
        <family val="1"/>
      </rPr>
      <t>l2m</t>
    </r>
    <r>
      <rPr>
        <sz val="11"/>
        <rFont val="宋体"/>
        <family val="3"/>
        <charset val="134"/>
      </rPr>
      <t>的</t>
    </r>
    <r>
      <rPr>
        <sz val="11"/>
        <rFont val="Times New Roman"/>
        <family val="1"/>
      </rPr>
      <t>ostd</t>
    </r>
    <r>
      <rPr>
        <sz val="11"/>
        <rFont val="宋体"/>
        <family val="3"/>
        <charset val="134"/>
      </rPr>
      <t>限制等级</t>
    </r>
    <phoneticPr fontId="31" type="noConversion"/>
  </si>
  <si>
    <r>
      <t>des hang</t>
    </r>
    <r>
      <rPr>
        <sz val="11"/>
        <rFont val="宋体"/>
        <family val="3"/>
        <charset val="134"/>
      </rPr>
      <t>住达到该数值，则报中断</t>
    </r>
    <phoneticPr fontId="31" type="noConversion"/>
  </si>
  <si>
    <r>
      <t>ip hang</t>
    </r>
    <r>
      <rPr>
        <sz val="11"/>
        <rFont val="宋体"/>
        <family val="3"/>
        <charset val="134"/>
      </rPr>
      <t>住达到该数值，则报中断</t>
    </r>
    <phoneticPr fontId="31" type="noConversion"/>
  </si>
  <si>
    <r>
      <rPr>
        <sz val="11"/>
        <rFont val="宋体"/>
        <family val="3"/>
        <charset val="134"/>
      </rPr>
      <t>相邻两笔</t>
    </r>
    <r>
      <rPr>
        <sz val="11"/>
        <rFont val="Times New Roman"/>
        <family val="1"/>
      </rPr>
      <t xml:space="preserve"> ar request </t>
    </r>
    <r>
      <rPr>
        <sz val="11"/>
        <rFont val="宋体"/>
        <family val="3"/>
        <charset val="134"/>
      </rPr>
      <t>大于该reg设定的数值时进行计数</t>
    </r>
    <phoneticPr fontId="31" type="noConversion"/>
  </si>
  <si>
    <r>
      <t>regbuilder</t>
    </r>
    <r>
      <rPr>
        <sz val="11"/>
        <rFont val="宋体"/>
        <family val="3"/>
        <charset val="134"/>
      </rPr>
      <t>识别范围</t>
    </r>
  </si>
  <si>
    <t>Execution of this descriptor need to wait for engine[i]'s cmd_id  which depends on the cmd_id_en to be bigger than the ID specified in this field. [19:0] is depend_id, [20] is depend_id_enable(0:disable; 1:enable)</t>
    <phoneticPr fontId="32" type="noConversion"/>
  </si>
  <si>
    <t>all_reduce_code
all_reduce_code[3:0] : dtype
all_reduce_code[7:4] : opcode
all_reduce_code[11:8] : psum_op
all_reduce_code[14:12] : reserved
all_reduce_code[15] : all_reduce_enable</t>
    <phoneticPr fontId="32" type="noConversion"/>
  </si>
  <si>
    <t>Source Data Format
0:INT8
1:FP16
2:FP32
3:INT16
4:INT32
5:BFP16
7:FP8 E4M3
8:FP8 E5M2
others：not support</t>
  </si>
  <si>
    <t>this field is connected with cmd_type. when cmd_type == DMA_index_select
000: chain end
001: nop
010: sys_tr_wr
011: sys_send 
100: sys_wait</t>
    <phoneticPr fontId="32" type="noConversion"/>
  </si>
  <si>
    <r>
      <t xml:space="preserve">when cmd_special_function==sys_tr_wr, this field means constant value;
when cmd special function==sys_send,this field means </t>
    </r>
    <r>
      <rPr>
        <b/>
        <sz val="10"/>
        <color rgb="FFFF0000"/>
        <rFont val="Microsoft YaHei UI"/>
        <family val="2"/>
        <charset val="134"/>
      </rPr>
      <t>{9'b0, wcnt(7bit), 6'b0, message_id(10bit)}</t>
    </r>
    <r>
      <rPr>
        <b/>
        <sz val="10"/>
        <rFont val="Microsoft YaHei UI"/>
        <family val="2"/>
        <charset val="134"/>
      </rPr>
      <t xml:space="preserve">;
when cmd special function==sys_wait,this field means </t>
    </r>
    <r>
      <rPr>
        <b/>
        <sz val="10"/>
        <color rgb="FFFF0000"/>
        <rFont val="Microsoft YaHei UI"/>
        <family val="2"/>
        <charset val="134"/>
      </rPr>
      <t>{9'b0, scnt(7bit), 6'b0, message_id(10bit)}</t>
    </r>
    <phoneticPr fontId="32" type="noConversion"/>
  </si>
  <si>
    <t>constant value</t>
  </si>
  <si>
    <t>dst cstride</t>
  </si>
  <si>
    <t>dst hstride</t>
  </si>
  <si>
    <t>idx cstride</t>
  </si>
  <si>
    <t>start_pos</t>
    <phoneticPr fontId="32" type="noConversion"/>
  </si>
  <si>
    <t>start pos</t>
    <phoneticPr fontId="32" type="noConversion"/>
  </si>
  <si>
    <t>src csize</t>
  </si>
  <si>
    <t>src hsize</t>
  </si>
  <si>
    <t>src wsize</t>
  </si>
  <si>
    <t>dst csize</t>
  </si>
  <si>
    <t>dst hsize</t>
  </si>
  <si>
    <t>dst wsize</t>
  </si>
  <si>
    <t>idx csize</t>
  </si>
  <si>
    <t>idx hsize</t>
  </si>
  <si>
    <t>reserved</t>
    <phoneticPr fontId="32" type="noConversion"/>
  </si>
  <si>
    <t>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t>
    <phoneticPr fontId="32" type="noConversion"/>
  </si>
  <si>
    <t>mask/index blob start address[31:0]</t>
    <phoneticPr fontId="32" type="noConversion"/>
  </si>
  <si>
    <t>mask/index_start_addr_l32</t>
    <phoneticPr fontId="32" type="noConversion"/>
  </si>
  <si>
    <t>mask/index_start_addr_h13</t>
    <phoneticPr fontId="32" type="noConversion"/>
  </si>
  <si>
    <t>mask_start_addr_h13</t>
    <phoneticPr fontId="32" type="noConversion"/>
  </si>
  <si>
    <t>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dst is tiu, otherwise, dst is DTN</t>
    <phoneticPr fontId="32" type="noConversion"/>
  </si>
  <si>
    <t>bit[7:0]=mask/index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mask/index is tiu, otherwise, mask/index is DTN</t>
    <phoneticPr fontId="32" type="noConversion"/>
  </si>
  <si>
    <t>reserved</t>
    <phoneticPr fontId="32" type="noConversion"/>
  </si>
  <si>
    <t>32'hffffffff</t>
    <phoneticPr fontId="32" type="noConversion"/>
  </si>
  <si>
    <t>nchw or nhw mode enable
0: disable
1: enable</t>
    <phoneticPr fontId="32" type="noConversion"/>
  </si>
  <si>
    <t>0.77
(2260E)</t>
    <phoneticPr fontId="32" type="noConversion"/>
  </si>
  <si>
    <t>CSR：
1. 更改 message_base_id 寄存器地址
2. message_base_id/slv_message_base_id 由 9bit 扩展至 10bit
指令：
1. masked_select / nonzero 指令 h/w size 扩展为 32bit
2. general 指令普通搬运增加 nchw 模式，broadcast 增加 nhw 模式
3. sys 指令 message_id 由 9bit 扩展为 10bit，scnt/wcnd 基础位置更改为 constant value 的 bit16
4. 修正 src/dst/mask/index 的地址描述</t>
    <phoneticPr fontId="32" type="noConversion"/>
  </si>
  <si>
    <t>mpu_entry_attr</t>
    <phoneticPr fontId="32" type="noConversion"/>
  </si>
  <si>
    <t>each 2bit indicate the corresponding region access attribute
2'b00 : no protect
2'b01 : can not be read
2'b10 : can not be write
2'b11 : can not be read and write</t>
    <phoneticPr fontId="31" type="noConversion"/>
  </si>
  <si>
    <t>指令：
1. lossy_compress / lossy_decompress 指令原 bit511~bit448 reserve 位段，修改为 src n/c/h/w size</t>
    <phoneticPr fontId="3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</si>
</sst>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8">
    <font>
      <sz val="11"/>
      <color theme="1"/>
      <name val="宋体"/>
      <charset val="134"/>
      <scheme val="minor"/>
    </font>
    <font>
      <sz val="12"/>
      <color theme="1"/>
      <name val="宋体"/>
      <family val="3"/>
      <charset val="134"/>
      <scheme val="minor"/>
    </font>
    <font>
      <sz val="12"/>
      <color rgb="FF000000"/>
      <name val="宋体"/>
      <family val="3"/>
      <charset val="134"/>
      <scheme val="minor"/>
    </font>
    <font>
      <i/>
      <sz val="11"/>
      <color theme="1"/>
      <name val="Microsoft YaHei UI"/>
      <family val="2"/>
      <charset val="134"/>
    </font>
    <font>
      <b/>
      <sz val="11"/>
      <color theme="1"/>
      <name val="Microsoft YaHei UI"/>
      <family val="2"/>
      <charset val="134"/>
    </font>
    <font>
      <b/>
      <sz val="10"/>
      <name val="Microsoft YaHei UI"/>
      <family val="2"/>
      <charset val="134"/>
    </font>
    <font>
      <b/>
      <sz val="10"/>
      <color rgb="FFFF0000"/>
      <name val="Microsoft YaHei UI"/>
      <family val="2"/>
      <charset val="134"/>
    </font>
    <font>
      <b/>
      <sz val="10.5"/>
      <color theme="1"/>
      <name val="Times New Roman"/>
      <family val="1"/>
    </font>
    <font>
      <b/>
      <sz val="11"/>
      <name val="Microsoft YaHei UI"/>
      <family val="2"/>
      <charset val="134"/>
    </font>
    <font>
      <i/>
      <sz val="10"/>
      <name val="Microsoft YaHei UI"/>
      <family val="2"/>
      <charset val="134"/>
    </font>
    <font>
      <b/>
      <sz val="9.5"/>
      <color theme="1"/>
      <name val="Times New Roman"/>
      <family val="1"/>
    </font>
    <font>
      <i/>
      <sz val="9.5"/>
      <color theme="1"/>
      <name val="Times New Roman"/>
      <family val="1"/>
    </font>
    <font>
      <sz val="11"/>
      <name val="宋体"/>
      <family val="3"/>
      <charset val="134"/>
      <scheme val="minor"/>
    </font>
    <font>
      <b/>
      <sz val="10"/>
      <color theme="1"/>
      <name val="Microsoft YaHei UI"/>
      <family val="2"/>
      <charset val="134"/>
    </font>
    <font>
      <sz val="11"/>
      <name val="Times New Roman"/>
      <family val="1"/>
    </font>
    <font>
      <sz val="12"/>
      <name val="Times New Roman"/>
      <family val="1"/>
    </font>
    <font>
      <sz val="11"/>
      <color theme="1"/>
      <name val="Times New Roman"/>
      <family val="1"/>
    </font>
    <font>
      <sz val="10"/>
      <name val="Times New Roman"/>
      <family val="1"/>
    </font>
    <font>
      <sz val="10"/>
      <name val="Microsoft YaHei UI"/>
      <family val="2"/>
      <charset val="134"/>
    </font>
    <font>
      <sz val="11"/>
      <color theme="1"/>
      <name val="宋体"/>
      <family val="3"/>
      <charset val="134"/>
    </font>
    <font>
      <sz val="11"/>
      <color theme="1"/>
      <name val="Microsoft YaHei UI"/>
      <family val="2"/>
      <charset val="134"/>
    </font>
    <font>
      <sz val="8"/>
      <color theme="1"/>
      <name val="Microsoft YaHei UI"/>
      <family val="2"/>
      <charset val="134"/>
    </font>
    <font>
      <b/>
      <sz val="8"/>
      <color theme="1"/>
      <name val="宋体"/>
      <family val="3"/>
      <charset val="134"/>
    </font>
    <font>
      <sz val="8"/>
      <color theme="1"/>
      <name val="Cambria"/>
      <family val="1"/>
    </font>
    <font>
      <sz val="8"/>
      <color theme="1"/>
      <name val="SimSun"/>
      <charset val="134"/>
    </font>
    <font>
      <sz val="11"/>
      <color theme="1"/>
      <name val="SimSun"/>
      <charset val="134"/>
    </font>
    <font>
      <sz val="11"/>
      <color theme="1"/>
      <name val="Cambria"/>
      <family val="1"/>
    </font>
    <font>
      <sz val="11"/>
      <color theme="1"/>
      <name val="宋体"/>
      <family val="3"/>
      <charset val="134"/>
      <scheme val="minor"/>
    </font>
    <font>
      <sz val="10"/>
      <name val="Arial"/>
      <family val="2"/>
    </font>
    <font>
      <b/>
      <sz val="8"/>
      <color theme="1"/>
      <name val="Arial"/>
      <family val="2"/>
    </font>
    <font>
      <sz val="8"/>
      <color theme="1"/>
      <name val="宋体"/>
      <family val="3"/>
      <charset val="134"/>
    </font>
    <font>
      <sz val="9"/>
      <name val="宋体"/>
      <family val="3"/>
      <charset val="134"/>
      <scheme val="minor"/>
    </font>
    <font>
      <sz val="9"/>
      <name val="宋体"/>
      <family val="3"/>
      <charset val="134"/>
      <scheme val="minor"/>
    </font>
    <font>
      <sz val="11"/>
      <color theme="1"/>
      <name val="Microsoft YaHei UI"/>
      <family val="2"/>
      <charset val="134"/>
    </font>
    <font>
      <sz val="11"/>
      <color rgb="FFFF0000"/>
      <name val="Times New Roman"/>
      <family val="1"/>
    </font>
    <font>
      <sz val="11"/>
      <name val="宋体"/>
      <family val="3"/>
      <charset val="134"/>
    </font>
    <font>
      <b/>
      <sz val="10.5"/>
      <name val="Microsoft YaHei UI"/>
      <family val="2"/>
      <charset val="134"/>
    </font>
    <font>
      <b/>
      <sz val="10.5"/>
      <name val="Times New Roman"/>
      <family val="1"/>
    </font>
  </fonts>
  <fills count="19">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C8386"/>
        <bgColor indexed="64"/>
      </patternFill>
    </fill>
    <fill>
      <patternFill patternType="solid">
        <fgColor rgb="FFB4C6E7"/>
        <bgColor rgb="FF000000"/>
      </patternFill>
    </fill>
    <fill>
      <patternFill patternType="solid">
        <fgColor theme="4" tint="0.39976195562608724"/>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8" tint="0.39979247413556324"/>
        <bgColor indexed="64"/>
      </patternFill>
    </fill>
    <fill>
      <patternFill patternType="solid">
        <fgColor theme="0" tint="-0.249977111117893"/>
        <bgColor indexed="64"/>
      </patternFill>
    </fill>
    <fill>
      <patternFill patternType="solid">
        <fgColor theme="9" tint="0.39979247413556324"/>
        <bgColor indexed="64"/>
      </patternFill>
    </fill>
    <fill>
      <patternFill patternType="solid">
        <fgColor theme="0"/>
        <bgColor indexed="64"/>
      </patternFill>
    </fill>
    <fill>
      <patternFill patternType="solid">
        <fgColor theme="8"/>
        <bgColor indexed="64"/>
      </patternFill>
    </fill>
    <fill>
      <patternFill patternType="solid">
        <fgColor rgb="FF00B050"/>
        <bgColor indexed="64"/>
      </patternFill>
    </fill>
    <fill>
      <patternFill patternType="solid">
        <fgColor theme="8" tint="0.39994506668294322"/>
        <bgColor indexed="64"/>
      </patternFill>
    </fill>
  </fills>
  <borders count="41">
    <border>
      <left/>
      <right/>
      <top/>
      <bottom/>
      <diagonal/>
    </border>
    <border>
      <left style="thick">
        <color auto="1"/>
      </left>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top/>
      <bottom style="thin">
        <color auto="1"/>
      </bottom>
      <diagonal/>
    </border>
    <border>
      <left/>
      <right/>
      <top/>
      <bottom style="thin">
        <color auto="1"/>
      </bottom>
      <diagonal/>
    </border>
    <border>
      <left style="thick">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style="medium">
        <color auto="1"/>
      </right>
      <top style="thin">
        <color auto="1"/>
      </top>
      <bottom/>
      <diagonal/>
    </border>
    <border>
      <left style="thick">
        <color auto="1"/>
      </left>
      <right style="medium">
        <color auto="1"/>
      </right>
      <top/>
      <bottom/>
      <diagonal/>
    </border>
    <border>
      <left style="thin">
        <color auto="1"/>
      </left>
      <right style="thin">
        <color auto="1"/>
      </right>
      <top style="thin">
        <color auto="1"/>
      </top>
      <bottom style="thin">
        <color auto="1"/>
      </bottom>
      <diagonal/>
    </border>
    <border>
      <left style="thick">
        <color auto="1"/>
      </left>
      <right style="medium">
        <color auto="1"/>
      </right>
      <top/>
      <bottom style="thin">
        <color auto="1"/>
      </bottom>
      <diagonal/>
    </border>
    <border>
      <left style="thick">
        <color auto="1"/>
      </left>
      <right style="medium">
        <color auto="1"/>
      </right>
      <top style="thin">
        <color auto="1"/>
      </top>
      <bottom style="thin">
        <color auto="1"/>
      </bottom>
      <diagonal/>
    </border>
    <border>
      <left style="thick">
        <color auto="1"/>
      </left>
      <right/>
      <top style="thin">
        <color auto="1"/>
      </top>
      <bottom style="thick">
        <color auto="1"/>
      </bottom>
      <diagonal/>
    </border>
    <border>
      <left style="medium">
        <color auto="1"/>
      </left>
      <right style="medium">
        <color auto="1"/>
      </right>
      <top style="thin">
        <color auto="1"/>
      </top>
      <bottom style="thick">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style="medium">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medium">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bottom/>
      <diagonal/>
    </border>
    <border>
      <left style="thin">
        <color auto="1"/>
      </left>
      <right style="medium">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medium">
        <color indexed="64"/>
      </bottom>
      <diagonal/>
    </border>
  </borders>
  <cellStyleXfs count="3">
    <xf numFmtId="0" fontId="0" fillId="0" borderId="0">
      <alignment vertical="center"/>
    </xf>
    <xf numFmtId="0" fontId="27" fillId="0" borderId="0">
      <alignment vertical="center"/>
    </xf>
    <xf numFmtId="0" fontId="28" fillId="0" borderId="0"/>
  </cellStyleXfs>
  <cellXfs count="187">
    <xf numFmtId="0" fontId="0" fillId="0" borderId="0" xfId="0">
      <alignment vertical="center"/>
    </xf>
    <xf numFmtId="0" fontId="1" fillId="2" borderId="1" xfId="0" applyFont="1" applyFill="1" applyBorder="1" applyAlignment="1"/>
    <xf numFmtId="0" fontId="1" fillId="3" borderId="2" xfId="0" applyFont="1" applyFill="1" applyBorder="1" applyAlignment="1"/>
    <xf numFmtId="0" fontId="1" fillId="2" borderId="5" xfId="0" applyFont="1" applyFill="1" applyBorder="1" applyAlignment="1">
      <alignment horizontal="center" vertical="center"/>
    </xf>
    <xf numFmtId="0" fontId="1" fillId="3" borderId="6" xfId="0" applyFont="1" applyFill="1" applyBorder="1" applyAlignment="1"/>
    <xf numFmtId="0" fontId="1" fillId="5" borderId="7" xfId="0" applyFont="1" applyFill="1" applyBorder="1" applyAlignment="1"/>
    <xf numFmtId="0" fontId="1" fillId="3" borderId="7" xfId="0" applyFont="1" applyFill="1" applyBorder="1" applyAlignment="1"/>
    <xf numFmtId="0" fontId="1" fillId="3" borderId="7" xfId="0" applyFont="1" applyFill="1" applyBorder="1" applyAlignment="1">
      <alignment horizontal="right"/>
    </xf>
    <xf numFmtId="0" fontId="1" fillId="2" borderId="10" xfId="0" applyFont="1" applyFill="1" applyBorder="1" applyAlignment="1"/>
    <xf numFmtId="0" fontId="1" fillId="6" borderId="13" xfId="0" applyFont="1" applyFill="1" applyBorder="1" applyAlignment="1"/>
    <xf numFmtId="0" fontId="1" fillId="5" borderId="13" xfId="0" applyFont="1" applyFill="1" applyBorder="1" applyAlignment="1"/>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3" borderId="17" xfId="0" applyFont="1" applyFill="1" applyBorder="1" applyAlignment="1"/>
    <xf numFmtId="0" fontId="0" fillId="0" borderId="0" xfId="0" applyAlignment="1"/>
    <xf numFmtId="0" fontId="1" fillId="2" borderId="5" xfId="0" applyFont="1" applyFill="1" applyBorder="1" applyAlignment="1"/>
    <xf numFmtId="0" fontId="1" fillId="5" borderId="8" xfId="0" applyFont="1" applyFill="1" applyBorder="1" applyAlignment="1"/>
    <xf numFmtId="0" fontId="1" fillId="3" borderId="13" xfId="0" applyFont="1" applyFill="1" applyBorder="1" applyAlignment="1"/>
    <xf numFmtId="0" fontId="2" fillId="7" borderId="8" xfId="0" applyFont="1" applyFill="1" applyBorder="1" applyAlignment="1"/>
    <xf numFmtId="0" fontId="1" fillId="2" borderId="14" xfId="0" applyFont="1" applyFill="1" applyBorder="1" applyAlignment="1">
      <alignment horizontal="left" vertical="center"/>
    </xf>
    <xf numFmtId="0" fontId="1" fillId="2" borderId="16" xfId="0" applyFont="1" applyFill="1" applyBorder="1" applyAlignment="1"/>
    <xf numFmtId="0" fontId="1" fillId="5" borderId="21" xfId="0" applyFont="1" applyFill="1" applyBorder="1" applyAlignment="1"/>
    <xf numFmtId="0" fontId="1" fillId="5" borderId="22" xfId="0" applyFont="1" applyFill="1" applyBorder="1" applyAlignment="1"/>
    <xf numFmtId="0" fontId="1" fillId="3" borderId="21" xfId="0" applyFont="1" applyFill="1" applyBorder="1" applyAlignment="1"/>
    <xf numFmtId="0" fontId="1" fillId="0" borderId="0" xfId="0" applyFont="1" applyAlignment="1"/>
    <xf numFmtId="0" fontId="1" fillId="0" borderId="0" xfId="0" applyFont="1">
      <alignment vertical="center"/>
    </xf>
    <xf numFmtId="0" fontId="1" fillId="3" borderId="26" xfId="0" applyFont="1" applyFill="1" applyBorder="1" applyAlignment="1"/>
    <xf numFmtId="0" fontId="1" fillId="2" borderId="13" xfId="0" applyFont="1" applyFill="1" applyBorder="1" applyAlignment="1"/>
    <xf numFmtId="0" fontId="1" fillId="2" borderId="27" xfId="0" applyFont="1" applyFill="1" applyBorder="1" applyAlignment="1"/>
    <xf numFmtId="0" fontId="1" fillId="0" borderId="28" xfId="0" applyFont="1" applyBorder="1" applyAlignment="1">
      <alignment vertical="center" wrapText="1"/>
    </xf>
    <xf numFmtId="0" fontId="1" fillId="3" borderId="29" xfId="0" applyFont="1" applyFill="1" applyBorder="1" applyAlignment="1"/>
    <xf numFmtId="0" fontId="1" fillId="2" borderId="30" xfId="0" applyFont="1" applyFill="1" applyBorder="1" applyAlignment="1"/>
    <xf numFmtId="0" fontId="1" fillId="2" borderId="21" xfId="0" applyFont="1" applyFill="1" applyBorder="1" applyAlignment="1"/>
    <xf numFmtId="0" fontId="1" fillId="2" borderId="31" xfId="0" applyFont="1" applyFill="1" applyBorder="1" applyAlignment="1"/>
    <xf numFmtId="0" fontId="3" fillId="0" borderId="0" xfId="0" applyFont="1">
      <alignment vertical="center"/>
    </xf>
    <xf numFmtId="0" fontId="4" fillId="0" borderId="0" xfId="0" applyFont="1" applyAlignment="1">
      <alignment horizontal="center" vertical="center"/>
    </xf>
    <xf numFmtId="0" fontId="4" fillId="0" borderId="0" xfId="0" applyFont="1">
      <alignment vertical="center"/>
    </xf>
    <xf numFmtId="0" fontId="4" fillId="0" borderId="0" xfId="0" applyFont="1" applyAlignment="1">
      <alignment vertical="center" wrapText="1"/>
    </xf>
    <xf numFmtId="0" fontId="5" fillId="8" borderId="32" xfId="0" applyFont="1" applyFill="1" applyBorder="1">
      <alignment vertical="center"/>
    </xf>
    <xf numFmtId="0" fontId="5" fillId="8" borderId="33" xfId="0" applyFont="1" applyFill="1" applyBorder="1" applyAlignment="1">
      <alignment horizontal="center" vertical="center"/>
    </xf>
    <xf numFmtId="0" fontId="5" fillId="8" borderId="33" xfId="0" applyFont="1" applyFill="1" applyBorder="1">
      <alignment vertical="center"/>
    </xf>
    <xf numFmtId="0" fontId="5" fillId="9" borderId="7" xfId="0" applyFont="1" applyFill="1" applyBorder="1">
      <alignment vertical="center"/>
    </xf>
    <xf numFmtId="0" fontId="5" fillId="0" borderId="13" xfId="0" applyFont="1" applyBorder="1" applyAlignment="1">
      <alignment horizontal="center" vertical="center"/>
    </xf>
    <xf numFmtId="0" fontId="5" fillId="10" borderId="7" xfId="0" applyFont="1" applyFill="1" applyBorder="1">
      <alignment vertical="center"/>
    </xf>
    <xf numFmtId="0" fontId="6" fillId="9" borderId="7" xfId="0" applyFont="1" applyFill="1" applyBorder="1">
      <alignment vertical="center"/>
    </xf>
    <xf numFmtId="0" fontId="5" fillId="8" borderId="34" xfId="0" applyFont="1" applyFill="1" applyBorder="1" applyAlignment="1">
      <alignment vertical="center" wrapText="1"/>
    </xf>
    <xf numFmtId="0" fontId="4" fillId="0" borderId="0" xfId="0" applyFont="1" applyAlignment="1">
      <alignment horizontal="left" vertical="center"/>
    </xf>
    <xf numFmtId="0" fontId="4" fillId="12" borderId="35" xfId="0" applyFont="1" applyFill="1" applyBorder="1" applyAlignment="1">
      <alignment horizontal="left" vertical="center"/>
    </xf>
    <xf numFmtId="0" fontId="5" fillId="0" borderId="26" xfId="0" applyFont="1" applyBorder="1" applyAlignment="1">
      <alignment vertical="center" wrapText="1"/>
    </xf>
    <xf numFmtId="0" fontId="4" fillId="13" borderId="0" xfId="0" applyFont="1" applyFill="1">
      <alignment vertical="center"/>
    </xf>
    <xf numFmtId="0" fontId="4" fillId="14" borderId="35" xfId="0" applyFont="1" applyFill="1" applyBorder="1" applyAlignment="1">
      <alignment horizontal="left" vertical="center"/>
    </xf>
    <xf numFmtId="0" fontId="4" fillId="13" borderId="35" xfId="0" applyFont="1" applyFill="1" applyBorder="1" applyAlignment="1">
      <alignment horizontal="left" vertical="center"/>
    </xf>
    <xf numFmtId="0" fontId="4" fillId="12" borderId="35" xfId="0" applyFont="1" applyFill="1" applyBorder="1" applyAlignment="1">
      <alignment horizontal="left" vertical="center" wrapText="1"/>
    </xf>
    <xf numFmtId="0" fontId="7" fillId="11" borderId="0" xfId="0" applyFont="1" applyFill="1" applyAlignment="1">
      <alignment horizontal="justify" vertical="center"/>
    </xf>
    <xf numFmtId="0" fontId="5" fillId="15" borderId="7" xfId="0" applyFont="1" applyFill="1" applyBorder="1">
      <alignment vertical="center"/>
    </xf>
    <xf numFmtId="0" fontId="5" fillId="0" borderId="26" xfId="0" applyFont="1" applyBorder="1">
      <alignment vertical="center"/>
    </xf>
    <xf numFmtId="0" fontId="4" fillId="16" borderId="0" xfId="0" applyFont="1" applyFill="1">
      <alignment vertical="center"/>
    </xf>
    <xf numFmtId="0" fontId="4" fillId="17" borderId="0" xfId="0" applyFont="1" applyFill="1">
      <alignment vertical="center"/>
    </xf>
    <xf numFmtId="0" fontId="0" fillId="17" borderId="0" xfId="0" applyFill="1">
      <alignment vertical="center"/>
    </xf>
    <xf numFmtId="0" fontId="0" fillId="9" borderId="0" xfId="0" applyFill="1">
      <alignment vertical="center"/>
    </xf>
    <xf numFmtId="0" fontId="5" fillId="15" borderId="13" xfId="0" applyFont="1" applyFill="1" applyBorder="1" applyAlignment="1">
      <alignment horizontal="center" vertical="center"/>
    </xf>
    <xf numFmtId="0" fontId="8" fillId="16" borderId="35" xfId="0" applyFont="1" applyFill="1" applyBorder="1" applyAlignment="1">
      <alignment horizontal="left" vertical="center"/>
    </xf>
    <xf numFmtId="0" fontId="5" fillId="15" borderId="26" xfId="0" applyFont="1" applyFill="1" applyBorder="1" applyAlignment="1">
      <alignment vertical="center" wrapText="1"/>
    </xf>
    <xf numFmtId="0" fontId="5" fillId="0" borderId="13" xfId="0" applyFont="1" applyBorder="1">
      <alignment vertical="center"/>
    </xf>
    <xf numFmtId="0" fontId="5" fillId="0" borderId="13" xfId="0" applyFont="1" applyBorder="1" applyAlignment="1">
      <alignment horizontal="left" vertical="center"/>
    </xf>
    <xf numFmtId="0" fontId="5" fillId="9" borderId="7" xfId="0" applyFont="1" applyFill="1" applyBorder="1" applyAlignment="1">
      <alignment vertical="center" wrapText="1"/>
    </xf>
    <xf numFmtId="0" fontId="9" fillId="9" borderId="7" xfId="0" applyFont="1" applyFill="1" applyBorder="1">
      <alignment vertical="center"/>
    </xf>
    <xf numFmtId="0" fontId="9" fillId="0" borderId="13" xfId="0" applyFont="1" applyBorder="1" applyAlignment="1">
      <alignment horizontal="center" vertical="center"/>
    </xf>
    <xf numFmtId="0" fontId="9" fillId="0" borderId="13" xfId="0" applyFont="1" applyBorder="1">
      <alignment vertical="center"/>
    </xf>
    <xf numFmtId="0" fontId="9" fillId="0" borderId="13" xfId="0" applyFont="1" applyBorder="1" applyAlignment="1">
      <alignment horizontal="left" vertical="center"/>
    </xf>
    <xf numFmtId="0" fontId="5" fillId="9" borderId="36" xfId="0" applyFont="1" applyFill="1" applyBorder="1">
      <alignment vertical="center"/>
    </xf>
    <xf numFmtId="0" fontId="5" fillId="0" borderId="37" xfId="0" applyFont="1" applyBorder="1" applyAlignment="1">
      <alignment horizontal="center" vertical="center"/>
    </xf>
    <xf numFmtId="0" fontId="5" fillId="0" borderId="37" xfId="0" applyFont="1" applyBorder="1">
      <alignment vertical="center"/>
    </xf>
    <xf numFmtId="0" fontId="5" fillId="0" borderId="37" xfId="0" applyFont="1" applyBorder="1" applyAlignment="1">
      <alignment horizontal="left" vertical="center"/>
    </xf>
    <xf numFmtId="0" fontId="10" fillId="0" borderId="26" xfId="0" applyFont="1" applyBorder="1" applyAlignment="1">
      <alignment vertical="center" wrapText="1"/>
    </xf>
    <xf numFmtId="0" fontId="10" fillId="0" borderId="26" xfId="0" applyFont="1" applyBorder="1" applyAlignment="1">
      <alignment horizontal="justify" vertical="center" wrapText="1"/>
    </xf>
    <xf numFmtId="0" fontId="9" fillId="0" borderId="26" xfId="0" applyFont="1" applyBorder="1" applyAlignment="1">
      <alignment vertical="center" wrapText="1"/>
    </xf>
    <xf numFmtId="0" fontId="11" fillId="0" borderId="26" xfId="0" applyFont="1" applyBorder="1">
      <alignment vertical="center"/>
    </xf>
    <xf numFmtId="0" fontId="5" fillId="0" borderId="38" xfId="0" applyFont="1" applyBorder="1" applyAlignment="1">
      <alignment vertical="center" wrapText="1"/>
    </xf>
    <xf numFmtId="0" fontId="12" fillId="16" borderId="0" xfId="0" applyFont="1" applyFill="1">
      <alignment vertical="center"/>
    </xf>
    <xf numFmtId="0" fontId="0" fillId="16" borderId="0" xfId="0" applyFill="1">
      <alignment vertical="center"/>
    </xf>
    <xf numFmtId="0" fontId="0" fillId="15" borderId="0" xfId="0" applyFill="1">
      <alignment vertical="center"/>
    </xf>
    <xf numFmtId="0" fontId="12" fillId="0" borderId="0" xfId="0" applyFont="1">
      <alignment vertical="center"/>
    </xf>
    <xf numFmtId="0" fontId="0" fillId="0" borderId="0" xfId="0" applyAlignment="1">
      <alignment horizontal="center" vertical="center"/>
    </xf>
    <xf numFmtId="0" fontId="13" fillId="10" borderId="7" xfId="0" applyFont="1" applyFill="1" applyBorder="1">
      <alignment vertical="center"/>
    </xf>
    <xf numFmtId="0" fontId="5" fillId="10" borderId="7" xfId="0" applyFont="1" applyFill="1" applyBorder="1" applyAlignment="1">
      <alignment vertical="center" wrapText="1"/>
    </xf>
    <xf numFmtId="0" fontId="5" fillId="0" borderId="13" xfId="0" applyFont="1" applyBorder="1" applyAlignment="1">
      <alignment horizontal="center" vertical="center" wrapText="1"/>
    </xf>
    <xf numFmtId="0" fontId="14" fillId="9" borderId="13" xfId="2" applyFont="1" applyFill="1" applyBorder="1" applyAlignment="1">
      <alignment horizontal="left"/>
    </xf>
    <xf numFmtId="0" fontId="15" fillId="9" borderId="13" xfId="2" applyFont="1" applyFill="1" applyBorder="1" applyAlignment="1">
      <alignment horizontal="left"/>
    </xf>
    <xf numFmtId="0" fontId="14" fillId="15" borderId="0" xfId="2" applyFont="1" applyFill="1" applyAlignment="1">
      <alignment horizontal="left"/>
    </xf>
    <xf numFmtId="0" fontId="16" fillId="0" borderId="0" xfId="0" applyFont="1" applyAlignment="1">
      <alignment horizontal="left"/>
    </xf>
    <xf numFmtId="0" fontId="14" fillId="9" borderId="0" xfId="2" applyFont="1" applyFill="1" applyAlignment="1">
      <alignment horizontal="left"/>
    </xf>
    <xf numFmtId="0" fontId="14" fillId="0" borderId="13" xfId="0" applyFont="1" applyBorder="1" applyAlignment="1">
      <alignment horizontal="left" vertical="top"/>
    </xf>
    <xf numFmtId="0" fontId="17" fillId="9" borderId="13" xfId="2" applyFont="1" applyFill="1" applyBorder="1" applyAlignment="1">
      <alignment horizontal="left"/>
    </xf>
    <xf numFmtId="0" fontId="18" fillId="15" borderId="13" xfId="0" applyFont="1" applyFill="1" applyBorder="1" applyAlignment="1">
      <alignment vertical="center" wrapText="1"/>
    </xf>
    <xf numFmtId="0" fontId="16" fillId="11" borderId="13" xfId="0" applyFont="1" applyFill="1" applyBorder="1" applyAlignment="1">
      <alignment horizontal="left"/>
    </xf>
    <xf numFmtId="0" fontId="0" fillId="11" borderId="13" xfId="0" applyFill="1" applyBorder="1">
      <alignment vertical="center"/>
    </xf>
    <xf numFmtId="0" fontId="7" fillId="11" borderId="13" xfId="0" applyFont="1" applyFill="1" applyBorder="1" applyAlignment="1">
      <alignment horizontal="justify" vertical="center"/>
    </xf>
    <xf numFmtId="0" fontId="20" fillId="0" borderId="0" xfId="0" applyFont="1">
      <alignment vertical="center"/>
    </xf>
    <xf numFmtId="0" fontId="20" fillId="0" borderId="0" xfId="0" applyFont="1" applyAlignment="1">
      <alignment horizontal="left" vertical="center"/>
    </xf>
    <xf numFmtId="0" fontId="4" fillId="8" borderId="13" xfId="0" applyFont="1" applyFill="1" applyBorder="1" applyAlignment="1">
      <alignment horizontal="left" vertical="center"/>
    </xf>
    <xf numFmtId="0" fontId="4" fillId="8" borderId="13" xfId="0" applyFont="1" applyFill="1" applyBorder="1">
      <alignment vertical="center"/>
    </xf>
    <xf numFmtId="49" fontId="20" fillId="0" borderId="13" xfId="0" applyNumberFormat="1" applyFont="1" applyBorder="1" applyAlignment="1">
      <alignment horizontal="left" vertical="center"/>
    </xf>
    <xf numFmtId="14" fontId="20" fillId="0" borderId="13" xfId="0" applyNumberFormat="1" applyFont="1" applyBorder="1" applyAlignment="1">
      <alignment horizontal="left" vertical="center"/>
    </xf>
    <xf numFmtId="0" fontId="21" fillId="0" borderId="13" xfId="0" applyFont="1" applyBorder="1" applyAlignment="1">
      <alignment vertical="center" wrapText="1"/>
    </xf>
    <xf numFmtId="0" fontId="22" fillId="0" borderId="0" xfId="0" applyFont="1" applyAlignment="1">
      <alignment vertical="center" wrapText="1"/>
    </xf>
    <xf numFmtId="0" fontId="21" fillId="0" borderId="13" xfId="0" applyFont="1" applyBorder="1">
      <alignment vertical="center"/>
    </xf>
    <xf numFmtId="0" fontId="23" fillId="0" borderId="13" xfId="0" applyFont="1" applyBorder="1" applyAlignment="1">
      <alignment vertical="center" wrapText="1"/>
    </xf>
    <xf numFmtId="0" fontId="24" fillId="0" borderId="13" xfId="0" applyFont="1" applyBorder="1" applyAlignment="1">
      <alignment vertical="center" wrapText="1"/>
    </xf>
    <xf numFmtId="0" fontId="25" fillId="0" borderId="13" xfId="0" applyFont="1" applyBorder="1" applyAlignment="1">
      <alignment vertical="center" wrapText="1"/>
    </xf>
    <xf numFmtId="0" fontId="20" fillId="0" borderId="13" xfId="0" applyFont="1" applyBorder="1" applyAlignment="1">
      <alignment vertical="center" wrapText="1"/>
    </xf>
    <xf numFmtId="0" fontId="26" fillId="0" borderId="13" xfId="0" applyFont="1" applyBorder="1" applyAlignment="1">
      <alignment vertical="center" wrapText="1"/>
    </xf>
    <xf numFmtId="0" fontId="20" fillId="0" borderId="13" xfId="0" applyFont="1" applyBorder="1" applyAlignment="1">
      <alignment horizontal="left" vertical="center"/>
    </xf>
    <xf numFmtId="0" fontId="20" fillId="0" borderId="13" xfId="0" applyFont="1" applyBorder="1">
      <alignment vertical="center"/>
    </xf>
    <xf numFmtId="0" fontId="9" fillId="0" borderId="13" xfId="0" quotePrefix="1" applyFont="1" applyBorder="1">
      <alignment vertical="center"/>
    </xf>
    <xf numFmtId="0" fontId="33" fillId="0" borderId="13" xfId="0" applyFont="1" applyBorder="1" applyAlignment="1">
      <alignment vertical="center" wrapText="1"/>
    </xf>
    <xf numFmtId="0" fontId="33" fillId="0" borderId="13" xfId="0" applyFont="1" applyBorder="1">
      <alignment vertical="center"/>
    </xf>
    <xf numFmtId="0" fontId="0" fillId="11" borderId="0" xfId="0" applyFill="1">
      <alignment vertical="center"/>
    </xf>
    <xf numFmtId="0" fontId="8" fillId="12" borderId="35" xfId="0" applyFont="1" applyFill="1" applyBorder="1" applyAlignment="1">
      <alignment horizontal="left" vertical="center"/>
    </xf>
    <xf numFmtId="0" fontId="5" fillId="8" borderId="39" xfId="0" applyFont="1" applyFill="1" applyBorder="1" applyAlignment="1">
      <alignment horizontal="center" vertical="center"/>
    </xf>
    <xf numFmtId="0" fontId="5" fillId="0" borderId="8" xfId="0" applyFont="1" applyBorder="1" applyAlignment="1">
      <alignment horizontal="center" vertical="center"/>
    </xf>
    <xf numFmtId="0" fontId="5" fillId="8" borderId="32" xfId="0" applyFont="1" applyFill="1" applyBorder="1" applyAlignment="1">
      <alignment horizontal="center" vertical="center"/>
    </xf>
    <xf numFmtId="0" fontId="5" fillId="0" borderId="7" xfId="0" applyFont="1" applyBorder="1" applyAlignment="1">
      <alignment horizontal="center" vertical="center"/>
    </xf>
    <xf numFmtId="0" fontId="5" fillId="0" borderId="36" xfId="0" applyFont="1" applyBorder="1" applyAlignment="1">
      <alignment horizontal="center" vertical="center"/>
    </xf>
    <xf numFmtId="0" fontId="4" fillId="15" borderId="0" xfId="0" applyFont="1" applyFill="1">
      <alignment vertical="center"/>
    </xf>
    <xf numFmtId="0" fontId="6" fillId="15" borderId="13" xfId="0" applyFont="1" applyFill="1" applyBorder="1" applyAlignment="1">
      <alignment horizontal="center" vertical="center"/>
    </xf>
    <xf numFmtId="0" fontId="6" fillId="15" borderId="26" xfId="0" applyFont="1" applyFill="1" applyBorder="1" applyAlignment="1">
      <alignment vertical="center" wrapText="1"/>
    </xf>
    <xf numFmtId="0" fontId="5" fillId="15" borderId="8" xfId="0" applyFont="1" applyFill="1" applyBorder="1" applyAlignment="1">
      <alignment horizontal="center" vertical="center"/>
    </xf>
    <xf numFmtId="0" fontId="5" fillId="15" borderId="7" xfId="0" applyFont="1" applyFill="1" applyBorder="1" applyAlignment="1">
      <alignment horizontal="center" vertical="center"/>
    </xf>
    <xf numFmtId="0" fontId="5" fillId="15" borderId="26" xfId="0" applyFont="1" applyFill="1" applyBorder="1">
      <alignment vertical="center"/>
    </xf>
    <xf numFmtId="0" fontId="5" fillId="15" borderId="8" xfId="0" applyFont="1" applyFill="1" applyBorder="1" applyAlignment="1">
      <alignment vertical="center" wrapText="1"/>
    </xf>
    <xf numFmtId="0" fontId="5" fillId="0" borderId="40" xfId="0" applyFont="1" applyBorder="1" applyAlignment="1">
      <alignment horizontal="center" vertical="center"/>
    </xf>
    <xf numFmtId="0" fontId="14" fillId="0" borderId="0" xfId="0" applyFont="1" applyAlignment="1">
      <alignment horizontal="left"/>
    </xf>
    <xf numFmtId="0" fontId="14" fillId="0" borderId="13" xfId="0" applyFont="1" applyBorder="1" applyAlignment="1">
      <alignment horizontal="left"/>
    </xf>
    <xf numFmtId="0" fontId="14" fillId="15" borderId="13" xfId="0" applyFont="1" applyFill="1" applyBorder="1" applyAlignment="1">
      <alignment horizontal="left"/>
    </xf>
    <xf numFmtId="0" fontId="14" fillId="15" borderId="13" xfId="0" applyFont="1" applyFill="1" applyBorder="1" applyAlignment="1">
      <alignment horizontal="left" wrapText="1"/>
    </xf>
    <xf numFmtId="0" fontId="35" fillId="15" borderId="13" xfId="0" applyFont="1" applyFill="1" applyBorder="1" applyAlignment="1">
      <alignment horizontal="left" wrapText="1"/>
    </xf>
    <xf numFmtId="0" fontId="14" fillId="0" borderId="13" xfId="0" applyFont="1" applyBorder="1" applyAlignment="1"/>
    <xf numFmtId="0" fontId="35" fillId="15" borderId="13" xfId="0" applyFont="1" applyFill="1" applyBorder="1" applyAlignment="1">
      <alignment horizontal="left"/>
    </xf>
    <xf numFmtId="0" fontId="14" fillId="11" borderId="13" xfId="0" applyFont="1" applyFill="1" applyBorder="1" applyAlignment="1">
      <alignment horizontal="left"/>
    </xf>
    <xf numFmtId="0" fontId="14" fillId="11" borderId="0" xfId="0" applyFont="1" applyFill="1" applyAlignment="1">
      <alignment horizontal="left"/>
    </xf>
    <xf numFmtId="0" fontId="35" fillId="0" borderId="0" xfId="0" applyFont="1" applyAlignment="1">
      <alignment horizontal="left"/>
    </xf>
    <xf numFmtId="0" fontId="35" fillId="9" borderId="0" xfId="0" applyFont="1" applyFill="1" applyAlignment="1">
      <alignment horizontal="left"/>
    </xf>
    <xf numFmtId="0" fontId="14" fillId="9" borderId="0" xfId="0" applyFont="1" applyFill="1" applyAlignment="1">
      <alignment horizontal="left"/>
    </xf>
    <xf numFmtId="0" fontId="14" fillId="15" borderId="0" xfId="0" applyFont="1" applyFill="1" applyAlignment="1">
      <alignment horizontal="left"/>
    </xf>
    <xf numFmtId="0" fontId="14" fillId="11" borderId="13" xfId="0" applyFont="1" applyFill="1" applyBorder="1">
      <alignment vertical="center"/>
    </xf>
    <xf numFmtId="0" fontId="14" fillId="11" borderId="0" xfId="0" applyFont="1" applyFill="1">
      <alignment vertical="center"/>
    </xf>
    <xf numFmtId="0" fontId="34" fillId="15" borderId="13" xfId="0" applyFont="1" applyFill="1" applyBorder="1" applyAlignment="1">
      <alignment horizontal="left"/>
    </xf>
    <xf numFmtId="0" fontId="8" fillId="0" borderId="0" xfId="0" applyFont="1" applyAlignment="1">
      <alignment horizontal="left" vertical="center"/>
    </xf>
    <xf numFmtId="0" fontId="8" fillId="13" borderId="35" xfId="0" applyFont="1" applyFill="1" applyBorder="1" applyAlignment="1">
      <alignment horizontal="left" vertical="center"/>
    </xf>
    <xf numFmtId="0" fontId="8" fillId="12" borderId="35" xfId="0" applyFont="1" applyFill="1" applyBorder="1" applyAlignment="1">
      <alignment horizontal="left" vertical="center" wrapText="1"/>
    </xf>
    <xf numFmtId="0" fontId="36" fillId="11" borderId="0" xfId="0" applyFont="1" applyFill="1" applyAlignment="1">
      <alignment horizontal="justify" vertical="center"/>
    </xf>
    <xf numFmtId="0" fontId="8" fillId="0" borderId="0" xfId="0" applyFont="1" applyAlignment="1">
      <alignment horizontal="center" vertical="center"/>
    </xf>
    <xf numFmtId="0" fontId="8" fillId="0" borderId="0" xfId="0" applyFont="1">
      <alignment vertical="center"/>
    </xf>
    <xf numFmtId="0" fontId="8" fillId="0" borderId="0" xfId="0" applyFont="1" applyAlignment="1">
      <alignment vertical="center" wrapText="1"/>
    </xf>
    <xf numFmtId="0" fontId="8" fillId="15" borderId="0" xfId="1" applyFont="1" applyFill="1">
      <alignment vertical="center"/>
    </xf>
    <xf numFmtId="0" fontId="5" fillId="15" borderId="26" xfId="1" applyFont="1" applyFill="1" applyBorder="1" applyAlignment="1">
      <alignment vertical="center" wrapText="1"/>
    </xf>
    <xf numFmtId="0" fontId="8" fillId="14" borderId="35" xfId="0" applyFont="1" applyFill="1" applyBorder="1" applyAlignment="1">
      <alignment horizontal="left" vertical="center"/>
    </xf>
    <xf numFmtId="0" fontId="8" fillId="14" borderId="35" xfId="0" applyFont="1" applyFill="1" applyBorder="1" applyAlignment="1">
      <alignment horizontal="left" vertical="center" wrapText="1"/>
    </xf>
    <xf numFmtId="0" fontId="37" fillId="11" borderId="0" xfId="0" applyFont="1" applyFill="1" applyAlignment="1">
      <alignment horizontal="justify" vertical="center"/>
    </xf>
    <xf numFmtId="0" fontId="5" fillId="15" borderId="13" xfId="0" applyFont="1" applyFill="1" applyBorder="1" applyAlignment="1">
      <alignment horizontal="center" vertical="center" wrapText="1"/>
    </xf>
    <xf numFmtId="0" fontId="8" fillId="18" borderId="35" xfId="0" applyFont="1" applyFill="1" applyBorder="1" applyAlignment="1">
      <alignment horizontal="left" vertical="center"/>
    </xf>
    <xf numFmtId="0" fontId="20" fillId="0" borderId="13" xfId="0" applyFont="1" applyBorder="1" applyAlignment="1">
      <alignment horizontal="left" vertical="center" wrapText="1"/>
    </xf>
    <xf numFmtId="0" fontId="34" fillId="15" borderId="13" xfId="0" applyFont="1" applyFill="1" applyBorder="1" applyAlignment="1">
      <alignment horizontal="left" wrapText="1"/>
    </xf>
    <xf numFmtId="0" fontId="1" fillId="2" borderId="11" xfId="0" applyFont="1" applyFill="1" applyBorder="1" applyAlignment="1">
      <alignment horizontal="left" vertical="center"/>
    </xf>
    <xf numFmtId="0" fontId="1" fillId="2" borderId="12" xfId="0" applyFont="1" applyFill="1" applyBorder="1" applyAlignment="1">
      <alignment horizontal="left" vertical="center"/>
    </xf>
    <xf numFmtId="0" fontId="1" fillId="2" borderId="14" xfId="0" applyFont="1" applyFill="1" applyBorder="1" applyAlignment="1">
      <alignment horizontal="left" vertical="center"/>
    </xf>
    <xf numFmtId="0" fontId="1" fillId="0" borderId="28" xfId="0" applyFont="1" applyBorder="1" applyAlignment="1">
      <alignment horizontal="center" vertical="top"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5" borderId="18" xfId="0" applyFont="1" applyFill="1" applyBorder="1" applyAlignment="1">
      <alignment horizontal="center"/>
    </xf>
    <xf numFmtId="0" fontId="1" fillId="5" borderId="19" xfId="0" applyFont="1" applyFill="1" applyBorder="1" applyAlignment="1">
      <alignment horizontal="center"/>
    </xf>
    <xf numFmtId="0" fontId="1" fillId="3" borderId="20" xfId="0" applyFont="1" applyFill="1" applyBorder="1" applyAlignment="1">
      <alignment horizontal="center"/>
    </xf>
    <xf numFmtId="0" fontId="1" fillId="3" borderId="23" xfId="0" applyFont="1" applyFill="1" applyBorder="1" applyAlignment="1">
      <alignment horizontal="center"/>
    </xf>
    <xf numFmtId="0" fontId="1" fillId="2" borderId="24" xfId="0" applyFont="1" applyFill="1" applyBorder="1" applyAlignment="1">
      <alignment horizontal="center"/>
    </xf>
    <xf numFmtId="0" fontId="1" fillId="2" borderId="18" xfId="0" applyFont="1" applyFill="1" applyBorder="1" applyAlignment="1">
      <alignment horizontal="center"/>
    </xf>
    <xf numFmtId="0" fontId="1" fillId="2" borderId="25" xfId="0" applyFont="1" applyFill="1" applyBorder="1" applyAlignment="1">
      <alignment horizontal="center"/>
    </xf>
    <xf numFmtId="0" fontId="1" fillId="2" borderId="15" xfId="0" applyFont="1" applyFill="1" applyBorder="1" applyAlignment="1">
      <alignment horizontal="center" vertical="center"/>
    </xf>
    <xf numFmtId="0" fontId="1" fillId="2" borderId="5" xfId="0" applyFont="1" applyFill="1" applyBorder="1" applyAlignment="1">
      <alignment horizontal="center" vertic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4" xfId="0" applyFont="1" applyFill="1" applyBorder="1" applyAlignment="1">
      <alignment horizontal="center" vertical="center"/>
    </xf>
  </cellXfs>
  <cellStyles count="3">
    <cellStyle name="常规" xfId="0" builtinId="0"/>
    <cellStyle name="常规 2" xfId="1"/>
    <cellStyle name="常规 3" xfId="2"/>
  </cellStyles>
  <dxfs count="0"/>
  <tableStyles count="0" defaultTableStyle="TableStyleMedium2" defaultPivotStyle="PivotStyleLight16"/>
  <colors>
    <mruColors>
      <color rgb="FFFC83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66"/>
  <sheetViews>
    <sheetView tabSelected="1" topLeftCell="A61" zoomScale="127" zoomScaleNormal="127" workbookViewId="0">
      <selection activeCell="G66" sqref="G66"/>
    </sheetView>
  </sheetViews>
  <sheetFormatPr defaultColWidth="9" defaultRowHeight="15.6"/>
  <cols>
    <col min="1" max="1" width="9" style="98"/>
    <col min="2" max="2" width="9.109375" style="99" customWidth="1"/>
    <col min="3" max="3" width="15.109375" style="99" customWidth="1"/>
    <col min="4" max="4" width="103.88671875" style="98" customWidth="1"/>
    <col min="5" max="16384" width="9" style="98"/>
  </cols>
  <sheetData>
    <row r="2" spans="2:4" ht="16.2">
      <c r="B2" s="100" t="s">
        <v>0</v>
      </c>
      <c r="C2" s="100" t="s">
        <v>1</v>
      </c>
      <c r="D2" s="101" t="s">
        <v>2</v>
      </c>
    </row>
    <row r="3" spans="2:4">
      <c r="B3" s="102" t="s">
        <v>3</v>
      </c>
      <c r="C3" s="103">
        <v>44881</v>
      </c>
      <c r="D3" s="104" t="s">
        <v>4</v>
      </c>
    </row>
    <row r="4" spans="2:4" ht="26.4">
      <c r="B4" s="102" t="s">
        <v>5</v>
      </c>
      <c r="C4" s="103"/>
      <c r="D4" s="104" t="s">
        <v>6</v>
      </c>
    </row>
    <row r="5" spans="2:4">
      <c r="B5" s="102" t="s">
        <v>7</v>
      </c>
      <c r="C5" s="103"/>
      <c r="D5" s="104" t="s">
        <v>8</v>
      </c>
    </row>
    <row r="6" spans="2:4" ht="79.2">
      <c r="B6" s="102" t="s">
        <v>9</v>
      </c>
      <c r="C6" s="103"/>
      <c r="D6" s="104" t="s">
        <v>10</v>
      </c>
    </row>
    <row r="7" spans="2:4" ht="30.6">
      <c r="B7" s="102" t="s">
        <v>11</v>
      </c>
      <c r="C7" s="103"/>
      <c r="D7" s="105" t="s">
        <v>12</v>
      </c>
    </row>
    <row r="8" spans="2:4" ht="52.8">
      <c r="B8" s="102" t="s">
        <v>13</v>
      </c>
      <c r="C8" s="103"/>
      <c r="D8" s="104" t="s">
        <v>14</v>
      </c>
    </row>
    <row r="9" spans="2:4">
      <c r="B9" s="102" t="s">
        <v>15</v>
      </c>
      <c r="C9" s="103"/>
      <c r="D9" s="104" t="s">
        <v>16</v>
      </c>
    </row>
    <row r="10" spans="2:4">
      <c r="B10" s="102" t="s">
        <v>17</v>
      </c>
      <c r="C10" s="103"/>
      <c r="D10" s="104" t="s">
        <v>18</v>
      </c>
    </row>
    <row r="11" spans="2:4" ht="26.4">
      <c r="B11" s="102" t="s">
        <v>19</v>
      </c>
      <c r="C11" s="103">
        <v>45177</v>
      </c>
      <c r="D11" s="104" t="s">
        <v>20</v>
      </c>
    </row>
    <row r="12" spans="2:4">
      <c r="B12" s="102" t="s">
        <v>21</v>
      </c>
      <c r="C12" s="103">
        <v>45180</v>
      </c>
      <c r="D12" s="106" t="s">
        <v>22</v>
      </c>
    </row>
    <row r="13" spans="2:4" ht="26.4">
      <c r="B13" s="102" t="s">
        <v>23</v>
      </c>
      <c r="C13" s="103">
        <v>45181</v>
      </c>
      <c r="D13" s="104" t="s">
        <v>24</v>
      </c>
    </row>
    <row r="14" spans="2:4">
      <c r="B14" s="102" t="s">
        <v>25</v>
      </c>
      <c r="C14" s="103">
        <v>45181</v>
      </c>
      <c r="D14" s="107" t="s">
        <v>26</v>
      </c>
    </row>
    <row r="15" spans="2:4">
      <c r="B15" s="102" t="s">
        <v>27</v>
      </c>
      <c r="C15" s="103">
        <v>45184</v>
      </c>
      <c r="D15" s="108" t="s">
        <v>28</v>
      </c>
    </row>
    <row r="16" spans="2:4" ht="52.8">
      <c r="B16" s="102" t="s">
        <v>29</v>
      </c>
      <c r="C16" s="103">
        <v>45187</v>
      </c>
      <c r="D16" s="104" t="s">
        <v>30</v>
      </c>
    </row>
    <row r="17" spans="2:4" ht="28.8">
      <c r="B17" s="102" t="s">
        <v>31</v>
      </c>
      <c r="C17" s="103">
        <v>45188</v>
      </c>
      <c r="D17" s="109" t="s">
        <v>32</v>
      </c>
    </row>
    <row r="18" spans="2:4">
      <c r="B18" s="102" t="s">
        <v>33</v>
      </c>
      <c r="C18" s="103">
        <v>45189</v>
      </c>
      <c r="D18" s="104" t="s">
        <v>34</v>
      </c>
    </row>
    <row r="19" spans="2:4">
      <c r="B19" s="102" t="s">
        <v>35</v>
      </c>
      <c r="C19" s="103">
        <v>45189</v>
      </c>
      <c r="D19" s="110" t="s">
        <v>36</v>
      </c>
    </row>
    <row r="20" spans="2:4" ht="26.4">
      <c r="B20" s="102" t="s">
        <v>37</v>
      </c>
      <c r="C20" s="103">
        <v>45190</v>
      </c>
      <c r="D20" s="104" t="s">
        <v>38</v>
      </c>
    </row>
    <row r="21" spans="2:4">
      <c r="B21" s="102" t="s">
        <v>39</v>
      </c>
      <c r="C21" s="103">
        <v>45197</v>
      </c>
      <c r="D21" s="111" t="s">
        <v>40</v>
      </c>
    </row>
    <row r="22" spans="2:4" ht="86.4">
      <c r="B22" s="102" t="s">
        <v>41</v>
      </c>
      <c r="C22" s="103">
        <v>45211</v>
      </c>
      <c r="D22" s="111" t="s">
        <v>42</v>
      </c>
    </row>
    <row r="23" spans="2:4" ht="57">
      <c r="B23" s="102" t="s">
        <v>43</v>
      </c>
      <c r="C23" s="103">
        <v>45213</v>
      </c>
      <c r="D23" s="111" t="s">
        <v>44</v>
      </c>
    </row>
    <row r="24" spans="2:4">
      <c r="B24" s="102" t="s">
        <v>45</v>
      </c>
      <c r="C24" s="103">
        <v>45215</v>
      </c>
      <c r="D24" s="111" t="s">
        <v>46</v>
      </c>
    </row>
    <row r="25" spans="2:4" ht="71.400000000000006">
      <c r="B25" s="102" t="s">
        <v>47</v>
      </c>
      <c r="C25" s="103">
        <v>45216</v>
      </c>
      <c r="D25" s="111" t="s">
        <v>48</v>
      </c>
    </row>
    <row r="26" spans="2:4" ht="28.2">
      <c r="B26" s="102" t="s">
        <v>49</v>
      </c>
      <c r="C26" s="103">
        <v>45218</v>
      </c>
      <c r="D26" s="111" t="s">
        <v>50</v>
      </c>
    </row>
    <row r="27" spans="2:4" ht="31.2">
      <c r="B27" s="102" t="s">
        <v>51</v>
      </c>
      <c r="C27" s="112" t="s">
        <v>52</v>
      </c>
      <c r="D27" s="110" t="s">
        <v>53</v>
      </c>
    </row>
    <row r="28" spans="2:4">
      <c r="B28" s="112">
        <v>0.28000000000000003</v>
      </c>
      <c r="C28" s="103">
        <v>45219</v>
      </c>
      <c r="D28" s="113" t="s">
        <v>54</v>
      </c>
    </row>
    <row r="29" spans="2:4" ht="31.2">
      <c r="B29" s="112">
        <v>0.28999999999999998</v>
      </c>
      <c r="C29" s="103">
        <v>45219</v>
      </c>
      <c r="D29" s="110" t="s">
        <v>55</v>
      </c>
    </row>
    <row r="30" spans="2:4" ht="31.2">
      <c r="B30" s="112">
        <v>0.3</v>
      </c>
      <c r="C30" s="103">
        <v>45220</v>
      </c>
      <c r="D30" s="110" t="s">
        <v>56</v>
      </c>
    </row>
    <row r="31" spans="2:4" ht="31.2">
      <c r="B31" s="112">
        <v>0.31</v>
      </c>
      <c r="C31" s="103">
        <v>45220</v>
      </c>
      <c r="D31" s="110" t="s">
        <v>57</v>
      </c>
    </row>
    <row r="32" spans="2:4">
      <c r="B32" s="112">
        <v>0.32</v>
      </c>
      <c r="C32" s="103">
        <v>45223</v>
      </c>
      <c r="D32" s="113" t="s">
        <v>58</v>
      </c>
    </row>
    <row r="33" spans="2:4">
      <c r="B33" s="112">
        <v>0.33</v>
      </c>
      <c r="C33" s="103">
        <v>45229</v>
      </c>
      <c r="D33" s="113" t="s">
        <v>59</v>
      </c>
    </row>
    <row r="34" spans="2:4" ht="62.4">
      <c r="B34" s="112">
        <v>0.46</v>
      </c>
      <c r="C34" s="103">
        <v>45231</v>
      </c>
      <c r="D34" s="110" t="s">
        <v>60</v>
      </c>
    </row>
    <row r="35" spans="2:4" ht="31.2">
      <c r="B35" s="112">
        <v>0.47</v>
      </c>
      <c r="C35" s="103">
        <v>45234</v>
      </c>
      <c r="D35" s="110" t="s">
        <v>61</v>
      </c>
    </row>
    <row r="36" spans="2:4">
      <c r="B36" s="112">
        <v>0.48</v>
      </c>
      <c r="C36" s="103">
        <v>45236</v>
      </c>
      <c r="D36" s="113" t="s">
        <v>62</v>
      </c>
    </row>
    <row r="37" spans="2:4">
      <c r="B37" s="112">
        <v>0.49</v>
      </c>
      <c r="C37" s="103">
        <v>45237</v>
      </c>
      <c r="D37" s="113" t="s">
        <v>63</v>
      </c>
    </row>
    <row r="38" spans="2:4">
      <c r="B38" s="112">
        <v>0.5</v>
      </c>
      <c r="C38" s="103">
        <v>45237</v>
      </c>
      <c r="D38" s="113" t="s">
        <v>64</v>
      </c>
    </row>
    <row r="39" spans="2:4">
      <c r="B39" s="112">
        <v>0.51</v>
      </c>
      <c r="C39" s="103">
        <v>45238</v>
      </c>
      <c r="D39" s="113" t="s">
        <v>65</v>
      </c>
    </row>
    <row r="40" spans="2:4" ht="93.6">
      <c r="B40" s="112">
        <v>0.52</v>
      </c>
      <c r="C40" s="103">
        <v>45240</v>
      </c>
      <c r="D40" s="115" t="s">
        <v>840</v>
      </c>
    </row>
    <row r="41" spans="2:4" ht="62.4">
      <c r="B41" s="112">
        <v>0.53</v>
      </c>
      <c r="C41" s="103">
        <v>45240</v>
      </c>
      <c r="D41" s="115" t="s">
        <v>987</v>
      </c>
    </row>
    <row r="42" spans="2:4" ht="31.2">
      <c r="B42" s="112">
        <v>0.54</v>
      </c>
      <c r="C42" s="103">
        <v>45241</v>
      </c>
      <c r="D42" s="115" t="s">
        <v>984</v>
      </c>
    </row>
    <row r="43" spans="2:4" ht="62.4">
      <c r="B43" s="112">
        <v>0.55000000000000004</v>
      </c>
      <c r="C43" s="103">
        <v>45243</v>
      </c>
      <c r="D43" s="115" t="s">
        <v>1002</v>
      </c>
    </row>
    <row r="44" spans="2:4" ht="156">
      <c r="B44" s="112">
        <v>0.56000000000000005</v>
      </c>
      <c r="C44" s="103">
        <v>45246</v>
      </c>
      <c r="D44" s="115" t="s">
        <v>1013</v>
      </c>
    </row>
    <row r="45" spans="2:4" ht="31.2">
      <c r="B45" s="112">
        <v>0.56999999999999995</v>
      </c>
      <c r="C45" s="103">
        <v>45250</v>
      </c>
      <c r="D45" s="115" t="s">
        <v>1019</v>
      </c>
    </row>
    <row r="46" spans="2:4">
      <c r="B46" s="112">
        <v>0.57999999999999996</v>
      </c>
      <c r="C46" s="103">
        <v>45251</v>
      </c>
      <c r="D46" s="116" t="s">
        <v>1022</v>
      </c>
    </row>
    <row r="47" spans="2:4" ht="31.2">
      <c r="B47" s="112">
        <v>0.59</v>
      </c>
      <c r="C47" s="103">
        <v>45251</v>
      </c>
      <c r="D47" s="115" t="s">
        <v>1098</v>
      </c>
    </row>
    <row r="48" spans="2:4" ht="31.2">
      <c r="B48" s="112">
        <v>0.6</v>
      </c>
      <c r="C48" s="103">
        <v>45252</v>
      </c>
      <c r="D48" s="115" t="s">
        <v>1107</v>
      </c>
    </row>
    <row r="49" spans="2:4" ht="31.2">
      <c r="B49" s="112">
        <v>0.61</v>
      </c>
      <c r="C49" s="103">
        <v>45253</v>
      </c>
      <c r="D49" s="115" t="s">
        <v>1116</v>
      </c>
    </row>
    <row r="50" spans="2:4" ht="31.2">
      <c r="B50" s="112">
        <v>0.62</v>
      </c>
      <c r="C50" s="103">
        <v>45254</v>
      </c>
      <c r="D50" s="115" t="s">
        <v>1124</v>
      </c>
    </row>
    <row r="51" spans="2:4" ht="46.8">
      <c r="B51" s="112">
        <v>0.63</v>
      </c>
      <c r="C51" s="103">
        <v>45255</v>
      </c>
      <c r="D51" s="110" t="s">
        <v>1140</v>
      </c>
    </row>
    <row r="52" spans="2:4" ht="62.4">
      <c r="B52" s="112">
        <v>0.64</v>
      </c>
      <c r="C52" s="103">
        <v>45257</v>
      </c>
      <c r="D52" s="110" t="s">
        <v>1153</v>
      </c>
    </row>
    <row r="53" spans="2:4" ht="31.2">
      <c r="B53" s="112">
        <v>0.65</v>
      </c>
      <c r="C53" s="103">
        <v>45257</v>
      </c>
      <c r="D53" s="110" t="s">
        <v>1156</v>
      </c>
    </row>
    <row r="54" spans="2:4" ht="31.2">
      <c r="B54" s="112">
        <v>0.66</v>
      </c>
      <c r="C54" s="103">
        <v>45259</v>
      </c>
      <c r="D54" s="110" t="s">
        <v>1157</v>
      </c>
    </row>
    <row r="55" spans="2:4" ht="31.2">
      <c r="B55" s="112">
        <v>0.67</v>
      </c>
      <c r="C55" s="103">
        <v>45260</v>
      </c>
      <c r="D55" s="110" t="s">
        <v>1174</v>
      </c>
    </row>
    <row r="56" spans="2:4" ht="46.8">
      <c r="B56" s="112">
        <v>0.68</v>
      </c>
      <c r="C56" s="103">
        <v>45265</v>
      </c>
      <c r="D56" s="110" t="s">
        <v>1184</v>
      </c>
    </row>
    <row r="57" spans="2:4" ht="31.2">
      <c r="B57" s="112">
        <v>0.69</v>
      </c>
      <c r="C57" s="103">
        <v>45266</v>
      </c>
      <c r="D57" s="110" t="s">
        <v>1187</v>
      </c>
    </row>
    <row r="58" spans="2:4" ht="31.2">
      <c r="B58" s="112">
        <v>0.7</v>
      </c>
      <c r="C58" s="103">
        <v>45272</v>
      </c>
      <c r="D58" s="110" t="s">
        <v>1223</v>
      </c>
    </row>
    <row r="59" spans="2:4" ht="31.2">
      <c r="B59" s="112">
        <v>0.71</v>
      </c>
      <c r="C59" s="103">
        <v>45276</v>
      </c>
      <c r="D59" s="110" t="s">
        <v>1225</v>
      </c>
    </row>
    <row r="60" spans="2:4" ht="31.2">
      <c r="B60" s="112">
        <v>0.72</v>
      </c>
      <c r="C60" s="103">
        <v>45281</v>
      </c>
      <c r="D60" s="110" t="s">
        <v>1230</v>
      </c>
    </row>
    <row r="61" spans="2:4" ht="93.6">
      <c r="B61" s="112">
        <v>0.73</v>
      </c>
      <c r="C61" s="103">
        <v>45302</v>
      </c>
      <c r="D61" s="110" t="s">
        <v>1238</v>
      </c>
    </row>
    <row r="62" spans="2:4">
      <c r="B62" s="112">
        <v>0.74</v>
      </c>
      <c r="C62" s="103">
        <v>45306</v>
      </c>
      <c r="D62" s="113" t="s">
        <v>1239</v>
      </c>
    </row>
    <row r="63" spans="2:4">
      <c r="B63" s="112">
        <v>0.75</v>
      </c>
      <c r="C63" s="103">
        <v>45309</v>
      </c>
      <c r="D63" s="113" t="s">
        <v>1251</v>
      </c>
    </row>
    <row r="64" spans="2:4">
      <c r="B64" s="112">
        <v>0.76</v>
      </c>
      <c r="C64" s="103">
        <v>45317</v>
      </c>
      <c r="D64" s="113" t="s">
        <v>1255</v>
      </c>
    </row>
    <row r="65" spans="2:4" ht="124.8">
      <c r="B65" s="162" t="s">
        <v>1364</v>
      </c>
      <c r="C65" s="103">
        <v>45712</v>
      </c>
      <c r="D65" s="110" t="s">
        <v>1365</v>
      </c>
    </row>
    <row r="66" spans="2:4" ht="31.2">
      <c r="B66" s="162" t="s">
        <v>1364</v>
      </c>
      <c r="C66" s="103">
        <v>45737</v>
      </c>
      <c r="D66" s="110" t="s">
        <v>1368</v>
      </c>
    </row>
  </sheetData>
  <phoneticPr fontId="3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R56"/>
  <sheetViews>
    <sheetView zoomScale="85" zoomScaleNormal="85" workbookViewId="0">
      <pane ySplit="1" topLeftCell="A38" activePane="bottomLeft" state="frozen"/>
      <selection pane="bottomLeft" activeCell="I65" sqref="I65"/>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5" customWidth="1"/>
    <col min="9" max="9" width="172.44140625" style="37" customWidth="1"/>
    <col min="10" max="10" width="15.44140625" style="46"/>
    <col min="11" max="16384" width="15.44140625" style="36"/>
  </cols>
  <sheetData>
    <row r="1" spans="1:10">
      <c r="A1" s="38" t="s">
        <v>66</v>
      </c>
      <c r="B1" s="39" t="s">
        <v>67</v>
      </c>
      <c r="C1" s="39" t="s">
        <v>68</v>
      </c>
      <c r="D1" s="39" t="s">
        <v>69</v>
      </c>
      <c r="E1" s="39" t="s">
        <v>70</v>
      </c>
      <c r="F1" s="119" t="s">
        <v>71</v>
      </c>
      <c r="G1" s="121" t="s">
        <v>72</v>
      </c>
      <c r="H1" s="39" t="s">
        <v>73</v>
      </c>
      <c r="I1" s="45" t="s">
        <v>74</v>
      </c>
    </row>
    <row r="2" spans="1:10" ht="46.8">
      <c r="A2" s="41" t="s">
        <v>75</v>
      </c>
      <c r="B2" s="42">
        <v>1</v>
      </c>
      <c r="C2" s="42">
        <f t="shared" ref="C2:C11" si="0">D2+B2-1</f>
        <v>0</v>
      </c>
      <c r="D2" s="42">
        <v>0</v>
      </c>
      <c r="E2" s="42">
        <f t="shared" ref="E2:E13" si="1">ROUNDDOWN(C2/32,0)</f>
        <v>0</v>
      </c>
      <c r="F2" s="120">
        <f t="shared" ref="F2:F13" si="2">C2-E2*32</f>
        <v>0</v>
      </c>
      <c r="G2" s="122">
        <f>D2-E2*32</f>
        <v>0</v>
      </c>
      <c r="H2" s="42" t="s">
        <v>73</v>
      </c>
      <c r="I2" s="48" t="s">
        <v>76</v>
      </c>
    </row>
    <row r="3" spans="1:10" ht="46.8">
      <c r="A3" s="41" t="s">
        <v>77</v>
      </c>
      <c r="B3" s="42">
        <v>1</v>
      </c>
      <c r="C3" s="42">
        <f t="shared" ca="1" si="0"/>
        <v>1</v>
      </c>
      <c r="D3" s="42">
        <f t="shared" ref="D3:D13" ca="1" si="3">INDIRECT(ADDRESS(ROW()-1,COLUMN()-1))+1</f>
        <v>1</v>
      </c>
      <c r="E3" s="42">
        <f t="shared" ca="1" si="1"/>
        <v>0</v>
      </c>
      <c r="F3" s="120">
        <f t="shared" ca="1" si="2"/>
        <v>1</v>
      </c>
      <c r="G3" s="122">
        <f ca="1">D3-E3*32</f>
        <v>1</v>
      </c>
      <c r="H3" s="42" t="s">
        <v>73</v>
      </c>
      <c r="I3" s="48" t="s">
        <v>78</v>
      </c>
    </row>
    <row r="4" spans="1:10" ht="46.8">
      <c r="A4" s="41" t="s">
        <v>79</v>
      </c>
      <c r="B4" s="42">
        <v>1</v>
      </c>
      <c r="C4" s="42">
        <f t="shared" ca="1" si="0"/>
        <v>2</v>
      </c>
      <c r="D4" s="42">
        <f t="shared" ca="1" si="3"/>
        <v>2</v>
      </c>
      <c r="E4" s="42">
        <f t="shared" ca="1" si="1"/>
        <v>0</v>
      </c>
      <c r="F4" s="120">
        <f t="shared" ca="1" si="2"/>
        <v>2</v>
      </c>
      <c r="G4" s="122">
        <f t="shared" ref="G4:G24" ca="1" si="4">D4-E4*32</f>
        <v>2</v>
      </c>
      <c r="H4" s="42" t="s">
        <v>73</v>
      </c>
      <c r="I4" s="48" t="s">
        <v>80</v>
      </c>
    </row>
    <row r="5" spans="1:10" ht="31.2">
      <c r="A5" s="41" t="s">
        <v>81</v>
      </c>
      <c r="B5" s="42">
        <v>1</v>
      </c>
      <c r="C5" s="42">
        <f t="shared" ca="1" si="0"/>
        <v>3</v>
      </c>
      <c r="D5" s="42">
        <f t="shared" ca="1" si="3"/>
        <v>3</v>
      </c>
      <c r="E5" s="42">
        <f t="shared" ca="1" si="1"/>
        <v>0</v>
      </c>
      <c r="F5" s="120">
        <f t="shared" ca="1" si="2"/>
        <v>3</v>
      </c>
      <c r="G5" s="122">
        <f t="shared" ca="1" si="4"/>
        <v>3</v>
      </c>
      <c r="H5" s="42" t="s">
        <v>73</v>
      </c>
      <c r="I5" s="48" t="s">
        <v>82</v>
      </c>
    </row>
    <row r="6" spans="1:10" ht="46.8">
      <c r="A6" s="41" t="s">
        <v>83</v>
      </c>
      <c r="B6" s="42">
        <v>1</v>
      </c>
      <c r="C6" s="42">
        <f t="shared" ca="1" si="0"/>
        <v>4</v>
      </c>
      <c r="D6" s="42">
        <f t="shared" ca="1" si="3"/>
        <v>4</v>
      </c>
      <c r="E6" s="42">
        <f t="shared" ca="1" si="1"/>
        <v>0</v>
      </c>
      <c r="F6" s="120">
        <f t="shared" ca="1" si="2"/>
        <v>4</v>
      </c>
      <c r="G6" s="122">
        <f t="shared" ca="1" si="4"/>
        <v>4</v>
      </c>
      <c r="H6" s="42" t="s">
        <v>73</v>
      </c>
      <c r="I6" s="48" t="s">
        <v>84</v>
      </c>
    </row>
    <row r="7" spans="1:10" ht="46.8">
      <c r="A7" s="41" t="s">
        <v>85</v>
      </c>
      <c r="B7" s="42">
        <v>1</v>
      </c>
      <c r="C7" s="42">
        <f t="shared" ca="1" si="0"/>
        <v>5</v>
      </c>
      <c r="D7" s="42">
        <f t="shared" ca="1" si="3"/>
        <v>5</v>
      </c>
      <c r="E7" s="42">
        <f t="shared" ca="1" si="1"/>
        <v>0</v>
      </c>
      <c r="F7" s="120">
        <f t="shared" ca="1" si="2"/>
        <v>5</v>
      </c>
      <c r="G7" s="122">
        <f t="shared" ca="1" si="4"/>
        <v>5</v>
      </c>
      <c r="H7" s="42" t="s">
        <v>73</v>
      </c>
      <c r="I7" s="48" t="s">
        <v>86</v>
      </c>
    </row>
    <row r="8" spans="1:10">
      <c r="A8" s="41" t="s">
        <v>87</v>
      </c>
      <c r="B8" s="42">
        <v>2</v>
      </c>
      <c r="C8" s="42">
        <v>7</v>
      </c>
      <c r="D8" s="42">
        <f t="shared" ca="1" si="3"/>
        <v>6</v>
      </c>
      <c r="E8" s="42">
        <f t="shared" si="1"/>
        <v>0</v>
      </c>
      <c r="F8" s="120">
        <f t="shared" si="2"/>
        <v>7</v>
      </c>
      <c r="G8" s="122">
        <f t="shared" ca="1" si="4"/>
        <v>6</v>
      </c>
      <c r="H8" s="42" t="s">
        <v>88</v>
      </c>
      <c r="I8" s="48" t="s">
        <v>87</v>
      </c>
    </row>
    <row r="9" spans="1:10">
      <c r="A9" s="41" t="s">
        <v>1234</v>
      </c>
      <c r="B9" s="42">
        <v>1</v>
      </c>
      <c r="C9" s="42">
        <f t="shared" si="0"/>
        <v>8</v>
      </c>
      <c r="D9" s="42">
        <v>8</v>
      </c>
      <c r="E9" s="42">
        <v>0</v>
      </c>
      <c r="F9" s="120">
        <v>8</v>
      </c>
      <c r="G9" s="122">
        <v>8</v>
      </c>
      <c r="H9" s="42" t="s">
        <v>1235</v>
      </c>
      <c r="I9" s="48"/>
    </row>
    <row r="10" spans="1:10">
      <c r="A10" s="41" t="s">
        <v>1236</v>
      </c>
      <c r="B10" s="42">
        <v>1</v>
      </c>
      <c r="C10" s="42">
        <f t="shared" si="0"/>
        <v>9</v>
      </c>
      <c r="D10" s="42">
        <v>9</v>
      </c>
      <c r="E10" s="42">
        <v>0</v>
      </c>
      <c r="F10" s="120">
        <v>9</v>
      </c>
      <c r="G10" s="122">
        <v>9</v>
      </c>
      <c r="H10" s="42" t="s">
        <v>1235</v>
      </c>
      <c r="I10" s="48"/>
    </row>
    <row r="11" spans="1:10">
      <c r="A11" s="41" t="s">
        <v>1237</v>
      </c>
      <c r="B11" s="42">
        <v>1</v>
      </c>
      <c r="C11" s="42">
        <f t="shared" si="0"/>
        <v>10</v>
      </c>
      <c r="D11" s="42">
        <v>10</v>
      </c>
      <c r="E11" s="42">
        <v>0</v>
      </c>
      <c r="F11" s="120">
        <v>10</v>
      </c>
      <c r="G11" s="122">
        <v>10</v>
      </c>
      <c r="H11" s="42" t="s">
        <v>1235</v>
      </c>
      <c r="I11" s="48"/>
    </row>
    <row r="12" spans="1:10">
      <c r="A12" s="41" t="s">
        <v>1240</v>
      </c>
      <c r="B12" s="42">
        <v>1</v>
      </c>
      <c r="C12" s="42">
        <v>11</v>
      </c>
      <c r="D12" s="42">
        <v>11</v>
      </c>
      <c r="E12" s="42">
        <v>0</v>
      </c>
      <c r="F12" s="120">
        <v>11</v>
      </c>
      <c r="G12" s="122">
        <v>11</v>
      </c>
      <c r="H12" s="42" t="s">
        <v>989</v>
      </c>
      <c r="I12" s="48"/>
    </row>
    <row r="13" spans="1:10">
      <c r="A13" s="41" t="s">
        <v>89</v>
      </c>
      <c r="B13" s="42">
        <v>20</v>
      </c>
      <c r="C13" s="42">
        <v>31</v>
      </c>
      <c r="D13" s="42">
        <f t="shared" ca="1" si="3"/>
        <v>12</v>
      </c>
      <c r="E13" s="42">
        <f t="shared" si="1"/>
        <v>0</v>
      </c>
      <c r="F13" s="120">
        <f t="shared" si="2"/>
        <v>31</v>
      </c>
      <c r="G13" s="122">
        <f t="shared" ca="1" si="4"/>
        <v>12</v>
      </c>
      <c r="H13" s="42" t="s">
        <v>88</v>
      </c>
      <c r="I13" s="48" t="s">
        <v>87</v>
      </c>
    </row>
    <row r="14" spans="1:10" ht="93.6">
      <c r="A14" s="41" t="s">
        <v>90</v>
      </c>
      <c r="B14" s="42">
        <v>5</v>
      </c>
      <c r="C14" s="42">
        <f t="shared" ref="C14:C19" ca="1" si="5">D14+B14-1</f>
        <v>36</v>
      </c>
      <c r="D14" s="42">
        <f t="shared" ref="D14:D19" ca="1" si="6">INDIRECT(ADDRESS(ROW()-1,COLUMN()-1))+1</f>
        <v>32</v>
      </c>
      <c r="E14" s="42">
        <f t="shared" ref="E14:E19" ca="1" si="7">ROUNDDOWN(C14/32,0)</f>
        <v>1</v>
      </c>
      <c r="F14" s="120">
        <f t="shared" ref="F14:F19" ca="1" si="8">C14-E14*32</f>
        <v>4</v>
      </c>
      <c r="G14" s="122">
        <f t="shared" ca="1" si="4"/>
        <v>0</v>
      </c>
      <c r="H14" s="42" t="s">
        <v>73</v>
      </c>
      <c r="I14" s="48" t="s">
        <v>1281</v>
      </c>
      <c r="J14" s="36"/>
    </row>
    <row r="15" spans="1:10" ht="78">
      <c r="A15" s="41" t="s">
        <v>91</v>
      </c>
      <c r="B15" s="42">
        <v>3</v>
      </c>
      <c r="C15" s="42">
        <f t="shared" ca="1" si="5"/>
        <v>39</v>
      </c>
      <c r="D15" s="42">
        <f t="shared" ca="1" si="6"/>
        <v>37</v>
      </c>
      <c r="E15" s="42">
        <f t="shared" ca="1" si="7"/>
        <v>1</v>
      </c>
      <c r="F15" s="120">
        <f t="shared" ca="1" si="8"/>
        <v>7</v>
      </c>
      <c r="G15" s="122">
        <f t="shared" ca="1" si="4"/>
        <v>5</v>
      </c>
      <c r="H15" s="42" t="s">
        <v>73</v>
      </c>
      <c r="I15" s="48" t="s">
        <v>92</v>
      </c>
      <c r="J15" s="36"/>
    </row>
    <row r="16" spans="1:10" ht="31.2">
      <c r="A16" s="41" t="s">
        <v>93</v>
      </c>
      <c r="B16" s="42">
        <v>1</v>
      </c>
      <c r="C16" s="42">
        <f t="shared" ca="1" si="5"/>
        <v>40</v>
      </c>
      <c r="D16" s="42">
        <f t="shared" ca="1" si="6"/>
        <v>40</v>
      </c>
      <c r="E16" s="42">
        <f t="shared" ca="1" si="7"/>
        <v>1</v>
      </c>
      <c r="F16" s="120">
        <f t="shared" ca="1" si="8"/>
        <v>8</v>
      </c>
      <c r="G16" s="122">
        <f t="shared" ca="1" si="4"/>
        <v>8</v>
      </c>
      <c r="H16" s="42" t="s">
        <v>73</v>
      </c>
      <c r="I16" s="48" t="s">
        <v>94</v>
      </c>
      <c r="J16" s="36"/>
    </row>
    <row r="17" spans="1:10" ht="171.6">
      <c r="A17" s="41" t="s">
        <v>96</v>
      </c>
      <c r="B17" s="42">
        <v>4</v>
      </c>
      <c r="C17" s="42">
        <f t="shared" ca="1" si="5"/>
        <v>44</v>
      </c>
      <c r="D17" s="42">
        <f t="shared" ca="1" si="6"/>
        <v>41</v>
      </c>
      <c r="E17" s="42">
        <f t="shared" ca="1" si="7"/>
        <v>1</v>
      </c>
      <c r="F17" s="120">
        <f t="shared" ca="1" si="8"/>
        <v>12</v>
      </c>
      <c r="G17" s="122">
        <f t="shared" ca="1" si="4"/>
        <v>9</v>
      </c>
      <c r="H17" s="42" t="s">
        <v>73</v>
      </c>
      <c r="I17" s="48" t="s">
        <v>1282</v>
      </c>
      <c r="J17" s="36"/>
    </row>
    <row r="18" spans="1:10">
      <c r="A18" s="41" t="s">
        <v>87</v>
      </c>
      <c r="B18" s="42">
        <v>3</v>
      </c>
      <c r="C18" s="42">
        <f t="shared" ca="1" si="5"/>
        <v>47</v>
      </c>
      <c r="D18" s="42">
        <f t="shared" ca="1" si="6"/>
        <v>45</v>
      </c>
      <c r="E18" s="42">
        <f t="shared" ca="1" si="7"/>
        <v>1</v>
      </c>
      <c r="F18" s="120">
        <f t="shared" ca="1" si="8"/>
        <v>15</v>
      </c>
      <c r="G18" s="122">
        <f t="shared" ca="1" si="4"/>
        <v>13</v>
      </c>
      <c r="H18" s="42" t="s">
        <v>88</v>
      </c>
      <c r="I18" s="48" t="s">
        <v>87</v>
      </c>
      <c r="J18" s="36"/>
    </row>
    <row r="19" spans="1:10">
      <c r="A19" s="41" t="s">
        <v>87</v>
      </c>
      <c r="B19" s="42">
        <v>16</v>
      </c>
      <c r="C19" s="42">
        <f t="shared" ca="1" si="5"/>
        <v>63</v>
      </c>
      <c r="D19" s="42">
        <f t="shared" ca="1" si="6"/>
        <v>48</v>
      </c>
      <c r="E19" s="42">
        <f t="shared" ca="1" si="7"/>
        <v>1</v>
      </c>
      <c r="F19" s="120">
        <f t="shared" ca="1" si="8"/>
        <v>31</v>
      </c>
      <c r="G19" s="122">
        <f t="shared" ca="1" si="4"/>
        <v>16</v>
      </c>
      <c r="H19" s="42" t="s">
        <v>88</v>
      </c>
      <c r="I19" s="48" t="s">
        <v>561</v>
      </c>
      <c r="J19" s="36"/>
    </row>
    <row r="20" spans="1:10" ht="31.2">
      <c r="A20" s="41" t="s">
        <v>97</v>
      </c>
      <c r="B20" s="42">
        <v>17</v>
      </c>
      <c r="C20" s="42">
        <f t="shared" ref="C20:C51" ca="1" si="9">D20+B20-1</f>
        <v>80</v>
      </c>
      <c r="D20" s="42">
        <f t="shared" ref="D20:D51" ca="1" si="10">INDIRECT(ADDRESS(ROW()-1,COLUMN()-1))+1</f>
        <v>64</v>
      </c>
      <c r="E20" s="42">
        <f t="shared" ref="E20:E51" ca="1" si="11">ROUNDDOWN(C20/32,0)</f>
        <v>2</v>
      </c>
      <c r="F20" s="120">
        <f t="shared" ref="F20:F51" ca="1" si="12">C20-E20*32</f>
        <v>16</v>
      </c>
      <c r="G20" s="122">
        <f t="shared" ca="1" si="4"/>
        <v>0</v>
      </c>
      <c r="H20" s="42" t="s">
        <v>73</v>
      </c>
      <c r="I20" s="48" t="s">
        <v>1283</v>
      </c>
      <c r="J20" s="36"/>
    </row>
    <row r="21" spans="1:10">
      <c r="A21" s="41" t="s">
        <v>87</v>
      </c>
      <c r="B21" s="42">
        <v>6</v>
      </c>
      <c r="C21" s="42">
        <v>86</v>
      </c>
      <c r="D21" s="42">
        <v>81</v>
      </c>
      <c r="E21" s="42">
        <f t="shared" si="11"/>
        <v>2</v>
      </c>
      <c r="F21" s="120">
        <v>22</v>
      </c>
      <c r="G21" s="122">
        <f t="shared" si="4"/>
        <v>17</v>
      </c>
      <c r="H21" s="42" t="s">
        <v>988</v>
      </c>
      <c r="I21" s="48" t="s">
        <v>87</v>
      </c>
      <c r="J21" s="36"/>
    </row>
    <row r="22" spans="1:10">
      <c r="A22" s="41" t="s">
        <v>979</v>
      </c>
      <c r="B22" s="42">
        <v>1</v>
      </c>
      <c r="C22" s="42">
        <v>87</v>
      </c>
      <c r="D22" s="42">
        <v>87</v>
      </c>
      <c r="E22" s="42">
        <v>2</v>
      </c>
      <c r="F22" s="120">
        <v>23</v>
      </c>
      <c r="G22" s="122">
        <v>23</v>
      </c>
      <c r="H22" s="42" t="s">
        <v>989</v>
      </c>
      <c r="I22" s="48" t="s">
        <v>990</v>
      </c>
      <c r="J22" s="36"/>
    </row>
    <row r="23" spans="1:10">
      <c r="A23" s="41" t="s">
        <v>87</v>
      </c>
      <c r="B23" s="42">
        <v>8</v>
      </c>
      <c r="C23" s="42">
        <f t="shared" ca="1" si="9"/>
        <v>95</v>
      </c>
      <c r="D23" s="42">
        <f t="shared" ca="1" si="10"/>
        <v>88</v>
      </c>
      <c r="E23" s="42">
        <f t="shared" ca="1" si="11"/>
        <v>2</v>
      </c>
      <c r="F23" s="120">
        <v>31</v>
      </c>
      <c r="G23" s="122">
        <f t="shared" ca="1" si="4"/>
        <v>24</v>
      </c>
      <c r="H23" s="42" t="s">
        <v>88</v>
      </c>
      <c r="I23" s="48" t="s">
        <v>87</v>
      </c>
      <c r="J23" s="36"/>
    </row>
    <row r="24" spans="1:10" ht="15.9" customHeight="1">
      <c r="A24" s="41" t="s">
        <v>98</v>
      </c>
      <c r="B24" s="42">
        <v>32</v>
      </c>
      <c r="C24" s="42">
        <f t="shared" ca="1" si="9"/>
        <v>127</v>
      </c>
      <c r="D24" s="42">
        <f t="shared" ca="1" si="10"/>
        <v>96</v>
      </c>
      <c r="E24" s="42">
        <f t="shared" ca="1" si="11"/>
        <v>3</v>
      </c>
      <c r="F24" s="120">
        <f t="shared" ca="1" si="12"/>
        <v>31</v>
      </c>
      <c r="G24" s="122">
        <f t="shared" ca="1" si="4"/>
        <v>0</v>
      </c>
      <c r="H24" s="42" t="s">
        <v>73</v>
      </c>
      <c r="I24" s="48" t="s">
        <v>99</v>
      </c>
      <c r="J24" s="36"/>
    </row>
    <row r="25" spans="1:10">
      <c r="A25" s="41" t="s">
        <v>100</v>
      </c>
      <c r="B25" s="42">
        <v>32</v>
      </c>
      <c r="C25" s="42">
        <f t="shared" ca="1" si="9"/>
        <v>159</v>
      </c>
      <c r="D25" s="42">
        <f t="shared" ca="1" si="10"/>
        <v>128</v>
      </c>
      <c r="E25" s="42">
        <f t="shared" ca="1" si="11"/>
        <v>4</v>
      </c>
      <c r="F25" s="120">
        <f t="shared" ca="1" si="12"/>
        <v>31</v>
      </c>
      <c r="G25" s="122">
        <f t="shared" ref="G25:G51" ca="1" si="13">D25-E25*32</f>
        <v>0</v>
      </c>
      <c r="H25" s="42" t="s">
        <v>73</v>
      </c>
      <c r="I25" s="48" t="s">
        <v>101</v>
      </c>
      <c r="J25" s="36"/>
    </row>
    <row r="26" spans="1:10">
      <c r="A26" s="41" t="s">
        <v>102</v>
      </c>
      <c r="B26" s="42">
        <v>32</v>
      </c>
      <c r="C26" s="42">
        <f t="shared" ca="1" si="9"/>
        <v>191</v>
      </c>
      <c r="D26" s="42">
        <f t="shared" ca="1" si="10"/>
        <v>160</v>
      </c>
      <c r="E26" s="42">
        <f t="shared" ca="1" si="11"/>
        <v>5</v>
      </c>
      <c r="F26" s="120">
        <f t="shared" ca="1" si="12"/>
        <v>31</v>
      </c>
      <c r="G26" s="122">
        <f t="shared" ca="1" si="13"/>
        <v>0</v>
      </c>
      <c r="H26" s="42" t="s">
        <v>73</v>
      </c>
      <c r="I26" s="48" t="s">
        <v>103</v>
      </c>
      <c r="J26" s="36"/>
    </row>
    <row r="27" spans="1:10">
      <c r="A27" s="41" t="s">
        <v>104</v>
      </c>
      <c r="B27" s="42">
        <v>32</v>
      </c>
      <c r="C27" s="42">
        <f t="shared" ca="1" si="9"/>
        <v>223</v>
      </c>
      <c r="D27" s="42">
        <f t="shared" ca="1" si="10"/>
        <v>192</v>
      </c>
      <c r="E27" s="42">
        <f t="shared" ca="1" si="11"/>
        <v>6</v>
      </c>
      <c r="F27" s="120">
        <f t="shared" ca="1" si="12"/>
        <v>31</v>
      </c>
      <c r="G27" s="122">
        <f t="shared" ca="1" si="13"/>
        <v>0</v>
      </c>
      <c r="H27" s="42" t="s">
        <v>73</v>
      </c>
      <c r="I27" s="48" t="s">
        <v>105</v>
      </c>
      <c r="J27" s="36"/>
    </row>
    <row r="28" spans="1:10">
      <c r="A28" s="41" t="s">
        <v>106</v>
      </c>
      <c r="B28" s="42">
        <v>32</v>
      </c>
      <c r="C28" s="42">
        <f t="shared" ca="1" si="9"/>
        <v>255</v>
      </c>
      <c r="D28" s="42">
        <f t="shared" ca="1" si="10"/>
        <v>224</v>
      </c>
      <c r="E28" s="42">
        <f t="shared" ca="1" si="11"/>
        <v>7</v>
      </c>
      <c r="F28" s="120">
        <f t="shared" ca="1" si="12"/>
        <v>31</v>
      </c>
      <c r="G28" s="122">
        <f t="shared" ca="1" si="13"/>
        <v>0</v>
      </c>
      <c r="H28" s="42" t="s">
        <v>73</v>
      </c>
      <c r="I28" s="48" t="s">
        <v>107</v>
      </c>
      <c r="J28" s="36"/>
    </row>
    <row r="29" spans="1:10">
      <c r="A29" s="41" t="s">
        <v>108</v>
      </c>
      <c r="B29" s="42">
        <v>32</v>
      </c>
      <c r="C29" s="42">
        <f t="shared" ca="1" si="9"/>
        <v>287</v>
      </c>
      <c r="D29" s="42">
        <f t="shared" ca="1" si="10"/>
        <v>256</v>
      </c>
      <c r="E29" s="42">
        <f t="shared" ca="1" si="11"/>
        <v>8</v>
      </c>
      <c r="F29" s="120">
        <f t="shared" ca="1" si="12"/>
        <v>31</v>
      </c>
      <c r="G29" s="122">
        <f t="shared" ca="1" si="13"/>
        <v>0</v>
      </c>
      <c r="H29" s="42" t="s">
        <v>73</v>
      </c>
      <c r="I29" s="48" t="s">
        <v>109</v>
      </c>
      <c r="J29" s="36"/>
    </row>
    <row r="30" spans="1:10">
      <c r="A30" s="41" t="s">
        <v>110</v>
      </c>
      <c r="B30" s="42">
        <v>32</v>
      </c>
      <c r="C30" s="42">
        <f t="shared" ca="1" si="9"/>
        <v>319</v>
      </c>
      <c r="D30" s="42">
        <f t="shared" ca="1" si="10"/>
        <v>288</v>
      </c>
      <c r="E30" s="42">
        <f t="shared" ca="1" si="11"/>
        <v>9</v>
      </c>
      <c r="F30" s="120">
        <f t="shared" ca="1" si="12"/>
        <v>31</v>
      </c>
      <c r="G30" s="122">
        <f t="shared" ca="1" si="13"/>
        <v>0</v>
      </c>
      <c r="H30" s="42" t="s">
        <v>73</v>
      </c>
      <c r="I30" s="48" t="s">
        <v>111</v>
      </c>
      <c r="J30" s="36"/>
    </row>
    <row r="31" spans="1:10">
      <c r="A31" s="41" t="s">
        <v>112</v>
      </c>
      <c r="B31" s="42">
        <v>32</v>
      </c>
      <c r="C31" s="42">
        <f t="shared" ca="1" si="9"/>
        <v>351</v>
      </c>
      <c r="D31" s="42">
        <f t="shared" ca="1" si="10"/>
        <v>320</v>
      </c>
      <c r="E31" s="42">
        <f t="shared" ca="1" si="11"/>
        <v>10</v>
      </c>
      <c r="F31" s="120">
        <f t="shared" ca="1" si="12"/>
        <v>31</v>
      </c>
      <c r="G31" s="122">
        <f t="shared" ca="1" si="13"/>
        <v>0</v>
      </c>
      <c r="H31" s="42" t="s">
        <v>73</v>
      </c>
      <c r="I31" s="48" t="s">
        <v>113</v>
      </c>
      <c r="J31" s="36"/>
    </row>
    <row r="32" spans="1:10">
      <c r="A32" s="41" t="s">
        <v>114</v>
      </c>
      <c r="B32" s="42">
        <v>32</v>
      </c>
      <c r="C32" s="42">
        <f t="shared" ca="1" si="9"/>
        <v>383</v>
      </c>
      <c r="D32" s="42">
        <f t="shared" ca="1" si="10"/>
        <v>352</v>
      </c>
      <c r="E32" s="42">
        <f t="shared" ca="1" si="11"/>
        <v>11</v>
      </c>
      <c r="F32" s="120">
        <f t="shared" ca="1" si="12"/>
        <v>31</v>
      </c>
      <c r="G32" s="122">
        <f t="shared" ca="1" si="13"/>
        <v>0</v>
      </c>
      <c r="H32" s="42" t="s">
        <v>73</v>
      </c>
      <c r="I32" s="48" t="s">
        <v>115</v>
      </c>
      <c r="J32" s="36"/>
    </row>
    <row r="33" spans="1:122">
      <c r="A33" s="41" t="s">
        <v>116</v>
      </c>
      <c r="B33" s="42">
        <v>16</v>
      </c>
      <c r="C33" s="42">
        <f t="shared" ca="1" si="9"/>
        <v>399</v>
      </c>
      <c r="D33" s="42">
        <f t="shared" ca="1" si="10"/>
        <v>384</v>
      </c>
      <c r="E33" s="42">
        <f t="shared" ca="1" si="11"/>
        <v>12</v>
      </c>
      <c r="F33" s="120">
        <f t="shared" ca="1" si="12"/>
        <v>15</v>
      </c>
      <c r="G33" s="122">
        <f t="shared" ca="1" si="13"/>
        <v>0</v>
      </c>
      <c r="H33" s="42" t="s">
        <v>73</v>
      </c>
      <c r="I33" s="48" t="s">
        <v>117</v>
      </c>
      <c r="J33" s="36"/>
    </row>
    <row r="34" spans="1:122">
      <c r="A34" s="41" t="s">
        <v>118</v>
      </c>
      <c r="B34" s="42">
        <v>16</v>
      </c>
      <c r="C34" s="42">
        <f t="shared" ca="1" si="9"/>
        <v>415</v>
      </c>
      <c r="D34" s="42">
        <f t="shared" ca="1" si="10"/>
        <v>400</v>
      </c>
      <c r="E34" s="42">
        <f t="shared" ca="1" si="11"/>
        <v>12</v>
      </c>
      <c r="F34" s="120">
        <f t="shared" ca="1" si="12"/>
        <v>31</v>
      </c>
      <c r="G34" s="122">
        <f t="shared" ca="1" si="13"/>
        <v>16</v>
      </c>
      <c r="H34" s="42" t="s">
        <v>73</v>
      </c>
      <c r="I34" s="48" t="s">
        <v>119</v>
      </c>
      <c r="J34" s="36"/>
    </row>
    <row r="35" spans="1:122">
      <c r="A35" s="41" t="s">
        <v>120</v>
      </c>
      <c r="B35" s="42">
        <v>16</v>
      </c>
      <c r="C35" s="42">
        <f t="shared" ca="1" si="9"/>
        <v>431</v>
      </c>
      <c r="D35" s="42">
        <f t="shared" ca="1" si="10"/>
        <v>416</v>
      </c>
      <c r="E35" s="42">
        <f t="shared" ca="1" si="11"/>
        <v>13</v>
      </c>
      <c r="F35" s="120">
        <f t="shared" ca="1" si="12"/>
        <v>15</v>
      </c>
      <c r="G35" s="122">
        <f t="shared" ca="1" si="13"/>
        <v>0</v>
      </c>
      <c r="H35" s="42" t="s">
        <v>73</v>
      </c>
      <c r="I35" s="48" t="s">
        <v>121</v>
      </c>
      <c r="J35" s="36"/>
    </row>
    <row r="36" spans="1:122">
      <c r="A36" s="41" t="s">
        <v>122</v>
      </c>
      <c r="B36" s="42">
        <v>16</v>
      </c>
      <c r="C36" s="42">
        <f t="shared" ca="1" si="9"/>
        <v>447</v>
      </c>
      <c r="D36" s="42">
        <f t="shared" ca="1" si="10"/>
        <v>432</v>
      </c>
      <c r="E36" s="42">
        <f t="shared" ca="1" si="11"/>
        <v>13</v>
      </c>
      <c r="F36" s="120">
        <f t="shared" ca="1" si="12"/>
        <v>31</v>
      </c>
      <c r="G36" s="122">
        <f t="shared" ca="1" si="13"/>
        <v>16</v>
      </c>
      <c r="H36" s="42" t="s">
        <v>73</v>
      </c>
      <c r="I36" s="48" t="s">
        <v>123</v>
      </c>
      <c r="J36" s="36"/>
    </row>
    <row r="37" spans="1:122">
      <c r="A37" s="41" t="s">
        <v>124</v>
      </c>
      <c r="B37" s="42">
        <v>16</v>
      </c>
      <c r="C37" s="42">
        <f t="shared" ca="1" si="9"/>
        <v>463</v>
      </c>
      <c r="D37" s="42">
        <f t="shared" ca="1" si="10"/>
        <v>448</v>
      </c>
      <c r="E37" s="42">
        <f t="shared" ca="1" si="11"/>
        <v>14</v>
      </c>
      <c r="F37" s="120">
        <f t="shared" ca="1" si="12"/>
        <v>15</v>
      </c>
      <c r="G37" s="122">
        <f t="shared" ca="1" si="13"/>
        <v>0</v>
      </c>
      <c r="H37" s="42" t="s">
        <v>73</v>
      </c>
      <c r="I37" s="48" t="s">
        <v>125</v>
      </c>
      <c r="J37" s="36"/>
    </row>
    <row r="38" spans="1:122">
      <c r="A38" s="41" t="s">
        <v>126</v>
      </c>
      <c r="B38" s="42">
        <v>16</v>
      </c>
      <c r="C38" s="42">
        <f t="shared" ca="1" si="9"/>
        <v>479</v>
      </c>
      <c r="D38" s="42">
        <f t="shared" ca="1" si="10"/>
        <v>464</v>
      </c>
      <c r="E38" s="42">
        <f t="shared" ca="1" si="11"/>
        <v>14</v>
      </c>
      <c r="F38" s="120">
        <f t="shared" ca="1" si="12"/>
        <v>31</v>
      </c>
      <c r="G38" s="122">
        <f t="shared" ca="1" si="13"/>
        <v>16</v>
      </c>
      <c r="H38" s="42" t="s">
        <v>73</v>
      </c>
      <c r="I38" s="48" t="s">
        <v>127</v>
      </c>
      <c r="J38" s="36"/>
    </row>
    <row r="39" spans="1:122">
      <c r="A39" s="41" t="s">
        <v>128</v>
      </c>
      <c r="B39" s="42">
        <v>16</v>
      </c>
      <c r="C39" s="42">
        <f t="shared" ca="1" si="9"/>
        <v>495</v>
      </c>
      <c r="D39" s="42">
        <f t="shared" ca="1" si="10"/>
        <v>480</v>
      </c>
      <c r="E39" s="42">
        <f t="shared" ca="1" si="11"/>
        <v>15</v>
      </c>
      <c r="F39" s="120">
        <f t="shared" ca="1" si="12"/>
        <v>15</v>
      </c>
      <c r="G39" s="122">
        <f t="shared" ca="1" si="13"/>
        <v>0</v>
      </c>
      <c r="H39" s="42" t="s">
        <v>73</v>
      </c>
      <c r="I39" s="48" t="s">
        <v>129</v>
      </c>
      <c r="J39" s="36"/>
    </row>
    <row r="40" spans="1:122">
      <c r="A40" s="41" t="s">
        <v>130</v>
      </c>
      <c r="B40" s="42">
        <v>16</v>
      </c>
      <c r="C40" s="42">
        <f t="shared" ca="1" si="9"/>
        <v>511</v>
      </c>
      <c r="D40" s="42">
        <f t="shared" ca="1" si="10"/>
        <v>496</v>
      </c>
      <c r="E40" s="42">
        <f t="shared" ca="1" si="11"/>
        <v>15</v>
      </c>
      <c r="F40" s="120">
        <f t="shared" ca="1" si="12"/>
        <v>31</v>
      </c>
      <c r="G40" s="122">
        <f t="shared" ca="1" si="13"/>
        <v>16</v>
      </c>
      <c r="H40" s="42" t="s">
        <v>73</v>
      </c>
      <c r="I40" s="48" t="s">
        <v>131</v>
      </c>
      <c r="J40" s="36"/>
    </row>
    <row r="41" spans="1:122">
      <c r="A41" s="41" t="s">
        <v>132</v>
      </c>
      <c r="B41" s="42">
        <v>32</v>
      </c>
      <c r="C41" s="42">
        <f t="shared" ca="1" si="9"/>
        <v>543</v>
      </c>
      <c r="D41" s="42">
        <f t="shared" ca="1" si="10"/>
        <v>512</v>
      </c>
      <c r="E41" s="42">
        <f t="shared" ca="1" si="11"/>
        <v>16</v>
      </c>
      <c r="F41" s="120">
        <f t="shared" ca="1" si="12"/>
        <v>31</v>
      </c>
      <c r="G41" s="122">
        <f t="shared" ca="1" si="13"/>
        <v>0</v>
      </c>
      <c r="H41" s="42" t="s">
        <v>73</v>
      </c>
      <c r="I41" s="48" t="s">
        <v>133</v>
      </c>
      <c r="J41" s="36"/>
    </row>
    <row r="42" spans="1:122" s="124" customFormat="1" ht="280.8">
      <c r="A42" s="41" t="s">
        <v>134</v>
      </c>
      <c r="B42" s="60">
        <v>13</v>
      </c>
      <c r="C42" s="60">
        <v>556</v>
      </c>
      <c r="D42" s="60">
        <v>544</v>
      </c>
      <c r="E42" s="60">
        <v>17</v>
      </c>
      <c r="F42" s="127">
        <v>12</v>
      </c>
      <c r="G42" s="128">
        <v>0</v>
      </c>
      <c r="H42" s="60" t="s">
        <v>73</v>
      </c>
      <c r="I42" s="62" t="s">
        <v>1354</v>
      </c>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6"/>
      <c r="CR42" s="36"/>
      <c r="CS42" s="36"/>
      <c r="CT42" s="36"/>
      <c r="CU42" s="36"/>
      <c r="CV42" s="36"/>
      <c r="CW42" s="36"/>
      <c r="CX42" s="36"/>
      <c r="CY42" s="36"/>
      <c r="CZ42" s="36"/>
      <c r="DA42" s="36"/>
      <c r="DB42" s="36"/>
      <c r="DC42" s="36"/>
      <c r="DD42" s="36"/>
      <c r="DE42" s="36"/>
      <c r="DF42" s="36"/>
      <c r="DG42" s="36"/>
      <c r="DH42" s="36"/>
      <c r="DI42" s="36"/>
      <c r="DJ42" s="36"/>
      <c r="DK42" s="36"/>
      <c r="DL42" s="36"/>
      <c r="DM42" s="36"/>
      <c r="DN42" s="36"/>
      <c r="DO42" s="36"/>
      <c r="DP42" s="36"/>
      <c r="DQ42" s="36"/>
      <c r="DR42" s="36"/>
    </row>
    <row r="43" spans="1:122" s="124" customFormat="1">
      <c r="A43" s="41" t="s">
        <v>87</v>
      </c>
      <c r="B43" s="60">
        <v>19</v>
      </c>
      <c r="C43" s="60">
        <f t="shared" ca="1" si="9"/>
        <v>575</v>
      </c>
      <c r="D43" s="60">
        <f t="shared" ca="1" si="10"/>
        <v>557</v>
      </c>
      <c r="E43" s="60">
        <f t="shared" ca="1" si="11"/>
        <v>17</v>
      </c>
      <c r="F43" s="127">
        <f t="shared" ca="1" si="12"/>
        <v>31</v>
      </c>
      <c r="G43" s="128">
        <f t="shared" ca="1" si="13"/>
        <v>13</v>
      </c>
      <c r="H43" s="60" t="s">
        <v>73</v>
      </c>
      <c r="I43" s="62" t="s">
        <v>87</v>
      </c>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c r="BZ43" s="36"/>
      <c r="CA43" s="36"/>
      <c r="CB43" s="36"/>
      <c r="CC43" s="36"/>
      <c r="CD43" s="36"/>
      <c r="CE43" s="36"/>
      <c r="CF43" s="36"/>
      <c r="CG43" s="36"/>
      <c r="CH43" s="36"/>
      <c r="CI43" s="36"/>
      <c r="CJ43" s="36"/>
      <c r="CK43" s="36"/>
      <c r="CL43" s="36"/>
      <c r="CM43" s="36"/>
      <c r="CN43" s="36"/>
      <c r="CO43" s="36"/>
      <c r="CP43" s="36"/>
      <c r="CQ43" s="36"/>
      <c r="CR43" s="36"/>
      <c r="CS43" s="36"/>
      <c r="CT43" s="36"/>
      <c r="CU43" s="36"/>
      <c r="CV43" s="36"/>
      <c r="CW43" s="36"/>
      <c r="CX43" s="36"/>
      <c r="CY43" s="36"/>
      <c r="CZ43" s="36"/>
      <c r="DA43" s="36"/>
      <c r="DB43" s="36"/>
      <c r="DC43" s="36"/>
      <c r="DD43" s="36"/>
      <c r="DE43" s="36"/>
      <c r="DF43" s="36"/>
      <c r="DG43" s="36"/>
      <c r="DH43" s="36"/>
      <c r="DI43" s="36"/>
      <c r="DJ43" s="36"/>
      <c r="DK43" s="36"/>
      <c r="DL43" s="36"/>
      <c r="DM43" s="36"/>
      <c r="DN43" s="36"/>
      <c r="DO43" s="36"/>
      <c r="DP43" s="36"/>
      <c r="DQ43" s="36"/>
      <c r="DR43" s="36"/>
    </row>
    <row r="44" spans="1:122" s="124" customFormat="1">
      <c r="A44" s="41" t="s">
        <v>135</v>
      </c>
      <c r="B44" s="60">
        <v>32</v>
      </c>
      <c r="C44" s="60">
        <f t="shared" ca="1" si="9"/>
        <v>607</v>
      </c>
      <c r="D44" s="60">
        <f t="shared" ca="1" si="10"/>
        <v>576</v>
      </c>
      <c r="E44" s="60">
        <f t="shared" ca="1" si="11"/>
        <v>18</v>
      </c>
      <c r="F44" s="127">
        <f t="shared" ca="1" si="12"/>
        <v>31</v>
      </c>
      <c r="G44" s="128">
        <f t="shared" ca="1" si="13"/>
        <v>0</v>
      </c>
      <c r="H44" s="60" t="s">
        <v>73</v>
      </c>
      <c r="I44" s="129" t="s">
        <v>136</v>
      </c>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36"/>
      <c r="DG44" s="36"/>
      <c r="DH44" s="36"/>
      <c r="DI44" s="36"/>
      <c r="DJ44" s="36"/>
      <c r="DK44" s="36"/>
      <c r="DL44" s="36"/>
      <c r="DM44" s="36"/>
      <c r="DN44" s="36"/>
      <c r="DO44" s="36"/>
      <c r="DP44" s="36"/>
      <c r="DQ44" s="36"/>
      <c r="DR44" s="36"/>
    </row>
    <row r="45" spans="1:122" s="124" customFormat="1" ht="280.8">
      <c r="A45" s="41" t="s">
        <v>137</v>
      </c>
      <c r="B45" s="60">
        <v>13</v>
      </c>
      <c r="C45" s="60">
        <v>620</v>
      </c>
      <c r="D45" s="60">
        <v>608</v>
      </c>
      <c r="E45" s="60">
        <v>19</v>
      </c>
      <c r="F45" s="127">
        <v>12</v>
      </c>
      <c r="G45" s="128">
        <v>0</v>
      </c>
      <c r="H45" s="60" t="s">
        <v>73</v>
      </c>
      <c r="I45" s="62" t="s">
        <v>1359</v>
      </c>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c r="BS45" s="36"/>
      <c r="BT45" s="36"/>
      <c r="BU45" s="36"/>
      <c r="BV45" s="36"/>
      <c r="BW45" s="36"/>
      <c r="BX45" s="36"/>
      <c r="BY45" s="36"/>
      <c r="BZ45" s="36"/>
      <c r="CA45" s="36"/>
      <c r="CB45" s="36"/>
      <c r="CC45" s="36"/>
      <c r="CD45" s="36"/>
      <c r="CE45" s="36"/>
      <c r="CF45" s="36"/>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36"/>
      <c r="DG45" s="36"/>
      <c r="DH45" s="36"/>
      <c r="DI45" s="36"/>
      <c r="DJ45" s="36"/>
      <c r="DK45" s="36"/>
      <c r="DL45" s="36"/>
      <c r="DM45" s="36"/>
      <c r="DN45" s="36"/>
      <c r="DO45" s="36"/>
      <c r="DP45" s="36"/>
      <c r="DQ45" s="36"/>
      <c r="DR45" s="36"/>
    </row>
    <row r="46" spans="1:122">
      <c r="A46" s="41" t="s">
        <v>87</v>
      </c>
      <c r="B46" s="42">
        <v>19</v>
      </c>
      <c r="C46" s="42">
        <f t="shared" ca="1" si="9"/>
        <v>639</v>
      </c>
      <c r="D46" s="42">
        <f t="shared" ca="1" si="10"/>
        <v>621</v>
      </c>
      <c r="E46" s="42">
        <f t="shared" ca="1" si="11"/>
        <v>19</v>
      </c>
      <c r="F46" s="120">
        <f t="shared" ca="1" si="12"/>
        <v>31</v>
      </c>
      <c r="G46" s="122">
        <f t="shared" ca="1" si="13"/>
        <v>13</v>
      </c>
      <c r="H46" s="42" t="s">
        <v>73</v>
      </c>
      <c r="I46" s="48" t="s">
        <v>87</v>
      </c>
      <c r="J46" s="36"/>
    </row>
    <row r="47" spans="1:122">
      <c r="A47" s="41" t="s">
        <v>1356</v>
      </c>
      <c r="B47" s="42">
        <v>32</v>
      </c>
      <c r="C47" s="42">
        <f t="shared" ca="1" si="9"/>
        <v>671</v>
      </c>
      <c r="D47" s="42">
        <f t="shared" ca="1" si="10"/>
        <v>640</v>
      </c>
      <c r="E47" s="42">
        <f t="shared" ca="1" si="11"/>
        <v>20</v>
      </c>
      <c r="F47" s="120">
        <f t="shared" ca="1" si="12"/>
        <v>31</v>
      </c>
      <c r="G47" s="122">
        <f t="shared" ca="1" si="13"/>
        <v>0</v>
      </c>
      <c r="H47" s="42" t="s">
        <v>73</v>
      </c>
      <c r="I47" s="129" t="s">
        <v>1355</v>
      </c>
      <c r="J47" s="36"/>
    </row>
    <row r="48" spans="1:122" s="35" customFormat="1" ht="280.8">
      <c r="A48" s="41" t="s">
        <v>1357</v>
      </c>
      <c r="B48" s="42">
        <v>13</v>
      </c>
      <c r="C48" s="42">
        <f t="shared" ca="1" si="9"/>
        <v>684</v>
      </c>
      <c r="D48" s="42">
        <f t="shared" ca="1" si="10"/>
        <v>672</v>
      </c>
      <c r="E48" s="42">
        <f t="shared" ca="1" si="11"/>
        <v>21</v>
      </c>
      <c r="F48" s="120">
        <f t="shared" ca="1" si="12"/>
        <v>12</v>
      </c>
      <c r="G48" s="122">
        <f t="shared" ca="1" si="13"/>
        <v>0</v>
      </c>
      <c r="H48" s="42" t="s">
        <v>88</v>
      </c>
      <c r="I48" s="62" t="s">
        <v>1360</v>
      </c>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row>
    <row r="49" spans="1:122" s="35" customFormat="1">
      <c r="A49" s="41" t="s">
        <v>89</v>
      </c>
      <c r="B49" s="42">
        <v>19</v>
      </c>
      <c r="C49" s="42">
        <f t="shared" ca="1" si="9"/>
        <v>703</v>
      </c>
      <c r="D49" s="42">
        <f t="shared" ca="1" si="10"/>
        <v>685</v>
      </c>
      <c r="E49" s="42">
        <f t="shared" ca="1" si="11"/>
        <v>21</v>
      </c>
      <c r="F49" s="120">
        <f t="shared" ca="1" si="12"/>
        <v>31</v>
      </c>
      <c r="G49" s="122">
        <f t="shared" ca="1" si="13"/>
        <v>13</v>
      </c>
      <c r="H49" s="42" t="s">
        <v>88</v>
      </c>
      <c r="I49" s="48" t="s">
        <v>1353</v>
      </c>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row>
    <row r="50" spans="1:122" s="35" customFormat="1" ht="17.100000000000001" customHeight="1">
      <c r="A50" s="41" t="s">
        <v>139</v>
      </c>
      <c r="B50" s="42">
        <v>32</v>
      </c>
      <c r="C50" s="42">
        <f t="shared" ca="1" si="9"/>
        <v>735</v>
      </c>
      <c r="D50" s="42">
        <f t="shared" ca="1" si="10"/>
        <v>704</v>
      </c>
      <c r="E50" s="42">
        <f t="shared" ca="1" si="11"/>
        <v>22</v>
      </c>
      <c r="F50" s="120">
        <f t="shared" ca="1" si="12"/>
        <v>31</v>
      </c>
      <c r="G50" s="122">
        <f t="shared" ca="1" si="13"/>
        <v>0</v>
      </c>
      <c r="H50" s="42" t="s">
        <v>73</v>
      </c>
      <c r="I50" s="48" t="s">
        <v>140</v>
      </c>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row>
    <row r="51" spans="1:122" ht="16.8" thickBot="1">
      <c r="A51" s="70" t="s">
        <v>141</v>
      </c>
      <c r="B51" s="71">
        <v>32</v>
      </c>
      <c r="C51" s="71">
        <f t="shared" ca="1" si="9"/>
        <v>767</v>
      </c>
      <c r="D51" s="71">
        <f t="shared" ca="1" si="10"/>
        <v>736</v>
      </c>
      <c r="E51" s="71">
        <f t="shared" ca="1" si="11"/>
        <v>23</v>
      </c>
      <c r="F51" s="131">
        <f t="shared" ca="1" si="12"/>
        <v>31</v>
      </c>
      <c r="G51" s="123">
        <f t="shared" ca="1" si="13"/>
        <v>0</v>
      </c>
      <c r="H51" s="71" t="s">
        <v>73</v>
      </c>
      <c r="I51" s="78" t="s">
        <v>142</v>
      </c>
      <c r="J51" s="36"/>
    </row>
    <row r="52" spans="1:122">
      <c r="A52" s="53" t="s">
        <v>143</v>
      </c>
      <c r="J52" s="36"/>
    </row>
    <row r="53" spans="1:122">
      <c r="A53" s="53" t="s">
        <v>144</v>
      </c>
      <c r="J53" s="36"/>
    </row>
    <row r="54" spans="1:122">
      <c r="A54" s="53" t="s">
        <v>145</v>
      </c>
      <c r="J54" s="36"/>
    </row>
    <row r="55" spans="1:122">
      <c r="A55" s="53" t="s">
        <v>146</v>
      </c>
      <c r="J55" s="36"/>
    </row>
    <row r="56" spans="1:122">
      <c r="A56" s="53" t="s">
        <v>147</v>
      </c>
      <c r="J56" s="36"/>
    </row>
  </sheetData>
  <phoneticPr fontId="32" type="noConversion"/>
  <pageMargins left="0.25" right="0.25" top="0.75" bottom="0.75" header="0.3" footer="0.3"/>
  <pageSetup paperSize="9" scale="5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38"/>
  <sheetViews>
    <sheetView topLeftCell="E196" workbookViewId="0">
      <selection activeCell="J214" sqref="J214"/>
    </sheetView>
  </sheetViews>
  <sheetFormatPr defaultColWidth="9" defaultRowHeight="14.4"/>
  <cols>
    <col min="1" max="1" width="20.44140625" customWidth="1"/>
    <col min="2" max="2" width="30.6640625" customWidth="1"/>
    <col min="3" max="3" width="16.109375" customWidth="1"/>
    <col min="4" max="4" width="14.88671875" customWidth="1"/>
    <col min="5" max="5" width="17.109375" customWidth="1"/>
    <col min="6" max="6" width="6.88671875" customWidth="1"/>
    <col min="7" max="7" width="36.109375" bestFit="1" customWidth="1"/>
    <col min="8" max="8" width="8.6640625" customWidth="1"/>
    <col min="9" max="9" width="5.33203125" customWidth="1"/>
    <col min="10" max="10" width="4.88671875" customWidth="1"/>
    <col min="11" max="11" width="4.33203125" customWidth="1"/>
    <col min="12" max="12" width="8.44140625" bestFit="1" customWidth="1"/>
    <col min="13" max="13" width="13.88671875" customWidth="1"/>
    <col min="14" max="14" width="159.33203125" customWidth="1"/>
    <col min="15" max="15" width="29.109375" bestFit="1" customWidth="1"/>
    <col min="16" max="16" width="5.6640625" customWidth="1"/>
    <col min="17" max="17" width="10.109375" customWidth="1"/>
    <col min="18" max="18" width="7.109375" customWidth="1"/>
    <col min="19" max="19" width="10" customWidth="1"/>
    <col min="20" max="20" width="11" customWidth="1"/>
    <col min="21" max="21" width="9.88671875" customWidth="1"/>
    <col min="22" max="22" width="7.88671875" customWidth="1"/>
    <col min="23" max="23" width="5.6640625" customWidth="1"/>
    <col min="24" max="24" width="7.88671875" customWidth="1"/>
  </cols>
  <sheetData>
    <row r="1" spans="1:24" ht="15.6">
      <c r="A1" s="87" t="s">
        <v>148</v>
      </c>
      <c r="B1" s="87" t="s">
        <v>149</v>
      </c>
      <c r="C1" s="88"/>
      <c r="D1" s="88"/>
      <c r="E1" s="88"/>
      <c r="F1" s="88"/>
      <c r="G1" s="88"/>
      <c r="H1" s="88"/>
      <c r="I1" s="88"/>
      <c r="J1" s="88"/>
      <c r="K1" s="88"/>
      <c r="L1" s="88"/>
      <c r="M1" s="88"/>
      <c r="N1" s="88"/>
      <c r="O1" s="88"/>
      <c r="P1" s="88"/>
      <c r="Q1" s="88"/>
      <c r="R1" s="88"/>
      <c r="S1" s="88"/>
      <c r="T1" s="88"/>
      <c r="U1" s="88"/>
      <c r="V1" s="88"/>
      <c r="W1" s="88"/>
      <c r="X1" s="88"/>
    </row>
    <row r="2" spans="1:24" ht="15.6">
      <c r="A2" s="87" t="s">
        <v>150</v>
      </c>
      <c r="B2" s="87" t="s">
        <v>151</v>
      </c>
      <c r="C2" s="88"/>
      <c r="D2" s="88"/>
      <c r="E2" s="88"/>
      <c r="F2" s="88"/>
      <c r="G2" s="88"/>
      <c r="H2" s="88"/>
      <c r="I2" s="88"/>
      <c r="J2" s="88"/>
      <c r="K2" s="88"/>
      <c r="L2" s="88"/>
      <c r="M2" s="88"/>
      <c r="N2" s="88"/>
      <c r="O2" s="88"/>
      <c r="P2" s="88"/>
      <c r="Q2" s="88"/>
      <c r="R2" s="88"/>
      <c r="S2" s="88"/>
      <c r="T2" s="88"/>
      <c r="U2" s="88"/>
      <c r="V2" s="88"/>
      <c r="W2" s="88"/>
      <c r="X2" s="88"/>
    </row>
    <row r="3" spans="1:24" ht="15.6">
      <c r="A3" s="87" t="s">
        <v>152</v>
      </c>
      <c r="B3" s="87" t="s">
        <v>153</v>
      </c>
      <c r="C3" s="88"/>
      <c r="D3" s="88"/>
      <c r="E3" s="88"/>
      <c r="F3" s="88"/>
      <c r="G3" s="88"/>
      <c r="H3" s="88"/>
      <c r="I3" s="88"/>
      <c r="J3" s="93"/>
      <c r="K3" s="93"/>
      <c r="L3" s="93"/>
      <c r="M3" s="88"/>
      <c r="N3" s="88"/>
      <c r="O3" s="88"/>
      <c r="P3" s="88"/>
      <c r="Q3" s="93"/>
      <c r="R3" s="88"/>
      <c r="S3" s="88"/>
      <c r="T3" s="88"/>
      <c r="U3" s="88"/>
      <c r="V3" s="88"/>
      <c r="W3" s="88"/>
      <c r="X3" s="88"/>
    </row>
    <row r="4" spans="1:24" ht="15.6">
      <c r="A4" s="87" t="s">
        <v>154</v>
      </c>
      <c r="B4" s="87">
        <v>16</v>
      </c>
      <c r="C4" s="88"/>
      <c r="D4" s="88"/>
      <c r="E4" s="88"/>
      <c r="F4" s="88"/>
      <c r="G4" s="88"/>
      <c r="H4" s="88"/>
      <c r="I4" s="88"/>
      <c r="J4" s="93"/>
      <c r="K4" s="93"/>
      <c r="L4" s="93"/>
      <c r="M4" s="88"/>
      <c r="N4" s="88"/>
      <c r="O4" s="88"/>
      <c r="P4" s="88"/>
      <c r="Q4" s="93"/>
      <c r="R4" s="88"/>
      <c r="S4" s="88"/>
      <c r="T4" s="88"/>
      <c r="U4" s="88"/>
      <c r="V4" s="88"/>
      <c r="W4" s="88"/>
      <c r="X4" s="88"/>
    </row>
    <row r="5" spans="1:24" ht="15.6">
      <c r="A5" s="87" t="s">
        <v>155</v>
      </c>
      <c r="B5" s="87">
        <v>32</v>
      </c>
      <c r="C5" s="88"/>
      <c r="D5" s="88"/>
      <c r="E5" s="88"/>
      <c r="F5" s="88"/>
      <c r="G5" s="88"/>
      <c r="H5" s="88"/>
      <c r="I5" s="88"/>
      <c r="J5" s="93"/>
      <c r="K5" s="93"/>
      <c r="L5" s="93"/>
      <c r="M5" s="88"/>
      <c r="N5" s="88"/>
      <c r="O5" s="88"/>
      <c r="P5" s="88"/>
      <c r="Q5" s="93"/>
      <c r="R5" s="88"/>
      <c r="S5" s="88"/>
      <c r="T5" s="88"/>
      <c r="U5" s="88"/>
      <c r="V5" s="88"/>
      <c r="W5" s="88"/>
      <c r="X5" s="88"/>
    </row>
    <row r="6" spans="1:24" ht="15.6">
      <c r="A6" s="87" t="s">
        <v>156</v>
      </c>
      <c r="B6" s="87">
        <v>1</v>
      </c>
      <c r="C6" s="88"/>
      <c r="D6" s="88"/>
      <c r="E6" s="88"/>
      <c r="F6" s="88"/>
      <c r="G6" s="88"/>
      <c r="H6" s="88"/>
      <c r="I6" s="88"/>
      <c r="J6" s="93"/>
      <c r="K6" s="93"/>
      <c r="L6" s="93"/>
      <c r="M6" s="88"/>
      <c r="N6" s="88"/>
      <c r="O6" s="88"/>
      <c r="P6" s="88"/>
      <c r="Q6" s="93"/>
      <c r="R6" s="88"/>
      <c r="S6" s="88"/>
      <c r="T6" s="88"/>
      <c r="U6" s="88"/>
      <c r="V6" s="88"/>
      <c r="W6" s="88"/>
      <c r="X6" s="88"/>
    </row>
    <row r="7" spans="1:24" ht="15.6">
      <c r="A7" s="87" t="s">
        <v>157</v>
      </c>
      <c r="B7" s="87" t="s">
        <v>158</v>
      </c>
      <c r="C7" s="88"/>
      <c r="D7" s="88"/>
      <c r="E7" s="88"/>
      <c r="F7" s="88"/>
      <c r="G7" s="88"/>
      <c r="H7" s="88"/>
      <c r="I7" s="88"/>
      <c r="J7" s="93"/>
      <c r="K7" s="93"/>
      <c r="L7" s="93"/>
      <c r="M7" s="88"/>
      <c r="N7" s="88"/>
      <c r="O7" s="88"/>
      <c r="P7" s="88"/>
      <c r="Q7" s="93"/>
      <c r="R7" s="88"/>
      <c r="S7" s="88"/>
      <c r="T7" s="88"/>
      <c r="U7" s="88"/>
      <c r="V7" s="88"/>
      <c r="W7" s="88"/>
      <c r="X7" s="88"/>
    </row>
    <row r="8" spans="1:24" ht="15.6">
      <c r="A8" s="87" t="s">
        <v>159</v>
      </c>
      <c r="B8" s="87" t="s">
        <v>160</v>
      </c>
      <c r="C8" s="88"/>
      <c r="D8" s="88"/>
      <c r="E8" s="88"/>
      <c r="F8" s="88"/>
      <c r="G8" s="88"/>
      <c r="H8" s="88"/>
      <c r="I8" s="88"/>
      <c r="J8" s="93"/>
      <c r="K8" s="93"/>
      <c r="L8" s="93"/>
      <c r="M8" s="88"/>
      <c r="N8" s="88"/>
      <c r="O8" s="88"/>
      <c r="P8" s="88"/>
      <c r="Q8" s="93"/>
      <c r="R8" s="88"/>
      <c r="S8" s="88"/>
      <c r="T8" s="88"/>
      <c r="U8" s="88"/>
      <c r="V8" s="88"/>
      <c r="W8" s="88"/>
      <c r="X8" s="88"/>
    </row>
    <row r="9" spans="1:24" ht="15.6">
      <c r="A9" s="87" t="s">
        <v>161</v>
      </c>
      <c r="B9" s="87" t="s">
        <v>162</v>
      </c>
      <c r="C9" s="88"/>
      <c r="D9" s="88"/>
      <c r="E9" s="88"/>
      <c r="F9" s="88"/>
      <c r="G9" s="88"/>
      <c r="H9" s="88"/>
      <c r="I9" s="88"/>
      <c r="J9" s="93"/>
      <c r="K9" s="93"/>
      <c r="L9" s="93"/>
      <c r="M9" s="88"/>
      <c r="N9" s="88"/>
      <c r="O9" s="88"/>
      <c r="P9" s="88"/>
      <c r="Q9" s="93"/>
      <c r="R9" s="88"/>
      <c r="S9" s="88"/>
      <c r="T9" s="88"/>
      <c r="U9" s="88"/>
      <c r="V9" s="88"/>
      <c r="W9" s="88"/>
      <c r="X9" s="88"/>
    </row>
    <row r="10" spans="1:24" ht="15.6">
      <c r="A10" s="87" t="s">
        <v>163</v>
      </c>
      <c r="B10" s="87" t="s">
        <v>164</v>
      </c>
      <c r="C10" s="88"/>
      <c r="D10" s="88"/>
      <c r="E10" s="88"/>
      <c r="F10" s="88"/>
      <c r="G10" s="88"/>
      <c r="H10" s="88"/>
      <c r="I10" s="88"/>
      <c r="J10" s="93"/>
      <c r="K10" s="93"/>
      <c r="L10" s="93"/>
      <c r="M10" s="88"/>
      <c r="N10" s="88"/>
      <c r="O10" s="88"/>
      <c r="P10" s="88"/>
      <c r="Q10" s="93"/>
      <c r="R10" s="88"/>
      <c r="S10" s="88"/>
      <c r="T10" s="88"/>
      <c r="U10" s="88"/>
      <c r="V10" s="88"/>
      <c r="W10" s="88"/>
      <c r="X10" s="88"/>
    </row>
    <row r="11" spans="1:24" ht="15.6">
      <c r="A11" s="87" t="s">
        <v>165</v>
      </c>
      <c r="B11" s="87" t="s">
        <v>166</v>
      </c>
      <c r="C11" s="88"/>
      <c r="D11" s="88"/>
      <c r="E11" s="88"/>
      <c r="F11" s="88"/>
      <c r="G11" s="88"/>
      <c r="H11" s="88"/>
      <c r="I11" s="88"/>
      <c r="J11" s="88"/>
      <c r="K11" s="88"/>
      <c r="L11" s="88"/>
      <c r="M11" s="88"/>
      <c r="N11" s="88"/>
      <c r="O11" s="88"/>
      <c r="P11" s="88"/>
      <c r="Q11" s="88"/>
      <c r="R11" s="88"/>
      <c r="S11" s="88"/>
      <c r="T11" s="88"/>
      <c r="U11" s="88"/>
      <c r="V11" s="88"/>
      <c r="W11" s="88"/>
      <c r="X11" s="88"/>
    </row>
    <row r="12" spans="1:24">
      <c r="A12" s="89" t="s">
        <v>167</v>
      </c>
      <c r="B12" s="132"/>
      <c r="C12" s="132"/>
      <c r="D12" s="132"/>
      <c r="E12" s="132"/>
      <c r="F12" s="132"/>
      <c r="G12" s="132"/>
      <c r="H12" s="132"/>
      <c r="I12" s="132"/>
      <c r="J12" s="132"/>
      <c r="K12" s="132"/>
      <c r="L12" s="132"/>
      <c r="M12" s="132"/>
      <c r="N12" s="132"/>
      <c r="O12" s="132"/>
      <c r="P12" s="132"/>
      <c r="Q12" s="132"/>
      <c r="R12" s="132"/>
      <c r="S12" s="132"/>
      <c r="T12" s="132"/>
      <c r="U12" s="132"/>
      <c r="V12" s="132"/>
      <c r="W12" s="132"/>
      <c r="X12" s="132"/>
    </row>
    <row r="13" spans="1:24">
      <c r="A13" s="91" t="s">
        <v>168</v>
      </c>
      <c r="B13" s="132"/>
      <c r="C13" s="132"/>
      <c r="D13" s="132"/>
      <c r="E13" s="132"/>
      <c r="F13" s="132"/>
      <c r="G13" s="132"/>
      <c r="H13" s="132"/>
      <c r="I13" s="132"/>
      <c r="J13" s="132"/>
      <c r="K13" s="132"/>
      <c r="L13" s="132"/>
      <c r="M13" s="132"/>
      <c r="N13" s="132"/>
      <c r="O13" s="132"/>
      <c r="P13" s="132"/>
      <c r="Q13" s="132"/>
      <c r="R13" s="132"/>
      <c r="S13" s="132"/>
      <c r="T13" s="132"/>
      <c r="U13" s="132"/>
      <c r="V13" s="132"/>
      <c r="W13" s="132"/>
      <c r="X13" s="132"/>
    </row>
    <row r="14" spans="1:24">
      <c r="A14" s="92" t="s">
        <v>169</v>
      </c>
      <c r="B14" s="92" t="s">
        <v>170</v>
      </c>
      <c r="C14" s="92" t="s">
        <v>171</v>
      </c>
      <c r="D14" s="92" t="s">
        <v>172</v>
      </c>
      <c r="E14" s="92" t="s">
        <v>173</v>
      </c>
      <c r="F14" s="92" t="s">
        <v>174</v>
      </c>
      <c r="G14" s="92" t="s">
        <v>175</v>
      </c>
      <c r="H14" s="92" t="s">
        <v>176</v>
      </c>
      <c r="I14" s="92" t="s">
        <v>177</v>
      </c>
      <c r="J14" s="92" t="s">
        <v>178</v>
      </c>
      <c r="K14" s="92" t="s">
        <v>179</v>
      </c>
      <c r="L14" s="92" t="s">
        <v>180</v>
      </c>
      <c r="M14" s="92" t="s">
        <v>181</v>
      </c>
      <c r="N14" s="92" t="s">
        <v>182</v>
      </c>
      <c r="O14" s="92" t="s">
        <v>1190</v>
      </c>
      <c r="P14" s="92" t="s">
        <v>183</v>
      </c>
      <c r="Q14" s="92" t="s">
        <v>184</v>
      </c>
      <c r="R14" s="92" t="s">
        <v>185</v>
      </c>
      <c r="S14" s="92" t="s">
        <v>186</v>
      </c>
      <c r="T14" s="92" t="s">
        <v>187</v>
      </c>
      <c r="U14" s="92" t="s">
        <v>188</v>
      </c>
      <c r="V14" s="92" t="s">
        <v>189</v>
      </c>
      <c r="W14" s="92" t="s">
        <v>190</v>
      </c>
      <c r="X14" s="92" t="s">
        <v>191</v>
      </c>
    </row>
    <row r="15" spans="1:24" ht="41.4">
      <c r="A15" s="133" t="s">
        <v>192</v>
      </c>
      <c r="B15" s="134" t="s">
        <v>192</v>
      </c>
      <c r="C15" s="134" t="s">
        <v>193</v>
      </c>
      <c r="D15" s="134"/>
      <c r="E15" s="134"/>
      <c r="F15" s="134" t="s">
        <v>160</v>
      </c>
      <c r="G15" s="134" t="s">
        <v>194</v>
      </c>
      <c r="H15" s="134"/>
      <c r="I15" s="134">
        <v>0</v>
      </c>
      <c r="J15" s="134">
        <v>0</v>
      </c>
      <c r="K15" s="134">
        <v>1</v>
      </c>
      <c r="L15" s="134" t="s">
        <v>192</v>
      </c>
      <c r="M15" s="134" t="s">
        <v>195</v>
      </c>
      <c r="N15" s="135" t="s">
        <v>196</v>
      </c>
      <c r="O15" s="135" t="s">
        <v>1188</v>
      </c>
      <c r="P15" s="133"/>
      <c r="Q15" s="133"/>
      <c r="R15" s="133"/>
      <c r="S15" s="133"/>
      <c r="T15" s="133"/>
      <c r="U15" s="133"/>
      <c r="V15" s="133"/>
      <c r="W15" s="133"/>
      <c r="X15" s="133"/>
    </row>
    <row r="16" spans="1:24" ht="55.2">
      <c r="A16" s="133"/>
      <c r="B16" s="134"/>
      <c r="C16" s="134"/>
      <c r="D16" s="134"/>
      <c r="E16" s="134"/>
      <c r="F16" s="134" t="s">
        <v>160</v>
      </c>
      <c r="G16" s="134" t="s">
        <v>197</v>
      </c>
      <c r="H16" s="134"/>
      <c r="I16" s="134">
        <v>1</v>
      </c>
      <c r="J16" s="134">
        <v>1</v>
      </c>
      <c r="K16" s="134">
        <v>1</v>
      </c>
      <c r="L16" s="134" t="s">
        <v>192</v>
      </c>
      <c r="M16" s="134" t="s">
        <v>198</v>
      </c>
      <c r="N16" s="135" t="s">
        <v>199</v>
      </c>
      <c r="O16" s="135" t="s">
        <v>1188</v>
      </c>
      <c r="P16" s="133"/>
      <c r="Q16" s="133"/>
      <c r="R16" s="133"/>
      <c r="S16" s="133"/>
      <c r="T16" s="133"/>
      <c r="U16" s="133"/>
      <c r="V16" s="133"/>
      <c r="W16" s="133"/>
      <c r="X16" s="133"/>
    </row>
    <row r="17" spans="1:24">
      <c r="A17" s="133"/>
      <c r="B17" s="134"/>
      <c r="C17" s="134"/>
      <c r="D17" s="134"/>
      <c r="E17" s="134"/>
      <c r="F17" s="134" t="s">
        <v>160</v>
      </c>
      <c r="G17" s="134" t="s">
        <v>1158</v>
      </c>
      <c r="H17" s="134" t="s">
        <v>1161</v>
      </c>
      <c r="I17" s="134">
        <v>2</v>
      </c>
      <c r="J17" s="134">
        <v>2</v>
      </c>
      <c r="K17" s="134">
        <v>1</v>
      </c>
      <c r="L17" s="134" t="s">
        <v>1159</v>
      </c>
      <c r="M17" s="134" t="s">
        <v>195</v>
      </c>
      <c r="N17" s="134" t="s">
        <v>1009</v>
      </c>
      <c r="O17" s="134" t="s">
        <v>1188</v>
      </c>
      <c r="P17" s="133"/>
      <c r="Q17" s="133"/>
      <c r="R17" s="133"/>
      <c r="S17" s="133"/>
      <c r="T17" s="133"/>
      <c r="U17" s="133"/>
      <c r="V17" s="133"/>
      <c r="W17" s="133"/>
      <c r="X17" s="133"/>
    </row>
    <row r="18" spans="1:24" ht="27.6">
      <c r="A18" s="133"/>
      <c r="B18" s="134"/>
      <c r="C18" s="134"/>
      <c r="D18" s="134"/>
      <c r="E18" s="134"/>
      <c r="F18" s="134" t="s">
        <v>160</v>
      </c>
      <c r="G18" s="134" t="s">
        <v>201</v>
      </c>
      <c r="H18" s="134" t="s">
        <v>202</v>
      </c>
      <c r="I18" s="134">
        <v>3</v>
      </c>
      <c r="J18" s="134">
        <v>3</v>
      </c>
      <c r="K18" s="134">
        <v>1</v>
      </c>
      <c r="L18" s="134" t="s">
        <v>192</v>
      </c>
      <c r="M18" s="134" t="s">
        <v>200</v>
      </c>
      <c r="N18" s="135" t="s">
        <v>203</v>
      </c>
      <c r="O18" s="135" t="s">
        <v>1189</v>
      </c>
      <c r="P18" s="133"/>
      <c r="Q18" s="133"/>
      <c r="R18" s="133"/>
      <c r="S18" s="133"/>
      <c r="T18" s="133"/>
      <c r="U18" s="133"/>
      <c r="V18" s="133"/>
      <c r="W18" s="133"/>
      <c r="X18" s="133"/>
    </row>
    <row r="19" spans="1:24" ht="43.2">
      <c r="A19" s="133"/>
      <c r="B19" s="134"/>
      <c r="C19" s="134"/>
      <c r="D19" s="134"/>
      <c r="E19" s="134"/>
      <c r="F19" s="134" t="s">
        <v>160</v>
      </c>
      <c r="G19" s="134" t="s">
        <v>204</v>
      </c>
      <c r="H19" s="134" t="s">
        <v>202</v>
      </c>
      <c r="I19" s="134">
        <v>4</v>
      </c>
      <c r="J19" s="134">
        <v>4</v>
      </c>
      <c r="K19" s="134">
        <v>1</v>
      </c>
      <c r="L19" s="134" t="s">
        <v>192</v>
      </c>
      <c r="M19" s="134" t="s">
        <v>195</v>
      </c>
      <c r="N19" s="135" t="s">
        <v>1284</v>
      </c>
      <c r="O19" s="135" t="s">
        <v>1188</v>
      </c>
      <c r="P19" s="134"/>
      <c r="Q19" s="134"/>
      <c r="R19" s="134"/>
      <c r="S19" s="134"/>
      <c r="T19" s="134"/>
      <c r="U19" s="134"/>
      <c r="V19" s="134"/>
      <c r="W19" s="134"/>
      <c r="X19" s="134"/>
    </row>
    <row r="20" spans="1:24">
      <c r="A20" s="133"/>
      <c r="B20" s="134"/>
      <c r="C20" s="134"/>
      <c r="D20" s="134"/>
      <c r="E20" s="134"/>
      <c r="F20" s="134" t="s">
        <v>160</v>
      </c>
      <c r="G20" s="134" t="s">
        <v>205</v>
      </c>
      <c r="H20" s="134"/>
      <c r="I20" s="134">
        <v>5</v>
      </c>
      <c r="J20" s="134">
        <v>5</v>
      </c>
      <c r="K20" s="134">
        <v>1</v>
      </c>
      <c r="L20" s="134" t="s">
        <v>192</v>
      </c>
      <c r="M20" s="134" t="s">
        <v>200</v>
      </c>
      <c r="N20" s="134" t="s">
        <v>1285</v>
      </c>
      <c r="O20" s="134" t="s">
        <v>1188</v>
      </c>
      <c r="P20" s="134"/>
      <c r="Q20" s="134"/>
      <c r="R20" s="134"/>
      <c r="S20" s="134"/>
      <c r="T20" s="134"/>
      <c r="U20" s="134"/>
      <c r="V20" s="134"/>
      <c r="W20" s="134"/>
      <c r="X20" s="134"/>
    </row>
    <row r="21" spans="1:24">
      <c r="A21" s="133"/>
      <c r="B21" s="134"/>
      <c r="C21" s="134"/>
      <c r="D21" s="134"/>
      <c r="E21" s="134"/>
      <c r="F21" s="134" t="s">
        <v>160</v>
      </c>
      <c r="G21" s="134" t="s">
        <v>206</v>
      </c>
      <c r="H21" s="134"/>
      <c r="I21" s="134">
        <v>6</v>
      </c>
      <c r="J21" s="134">
        <v>6</v>
      </c>
      <c r="K21" s="134">
        <v>1</v>
      </c>
      <c r="L21" s="134" t="s">
        <v>192</v>
      </c>
      <c r="M21" s="134" t="s">
        <v>200</v>
      </c>
      <c r="N21" s="134" t="s">
        <v>1286</v>
      </c>
      <c r="O21" s="134" t="s">
        <v>1188</v>
      </c>
      <c r="P21" s="134"/>
      <c r="Q21" s="134"/>
      <c r="R21" s="134"/>
      <c r="S21" s="134"/>
      <c r="T21" s="134"/>
      <c r="U21" s="134"/>
      <c r="V21" s="134"/>
      <c r="W21" s="134"/>
      <c r="X21" s="134"/>
    </row>
    <row r="22" spans="1:24" ht="69">
      <c r="A22" s="133"/>
      <c r="B22" s="134"/>
      <c r="C22" s="134"/>
      <c r="D22" s="134"/>
      <c r="E22" s="134"/>
      <c r="F22" s="134" t="s">
        <v>160</v>
      </c>
      <c r="G22" s="134" t="s">
        <v>1160</v>
      </c>
      <c r="H22" s="134" t="s">
        <v>1161</v>
      </c>
      <c r="I22" s="134">
        <v>7</v>
      </c>
      <c r="J22" s="134">
        <v>7</v>
      </c>
      <c r="K22" s="134">
        <v>1</v>
      </c>
      <c r="L22" s="134" t="s">
        <v>1159</v>
      </c>
      <c r="M22" s="134" t="s">
        <v>198</v>
      </c>
      <c r="N22" s="135" t="s">
        <v>1010</v>
      </c>
      <c r="O22" s="135" t="s">
        <v>1188</v>
      </c>
      <c r="P22" s="134"/>
      <c r="Q22" s="134"/>
      <c r="R22" s="134"/>
      <c r="S22" s="134"/>
      <c r="T22" s="134"/>
      <c r="U22" s="134"/>
      <c r="V22" s="134"/>
      <c r="W22" s="134"/>
      <c r="X22" s="134"/>
    </row>
    <row r="23" spans="1:24" ht="27.6">
      <c r="A23" s="134"/>
      <c r="B23" s="134"/>
      <c r="C23" s="134"/>
      <c r="D23" s="134"/>
      <c r="E23" s="134"/>
      <c r="F23" s="134" t="s">
        <v>160</v>
      </c>
      <c r="G23" s="134" t="s">
        <v>207</v>
      </c>
      <c r="H23" s="134" t="s">
        <v>202</v>
      </c>
      <c r="I23" s="134">
        <v>14</v>
      </c>
      <c r="J23" s="134">
        <v>8</v>
      </c>
      <c r="K23" s="134">
        <v>7</v>
      </c>
      <c r="L23" s="134" t="s">
        <v>208</v>
      </c>
      <c r="M23" s="134" t="s">
        <v>209</v>
      </c>
      <c r="N23" s="135" t="s">
        <v>210</v>
      </c>
      <c r="O23" s="135" t="s">
        <v>1188</v>
      </c>
      <c r="P23" s="134"/>
      <c r="Q23" s="134"/>
      <c r="R23" s="134"/>
      <c r="S23" s="134"/>
      <c r="T23" s="134"/>
      <c r="U23" s="134"/>
      <c r="V23" s="134"/>
      <c r="W23" s="134"/>
      <c r="X23" s="134"/>
    </row>
    <row r="24" spans="1:24">
      <c r="A24" s="134"/>
      <c r="B24" s="134"/>
      <c r="C24" s="134"/>
      <c r="D24" s="134"/>
      <c r="E24" s="134"/>
      <c r="F24" s="134" t="s">
        <v>160</v>
      </c>
      <c r="G24" s="134" t="s">
        <v>1162</v>
      </c>
      <c r="H24" s="134" t="s">
        <v>1161</v>
      </c>
      <c r="I24" s="134">
        <v>15</v>
      </c>
      <c r="J24" s="134">
        <v>15</v>
      </c>
      <c r="K24" s="134">
        <v>1</v>
      </c>
      <c r="L24" s="134" t="s">
        <v>1159</v>
      </c>
      <c r="M24" s="134" t="s">
        <v>1163</v>
      </c>
      <c r="N24" s="134" t="s">
        <v>1008</v>
      </c>
      <c r="O24" s="134" t="s">
        <v>1188</v>
      </c>
      <c r="P24" s="134"/>
      <c r="Q24" s="134"/>
      <c r="R24" s="134"/>
      <c r="S24" s="134"/>
      <c r="T24" s="134"/>
      <c r="U24" s="134"/>
      <c r="V24" s="134"/>
      <c r="W24" s="134"/>
      <c r="X24" s="134"/>
    </row>
    <row r="25" spans="1:24" ht="27.6">
      <c r="A25" s="134"/>
      <c r="B25" s="134"/>
      <c r="C25" s="134"/>
      <c r="D25" s="134"/>
      <c r="E25" s="134"/>
      <c r="F25" s="134" t="s">
        <v>160</v>
      </c>
      <c r="G25" s="134" t="s">
        <v>211</v>
      </c>
      <c r="H25" s="134" t="s">
        <v>202</v>
      </c>
      <c r="I25" s="134">
        <v>31</v>
      </c>
      <c r="J25" s="134">
        <v>25</v>
      </c>
      <c r="K25" s="134">
        <v>7</v>
      </c>
      <c r="L25" s="134" t="s">
        <v>208</v>
      </c>
      <c r="M25" s="134" t="s">
        <v>209</v>
      </c>
      <c r="N25" s="135" t="s">
        <v>212</v>
      </c>
      <c r="O25" s="135" t="s">
        <v>1188</v>
      </c>
      <c r="P25" s="134"/>
      <c r="Q25" s="134"/>
      <c r="R25" s="134"/>
      <c r="S25" s="134"/>
      <c r="T25" s="134"/>
      <c r="U25" s="134"/>
      <c r="V25" s="134"/>
      <c r="W25" s="134"/>
      <c r="X25" s="134"/>
    </row>
    <row r="26" spans="1:24" s="81" customFormat="1">
      <c r="A26" s="134" t="s">
        <v>213</v>
      </c>
      <c r="B26" s="134" t="s">
        <v>213</v>
      </c>
      <c r="C26" s="134" t="s">
        <v>214</v>
      </c>
      <c r="D26" s="134"/>
      <c r="E26" s="134"/>
      <c r="F26" s="134" t="s">
        <v>160</v>
      </c>
      <c r="G26" s="134" t="s">
        <v>215</v>
      </c>
      <c r="H26" s="134" t="s">
        <v>202</v>
      </c>
      <c r="I26" s="134">
        <v>31</v>
      </c>
      <c r="J26" s="134">
        <v>0</v>
      </c>
      <c r="K26" s="134">
        <v>32</v>
      </c>
      <c r="L26" s="134" t="s">
        <v>192</v>
      </c>
      <c r="M26" s="134" t="s">
        <v>200</v>
      </c>
      <c r="N26" s="135" t="s">
        <v>216</v>
      </c>
      <c r="O26" s="135" t="s">
        <v>1188</v>
      </c>
      <c r="P26" s="134"/>
      <c r="Q26" s="134"/>
      <c r="R26" s="134"/>
      <c r="S26" s="134"/>
      <c r="T26" s="134"/>
      <c r="U26" s="134"/>
      <c r="V26" s="134"/>
      <c r="W26" s="134"/>
      <c r="X26" s="134"/>
    </row>
    <row r="27" spans="1:24" s="81" customFormat="1">
      <c r="A27" s="134" t="s">
        <v>217</v>
      </c>
      <c r="B27" s="134" t="s">
        <v>217</v>
      </c>
      <c r="C27" s="134" t="s">
        <v>218</v>
      </c>
      <c r="D27" s="134"/>
      <c r="E27" s="134"/>
      <c r="F27" s="134" t="s">
        <v>160</v>
      </c>
      <c r="G27" s="134" t="s">
        <v>219</v>
      </c>
      <c r="H27" s="134" t="s">
        <v>202</v>
      </c>
      <c r="I27" s="134">
        <v>0</v>
      </c>
      <c r="J27" s="134">
        <v>0</v>
      </c>
      <c r="K27" s="134">
        <v>1</v>
      </c>
      <c r="L27" s="134" t="s">
        <v>192</v>
      </c>
      <c r="M27" s="134" t="s">
        <v>200</v>
      </c>
      <c r="N27" s="134" t="s">
        <v>220</v>
      </c>
      <c r="O27" s="134" t="s">
        <v>1188</v>
      </c>
      <c r="P27" s="134"/>
      <c r="Q27" s="134"/>
      <c r="R27" s="134"/>
      <c r="S27" s="134"/>
      <c r="T27" s="134"/>
      <c r="U27" s="134"/>
      <c r="V27" s="134"/>
      <c r="W27" s="134"/>
      <c r="X27" s="134"/>
    </row>
    <row r="28" spans="1:24" s="81" customFormat="1" ht="41.4">
      <c r="A28" s="134" t="s">
        <v>221</v>
      </c>
      <c r="B28" s="134" t="s">
        <v>221</v>
      </c>
      <c r="C28" s="134" t="s">
        <v>222</v>
      </c>
      <c r="D28" s="134"/>
      <c r="E28" s="134"/>
      <c r="F28" s="134" t="s">
        <v>160</v>
      </c>
      <c r="G28" s="134" t="s">
        <v>223</v>
      </c>
      <c r="H28" s="134" t="s">
        <v>202</v>
      </c>
      <c r="I28" s="134">
        <v>31</v>
      </c>
      <c r="J28" s="134">
        <v>0</v>
      </c>
      <c r="K28" s="134">
        <v>32</v>
      </c>
      <c r="L28" s="134" t="s">
        <v>192</v>
      </c>
      <c r="M28" s="134" t="s">
        <v>200</v>
      </c>
      <c r="N28" s="135" t="s">
        <v>224</v>
      </c>
      <c r="O28" s="135" t="s">
        <v>1188</v>
      </c>
      <c r="P28" s="134"/>
      <c r="Q28" s="134"/>
      <c r="R28" s="134"/>
      <c r="S28" s="134"/>
      <c r="T28" s="134"/>
      <c r="U28" s="134"/>
      <c r="V28" s="134"/>
      <c r="W28" s="134"/>
      <c r="X28" s="134"/>
    </row>
    <row r="29" spans="1:24" s="81" customFormat="1">
      <c r="A29" s="134" t="s">
        <v>225</v>
      </c>
      <c r="B29" s="134" t="s">
        <v>225</v>
      </c>
      <c r="C29" s="134" t="s">
        <v>226</v>
      </c>
      <c r="D29" s="134"/>
      <c r="E29" s="134"/>
      <c r="F29" s="134" t="s">
        <v>160</v>
      </c>
      <c r="G29" s="134" t="s">
        <v>227</v>
      </c>
      <c r="H29" s="134" t="s">
        <v>202</v>
      </c>
      <c r="I29" s="134">
        <v>0</v>
      </c>
      <c r="J29" s="134">
        <v>0</v>
      </c>
      <c r="K29" s="134">
        <v>1</v>
      </c>
      <c r="L29" s="134" t="s">
        <v>192</v>
      </c>
      <c r="M29" s="134" t="s">
        <v>200</v>
      </c>
      <c r="N29" s="134" t="s">
        <v>228</v>
      </c>
      <c r="O29" s="134" t="s">
        <v>1188</v>
      </c>
      <c r="P29" s="134"/>
      <c r="Q29" s="134"/>
      <c r="R29" s="134"/>
      <c r="S29" s="134"/>
      <c r="T29" s="134"/>
      <c r="U29" s="134"/>
      <c r="V29" s="134"/>
      <c r="W29" s="134"/>
      <c r="X29" s="134"/>
    </row>
    <row r="30" spans="1:24" s="81" customFormat="1">
      <c r="A30" s="134" t="s">
        <v>229</v>
      </c>
      <c r="B30" s="134" t="s">
        <v>229</v>
      </c>
      <c r="C30" s="134" t="s">
        <v>230</v>
      </c>
      <c r="D30" s="134"/>
      <c r="E30" s="134"/>
      <c r="F30" s="134" t="s">
        <v>160</v>
      </c>
      <c r="G30" s="134" t="s">
        <v>231</v>
      </c>
      <c r="H30" s="134"/>
      <c r="I30" s="134">
        <v>31</v>
      </c>
      <c r="J30" s="134">
        <v>0</v>
      </c>
      <c r="K30" s="134">
        <v>32</v>
      </c>
      <c r="L30" s="134" t="s">
        <v>192</v>
      </c>
      <c r="M30" s="134" t="s">
        <v>200</v>
      </c>
      <c r="N30" s="134" t="s">
        <v>232</v>
      </c>
      <c r="O30" s="134"/>
      <c r="P30" s="134"/>
      <c r="Q30" s="134"/>
      <c r="R30" s="134"/>
      <c r="S30" s="134"/>
      <c r="T30" s="134"/>
      <c r="U30" s="134"/>
      <c r="V30" s="134"/>
      <c r="W30" s="134"/>
      <c r="X30" s="134"/>
    </row>
    <row r="31" spans="1:24" s="81" customFormat="1">
      <c r="A31" s="134" t="s">
        <v>233</v>
      </c>
      <c r="B31" s="134" t="s">
        <v>233</v>
      </c>
      <c r="C31" s="134" t="s">
        <v>234</v>
      </c>
      <c r="D31" s="134"/>
      <c r="E31" s="134"/>
      <c r="F31" s="134" t="s">
        <v>160</v>
      </c>
      <c r="G31" s="134" t="s">
        <v>235</v>
      </c>
      <c r="H31" s="134"/>
      <c r="I31" s="134">
        <v>0</v>
      </c>
      <c r="J31" s="134">
        <v>0</v>
      </c>
      <c r="K31" s="134">
        <v>1</v>
      </c>
      <c r="L31" s="134" t="s">
        <v>192</v>
      </c>
      <c r="M31" s="134" t="s">
        <v>200</v>
      </c>
      <c r="N31" s="134" t="s">
        <v>236</v>
      </c>
      <c r="O31" s="134"/>
      <c r="P31" s="134"/>
      <c r="Q31" s="134"/>
      <c r="R31" s="134"/>
      <c r="S31" s="134"/>
      <c r="T31" s="134"/>
      <c r="U31" s="134"/>
      <c r="V31" s="134"/>
      <c r="W31" s="134"/>
      <c r="X31" s="134"/>
    </row>
    <row r="32" spans="1:24" s="81" customFormat="1">
      <c r="A32" s="134" t="s">
        <v>237</v>
      </c>
      <c r="B32" s="134" t="s">
        <v>237</v>
      </c>
      <c r="C32" s="134" t="s">
        <v>238</v>
      </c>
      <c r="D32" s="134"/>
      <c r="E32" s="134"/>
      <c r="F32" s="134" t="s">
        <v>160</v>
      </c>
      <c r="G32" s="134" t="s">
        <v>239</v>
      </c>
      <c r="H32" s="134"/>
      <c r="I32" s="134">
        <v>31</v>
      </c>
      <c r="J32" s="134">
        <v>0</v>
      </c>
      <c r="K32" s="134">
        <v>32</v>
      </c>
      <c r="L32" s="134" t="s">
        <v>192</v>
      </c>
      <c r="M32" s="134" t="s">
        <v>200</v>
      </c>
      <c r="N32" s="134" t="s">
        <v>240</v>
      </c>
      <c r="O32" s="134"/>
      <c r="P32" s="134"/>
      <c r="Q32" s="134"/>
      <c r="R32" s="134"/>
      <c r="S32" s="134"/>
      <c r="T32" s="134"/>
      <c r="U32" s="134"/>
      <c r="V32" s="134"/>
      <c r="W32" s="134"/>
      <c r="X32" s="134"/>
    </row>
    <row r="33" spans="1:24" s="81" customFormat="1">
      <c r="A33" s="134" t="s">
        <v>241</v>
      </c>
      <c r="B33" s="134" t="s">
        <v>241</v>
      </c>
      <c r="C33" s="134" t="s">
        <v>242</v>
      </c>
      <c r="D33" s="134"/>
      <c r="E33" s="134"/>
      <c r="F33" s="134" t="s">
        <v>160</v>
      </c>
      <c r="G33" s="134" t="s">
        <v>243</v>
      </c>
      <c r="H33" s="134"/>
      <c r="I33" s="134">
        <v>0</v>
      </c>
      <c r="J33" s="134">
        <v>0</v>
      </c>
      <c r="K33" s="134">
        <v>1</v>
      </c>
      <c r="L33" s="134" t="s">
        <v>192</v>
      </c>
      <c r="M33" s="134" t="s">
        <v>200</v>
      </c>
      <c r="N33" s="134" t="s">
        <v>244</v>
      </c>
      <c r="O33" s="134"/>
      <c r="P33" s="134"/>
      <c r="Q33" s="134"/>
      <c r="R33" s="134"/>
      <c r="S33" s="134"/>
      <c r="T33" s="134"/>
      <c r="U33" s="134"/>
      <c r="V33" s="134"/>
      <c r="W33" s="134"/>
      <c r="X33" s="134"/>
    </row>
    <row r="34" spans="1:24">
      <c r="A34" s="134" t="s">
        <v>245</v>
      </c>
      <c r="B34" s="134" t="s">
        <v>245</v>
      </c>
      <c r="C34" s="134" t="s">
        <v>246</v>
      </c>
      <c r="D34" s="134"/>
      <c r="E34" s="134"/>
      <c r="F34" s="134" t="s">
        <v>160</v>
      </c>
      <c r="G34" s="134" t="s">
        <v>247</v>
      </c>
      <c r="H34" s="134" t="s">
        <v>202</v>
      </c>
      <c r="I34" s="134">
        <v>31</v>
      </c>
      <c r="J34" s="134">
        <v>0</v>
      </c>
      <c r="K34" s="134">
        <v>32</v>
      </c>
      <c r="L34" s="134" t="s">
        <v>192</v>
      </c>
      <c r="M34" s="134" t="s">
        <v>209</v>
      </c>
      <c r="N34" s="134" t="s">
        <v>248</v>
      </c>
      <c r="O34" s="134" t="s">
        <v>1188</v>
      </c>
      <c r="P34" s="134"/>
      <c r="Q34" s="134"/>
      <c r="R34" s="134"/>
      <c r="S34" s="134"/>
      <c r="T34" s="134"/>
      <c r="U34" s="134"/>
      <c r="V34" s="134"/>
      <c r="W34" s="134"/>
      <c r="X34" s="134"/>
    </row>
    <row r="35" spans="1:24" ht="27.6">
      <c r="A35" s="134" t="s">
        <v>249</v>
      </c>
      <c r="B35" s="134" t="s">
        <v>249</v>
      </c>
      <c r="C35" s="134" t="s">
        <v>250</v>
      </c>
      <c r="D35" s="134"/>
      <c r="E35" s="134"/>
      <c r="F35" s="134" t="s">
        <v>160</v>
      </c>
      <c r="G35" s="134" t="s">
        <v>251</v>
      </c>
      <c r="H35" s="134"/>
      <c r="I35" s="134">
        <v>31</v>
      </c>
      <c r="J35" s="134">
        <v>0</v>
      </c>
      <c r="K35" s="134">
        <v>32</v>
      </c>
      <c r="L35" s="134" t="s">
        <v>192</v>
      </c>
      <c r="M35" s="134" t="s">
        <v>252</v>
      </c>
      <c r="N35" s="135" t="s">
        <v>253</v>
      </c>
      <c r="O35" s="135" t="s">
        <v>1188</v>
      </c>
      <c r="P35" s="134"/>
      <c r="Q35" s="134"/>
      <c r="R35" s="134"/>
      <c r="S35" s="134"/>
      <c r="T35" s="134"/>
      <c r="U35" s="134"/>
      <c r="V35" s="134"/>
      <c r="W35" s="134"/>
      <c r="X35" s="134"/>
    </row>
    <row r="36" spans="1:24">
      <c r="A36" s="134" t="s">
        <v>254</v>
      </c>
      <c r="B36" s="134" t="s">
        <v>254</v>
      </c>
      <c r="C36" s="134" t="s">
        <v>255</v>
      </c>
      <c r="D36" s="134"/>
      <c r="E36" s="134"/>
      <c r="F36" s="134" t="s">
        <v>160</v>
      </c>
      <c r="G36" s="134" t="s">
        <v>256</v>
      </c>
      <c r="H36" s="134"/>
      <c r="I36" s="134">
        <v>0</v>
      </c>
      <c r="J36" s="134">
        <v>0</v>
      </c>
      <c r="K36" s="134">
        <v>1</v>
      </c>
      <c r="L36" s="134" t="s">
        <v>257</v>
      </c>
      <c r="M36" s="134" t="s">
        <v>209</v>
      </c>
      <c r="N36" s="134" t="s">
        <v>258</v>
      </c>
      <c r="O36" s="134" t="s">
        <v>1188</v>
      </c>
      <c r="P36" s="134"/>
      <c r="Q36" s="134"/>
      <c r="R36" s="134"/>
      <c r="S36" s="134"/>
      <c r="T36" s="134"/>
      <c r="U36" s="134"/>
      <c r="V36" s="134"/>
      <c r="W36" s="134"/>
      <c r="X36" s="134"/>
    </row>
    <row r="37" spans="1:24">
      <c r="A37" s="133"/>
      <c r="B37" s="134"/>
      <c r="C37" s="134"/>
      <c r="D37" s="134"/>
      <c r="E37" s="134"/>
      <c r="F37" s="134" t="s">
        <v>160</v>
      </c>
      <c r="G37" s="134" t="s">
        <v>259</v>
      </c>
      <c r="H37" s="134"/>
      <c r="I37" s="134">
        <v>1</v>
      </c>
      <c r="J37" s="134">
        <v>1</v>
      </c>
      <c r="K37" s="134">
        <v>1</v>
      </c>
      <c r="L37" s="134" t="s">
        <v>192</v>
      </c>
      <c r="M37" s="134" t="s">
        <v>209</v>
      </c>
      <c r="N37" s="134" t="s">
        <v>260</v>
      </c>
      <c r="O37" s="134" t="s">
        <v>1188</v>
      </c>
      <c r="P37" s="134"/>
      <c r="Q37" s="134"/>
      <c r="R37" s="134"/>
      <c r="S37" s="134"/>
      <c r="T37" s="134"/>
      <c r="U37" s="134"/>
      <c r="V37" s="134"/>
      <c r="W37" s="134"/>
      <c r="X37" s="134"/>
    </row>
    <row r="38" spans="1:24">
      <c r="A38" s="133"/>
      <c r="B38" s="134"/>
      <c r="C38" s="134"/>
      <c r="D38" s="134"/>
      <c r="E38" s="134"/>
      <c r="F38" s="134" t="s">
        <v>160</v>
      </c>
      <c r="G38" s="134" t="s">
        <v>261</v>
      </c>
      <c r="H38" s="134"/>
      <c r="I38" s="134">
        <v>2</v>
      </c>
      <c r="J38" s="134">
        <v>2</v>
      </c>
      <c r="K38" s="134">
        <v>1</v>
      </c>
      <c r="L38" s="134" t="s">
        <v>192</v>
      </c>
      <c r="M38" s="134" t="s">
        <v>209</v>
      </c>
      <c r="N38" s="134" t="s">
        <v>1287</v>
      </c>
      <c r="O38" s="134" t="s">
        <v>1188</v>
      </c>
      <c r="P38" s="134"/>
      <c r="Q38" s="134"/>
      <c r="R38" s="134"/>
      <c r="S38" s="134"/>
      <c r="T38" s="134"/>
      <c r="U38" s="134"/>
      <c r="V38" s="134"/>
      <c r="W38" s="134"/>
      <c r="X38" s="134"/>
    </row>
    <row r="39" spans="1:24" ht="56.4">
      <c r="A39" s="133" t="s">
        <v>262</v>
      </c>
      <c r="B39" s="134" t="s">
        <v>262</v>
      </c>
      <c r="C39" s="134" t="s">
        <v>263</v>
      </c>
      <c r="D39" s="134"/>
      <c r="E39" s="134"/>
      <c r="F39" s="134" t="s">
        <v>160</v>
      </c>
      <c r="G39" s="134" t="s">
        <v>264</v>
      </c>
      <c r="H39" s="134"/>
      <c r="I39" s="134">
        <v>0</v>
      </c>
      <c r="J39" s="134">
        <v>0</v>
      </c>
      <c r="K39" s="134">
        <v>1</v>
      </c>
      <c r="L39" s="134" t="s">
        <v>257</v>
      </c>
      <c r="M39" s="134" t="s">
        <v>200</v>
      </c>
      <c r="N39" s="135" t="s">
        <v>1288</v>
      </c>
      <c r="O39" s="135" t="s">
        <v>1188</v>
      </c>
      <c r="P39" s="134"/>
      <c r="Q39" s="134"/>
      <c r="R39" s="134"/>
      <c r="S39" s="134"/>
      <c r="T39" s="134"/>
      <c r="U39" s="134"/>
      <c r="V39" s="134"/>
      <c r="W39" s="134"/>
      <c r="X39" s="134"/>
    </row>
    <row r="40" spans="1:24" ht="42.6">
      <c r="A40" s="133"/>
      <c r="B40" s="134"/>
      <c r="C40" s="134"/>
      <c r="D40" s="134"/>
      <c r="E40" s="134"/>
      <c r="F40" s="134" t="s">
        <v>160</v>
      </c>
      <c r="G40" s="134" t="s">
        <v>265</v>
      </c>
      <c r="H40" s="134"/>
      <c r="I40" s="134">
        <v>1</v>
      </c>
      <c r="J40" s="134">
        <v>1</v>
      </c>
      <c r="K40" s="134">
        <v>1</v>
      </c>
      <c r="L40" s="134" t="s">
        <v>192</v>
      </c>
      <c r="M40" s="134" t="s">
        <v>200</v>
      </c>
      <c r="N40" s="135" t="s">
        <v>1289</v>
      </c>
      <c r="O40" s="135" t="s">
        <v>1188</v>
      </c>
      <c r="P40" s="133"/>
      <c r="Q40" s="133"/>
      <c r="R40" s="133"/>
      <c r="S40" s="133"/>
      <c r="T40" s="133"/>
      <c r="U40" s="133"/>
      <c r="V40" s="133"/>
      <c r="W40" s="133"/>
      <c r="X40" s="133"/>
    </row>
    <row r="41" spans="1:24" ht="42.6">
      <c r="A41" s="133"/>
      <c r="B41" s="134"/>
      <c r="C41" s="134"/>
      <c r="D41" s="134"/>
      <c r="E41" s="134"/>
      <c r="F41" s="134" t="s">
        <v>160</v>
      </c>
      <c r="G41" s="134" t="s">
        <v>266</v>
      </c>
      <c r="H41" s="134"/>
      <c r="I41" s="134">
        <v>4</v>
      </c>
      <c r="J41" s="134">
        <v>4</v>
      </c>
      <c r="K41" s="134">
        <v>1</v>
      </c>
      <c r="L41" s="134" t="s">
        <v>192</v>
      </c>
      <c r="M41" s="134" t="s">
        <v>200</v>
      </c>
      <c r="N41" s="135" t="s">
        <v>1290</v>
      </c>
      <c r="O41" s="135" t="s">
        <v>1188</v>
      </c>
      <c r="P41" s="133"/>
      <c r="Q41" s="133"/>
      <c r="R41" s="133"/>
      <c r="S41" s="133"/>
      <c r="T41" s="133"/>
      <c r="U41" s="133"/>
      <c r="V41" s="133"/>
      <c r="W41" s="133"/>
      <c r="X41" s="133"/>
    </row>
    <row r="42" spans="1:24" ht="42.6">
      <c r="A42" s="133"/>
      <c r="B42" s="134"/>
      <c r="C42" s="134"/>
      <c r="D42" s="134"/>
      <c r="E42" s="134"/>
      <c r="F42" s="134" t="s">
        <v>160</v>
      </c>
      <c r="G42" s="134" t="s">
        <v>267</v>
      </c>
      <c r="H42" s="134"/>
      <c r="I42" s="134">
        <v>5</v>
      </c>
      <c r="J42" s="134">
        <v>5</v>
      </c>
      <c r="K42" s="134">
        <v>1</v>
      </c>
      <c r="L42" s="134" t="s">
        <v>192</v>
      </c>
      <c r="M42" s="134" t="s">
        <v>200</v>
      </c>
      <c r="N42" s="135" t="s">
        <v>1291</v>
      </c>
      <c r="O42" s="135" t="s">
        <v>1188</v>
      </c>
      <c r="P42" s="133"/>
      <c r="Q42" s="133"/>
      <c r="R42" s="133"/>
      <c r="S42" s="133"/>
      <c r="T42" s="133"/>
      <c r="U42" s="133"/>
      <c r="V42" s="133"/>
      <c r="W42" s="133"/>
      <c r="X42" s="133"/>
    </row>
    <row r="43" spans="1:24" ht="42.6">
      <c r="A43" s="133"/>
      <c r="B43" s="134"/>
      <c r="C43" s="134"/>
      <c r="D43" s="134"/>
      <c r="E43" s="134"/>
      <c r="F43" s="134" t="s">
        <v>160</v>
      </c>
      <c r="G43" s="134" t="s">
        <v>268</v>
      </c>
      <c r="H43" s="134"/>
      <c r="I43" s="134">
        <v>6</v>
      </c>
      <c r="J43" s="134">
        <v>6</v>
      </c>
      <c r="K43" s="134">
        <v>1</v>
      </c>
      <c r="L43" s="134" t="s">
        <v>192</v>
      </c>
      <c r="M43" s="134" t="s">
        <v>200</v>
      </c>
      <c r="N43" s="135" t="s">
        <v>1292</v>
      </c>
      <c r="O43" s="135" t="s">
        <v>1188</v>
      </c>
      <c r="P43" s="133"/>
      <c r="Q43" s="133"/>
      <c r="R43" s="133"/>
      <c r="S43" s="133"/>
      <c r="T43" s="133"/>
      <c r="U43" s="133"/>
      <c r="V43" s="133"/>
      <c r="W43" s="133"/>
      <c r="X43" s="133"/>
    </row>
    <row r="44" spans="1:24" ht="42.6">
      <c r="A44" s="133"/>
      <c r="B44" s="134"/>
      <c r="C44" s="134"/>
      <c r="D44" s="134"/>
      <c r="E44" s="134"/>
      <c r="F44" s="134" t="s">
        <v>160</v>
      </c>
      <c r="G44" s="134" t="s">
        <v>269</v>
      </c>
      <c r="H44" s="134"/>
      <c r="I44" s="134">
        <v>7</v>
      </c>
      <c r="J44" s="134">
        <v>7</v>
      </c>
      <c r="K44" s="134">
        <v>1</v>
      </c>
      <c r="L44" s="134" t="s">
        <v>192</v>
      </c>
      <c r="M44" s="134" t="s">
        <v>200</v>
      </c>
      <c r="N44" s="135" t="s">
        <v>1293</v>
      </c>
      <c r="O44" s="135" t="s">
        <v>1188</v>
      </c>
      <c r="P44" s="133"/>
      <c r="Q44" s="133"/>
      <c r="R44" s="133"/>
      <c r="S44" s="133"/>
      <c r="T44" s="133"/>
      <c r="U44" s="133"/>
      <c r="V44" s="133"/>
      <c r="W44" s="133"/>
      <c r="X44" s="133"/>
    </row>
    <row r="45" spans="1:24" ht="42.6">
      <c r="A45" s="133"/>
      <c r="B45" s="134"/>
      <c r="C45" s="134"/>
      <c r="D45" s="134"/>
      <c r="E45" s="134"/>
      <c r="F45" s="134" t="s">
        <v>160</v>
      </c>
      <c r="G45" s="134" t="s">
        <v>1103</v>
      </c>
      <c r="H45" s="134"/>
      <c r="I45" s="134">
        <v>8</v>
      </c>
      <c r="J45" s="134">
        <v>8</v>
      </c>
      <c r="K45" s="134">
        <v>1</v>
      </c>
      <c r="L45" s="134" t="s">
        <v>192</v>
      </c>
      <c r="M45" s="134" t="s">
        <v>200</v>
      </c>
      <c r="N45" s="135" t="s">
        <v>1294</v>
      </c>
      <c r="O45" s="135" t="s">
        <v>1188</v>
      </c>
      <c r="P45" s="133"/>
      <c r="Q45" s="133"/>
      <c r="R45" s="133"/>
      <c r="S45" s="133"/>
      <c r="T45" s="133"/>
      <c r="U45" s="133"/>
      <c r="V45" s="133"/>
      <c r="W45" s="133"/>
      <c r="X45" s="133"/>
    </row>
    <row r="46" spans="1:24" ht="42.6">
      <c r="A46" s="133"/>
      <c r="B46" s="134"/>
      <c r="C46" s="134"/>
      <c r="D46" s="134"/>
      <c r="E46" s="134"/>
      <c r="F46" s="134" t="s">
        <v>160</v>
      </c>
      <c r="G46" s="134" t="s">
        <v>1104</v>
      </c>
      <c r="H46" s="134"/>
      <c r="I46" s="134">
        <v>9</v>
      </c>
      <c r="J46" s="134">
        <v>9</v>
      </c>
      <c r="K46" s="134">
        <v>1</v>
      </c>
      <c r="L46" s="134" t="s">
        <v>192</v>
      </c>
      <c r="M46" s="134" t="s">
        <v>200</v>
      </c>
      <c r="N46" s="135" t="s">
        <v>1295</v>
      </c>
      <c r="O46" s="135" t="s">
        <v>1188</v>
      </c>
      <c r="P46" s="133"/>
      <c r="Q46" s="133"/>
      <c r="R46" s="133"/>
      <c r="S46" s="133"/>
      <c r="T46" s="133"/>
      <c r="U46" s="133"/>
      <c r="V46" s="133"/>
      <c r="W46" s="133"/>
      <c r="X46" s="133"/>
    </row>
    <row r="47" spans="1:24" ht="42.6">
      <c r="A47" s="133"/>
      <c r="B47" s="134"/>
      <c r="C47" s="134"/>
      <c r="D47" s="134"/>
      <c r="E47" s="134"/>
      <c r="F47" s="134" t="s">
        <v>160</v>
      </c>
      <c r="G47" s="134" t="s">
        <v>1105</v>
      </c>
      <c r="H47" s="134"/>
      <c r="I47" s="134">
        <v>10</v>
      </c>
      <c r="J47" s="134">
        <v>10</v>
      </c>
      <c r="K47" s="134">
        <v>1</v>
      </c>
      <c r="L47" s="134" t="s">
        <v>192</v>
      </c>
      <c r="M47" s="134" t="s">
        <v>200</v>
      </c>
      <c r="N47" s="135" t="s">
        <v>1296</v>
      </c>
      <c r="O47" s="135" t="s">
        <v>1188</v>
      </c>
      <c r="P47" s="133"/>
      <c r="Q47" s="133"/>
      <c r="R47" s="133"/>
      <c r="S47" s="133"/>
      <c r="T47" s="133"/>
      <c r="U47" s="133"/>
      <c r="V47" s="133"/>
      <c r="W47" s="133"/>
      <c r="X47" s="133"/>
    </row>
    <row r="48" spans="1:24" ht="42.6">
      <c r="A48" s="133"/>
      <c r="B48" s="134"/>
      <c r="C48" s="134"/>
      <c r="D48" s="134"/>
      <c r="E48" s="134"/>
      <c r="F48" s="134" t="s">
        <v>160</v>
      </c>
      <c r="G48" s="134" t="s">
        <v>1106</v>
      </c>
      <c r="H48" s="134"/>
      <c r="I48" s="134">
        <v>11</v>
      </c>
      <c r="J48" s="134">
        <v>11</v>
      </c>
      <c r="K48" s="134">
        <v>1</v>
      </c>
      <c r="L48" s="134" t="s">
        <v>192</v>
      </c>
      <c r="M48" s="134" t="s">
        <v>200</v>
      </c>
      <c r="N48" s="135" t="s">
        <v>1297</v>
      </c>
      <c r="O48" s="135" t="s">
        <v>1188</v>
      </c>
      <c r="P48" s="133"/>
      <c r="Q48" s="133"/>
      <c r="R48" s="133"/>
      <c r="S48" s="133"/>
      <c r="T48" s="133"/>
      <c r="U48" s="133"/>
      <c r="V48" s="133"/>
      <c r="W48" s="133"/>
      <c r="X48" s="133"/>
    </row>
    <row r="49" spans="1:24" ht="42.6">
      <c r="A49" s="133"/>
      <c r="B49" s="134"/>
      <c r="C49" s="134"/>
      <c r="D49" s="134"/>
      <c r="E49" s="134"/>
      <c r="F49" s="134" t="s">
        <v>1003</v>
      </c>
      <c r="G49" s="134" t="s">
        <v>1014</v>
      </c>
      <c r="H49" s="134"/>
      <c r="I49" s="134">
        <v>12</v>
      </c>
      <c r="J49" s="134">
        <v>12</v>
      </c>
      <c r="K49" s="134">
        <v>1</v>
      </c>
      <c r="L49" s="134" t="s">
        <v>794</v>
      </c>
      <c r="M49" s="134" t="s">
        <v>795</v>
      </c>
      <c r="N49" s="135" t="s">
        <v>1289</v>
      </c>
      <c r="O49" s="135" t="s">
        <v>1188</v>
      </c>
      <c r="P49" s="133"/>
      <c r="Q49" s="133"/>
      <c r="R49" s="133"/>
      <c r="S49" s="133"/>
      <c r="T49" s="133"/>
      <c r="U49" s="133"/>
      <c r="V49" s="133"/>
      <c r="W49" s="133"/>
      <c r="X49" s="133"/>
    </row>
    <row r="50" spans="1:24">
      <c r="A50" s="133" t="s">
        <v>270</v>
      </c>
      <c r="B50" s="134" t="s">
        <v>270</v>
      </c>
      <c r="C50" s="134" t="s">
        <v>271</v>
      </c>
      <c r="D50" s="134"/>
      <c r="E50" s="134"/>
      <c r="F50" s="134" t="s">
        <v>160</v>
      </c>
      <c r="G50" s="134" t="s">
        <v>272</v>
      </c>
      <c r="H50" s="134"/>
      <c r="I50" s="134">
        <v>31</v>
      </c>
      <c r="J50" s="134">
        <v>0</v>
      </c>
      <c r="K50" s="134">
        <v>32</v>
      </c>
      <c r="L50" s="134" t="s">
        <v>192</v>
      </c>
      <c r="M50" s="134" t="s">
        <v>200</v>
      </c>
      <c r="N50" s="134" t="s">
        <v>1192</v>
      </c>
      <c r="O50" s="134"/>
      <c r="P50" s="133"/>
      <c r="Q50" s="133"/>
      <c r="R50" s="133"/>
      <c r="S50" s="133"/>
      <c r="T50" s="133"/>
      <c r="U50" s="133"/>
      <c r="V50" s="133"/>
      <c r="W50" s="133"/>
      <c r="X50" s="133"/>
    </row>
    <row r="51" spans="1:24">
      <c r="A51" s="133" t="s">
        <v>273</v>
      </c>
      <c r="B51" s="134" t="s">
        <v>273</v>
      </c>
      <c r="C51" s="134" t="s">
        <v>274</v>
      </c>
      <c r="D51" s="134"/>
      <c r="E51" s="134"/>
      <c r="F51" s="134" t="s">
        <v>160</v>
      </c>
      <c r="G51" s="134" t="s">
        <v>275</v>
      </c>
      <c r="H51" s="134"/>
      <c r="I51" s="134">
        <v>31</v>
      </c>
      <c r="J51" s="134">
        <v>0</v>
      </c>
      <c r="K51" s="134">
        <v>32</v>
      </c>
      <c r="L51" s="134" t="s">
        <v>192</v>
      </c>
      <c r="M51" s="134" t="s">
        <v>200</v>
      </c>
      <c r="N51" s="134" t="s">
        <v>1193</v>
      </c>
      <c r="O51" s="134"/>
      <c r="P51" s="133"/>
      <c r="Q51" s="133"/>
      <c r="R51" s="133"/>
      <c r="S51" s="133"/>
      <c r="T51" s="133"/>
      <c r="U51" s="133"/>
      <c r="V51" s="133"/>
      <c r="W51" s="133"/>
      <c r="X51" s="133"/>
    </row>
    <row r="52" spans="1:24">
      <c r="A52" s="133" t="s">
        <v>276</v>
      </c>
      <c r="B52" s="134" t="s">
        <v>276</v>
      </c>
      <c r="C52" s="134" t="s">
        <v>277</v>
      </c>
      <c r="D52" s="134"/>
      <c r="E52" s="134"/>
      <c r="F52" s="134" t="s">
        <v>160</v>
      </c>
      <c r="G52" s="134" t="s">
        <v>278</v>
      </c>
      <c r="H52" s="134"/>
      <c r="I52" s="134">
        <v>31</v>
      </c>
      <c r="J52" s="134">
        <v>0</v>
      </c>
      <c r="K52" s="134">
        <v>32</v>
      </c>
      <c r="L52" s="134" t="s">
        <v>192</v>
      </c>
      <c r="M52" s="134" t="s">
        <v>200</v>
      </c>
      <c r="N52" s="134" t="s">
        <v>1194</v>
      </c>
      <c r="O52" s="134"/>
      <c r="P52" s="133"/>
      <c r="Q52" s="133"/>
      <c r="R52" s="133"/>
      <c r="S52" s="133"/>
      <c r="T52" s="133"/>
      <c r="U52" s="133"/>
      <c r="V52" s="133"/>
      <c r="W52" s="133"/>
      <c r="X52" s="133"/>
    </row>
    <row r="53" spans="1:24">
      <c r="A53" s="134" t="s">
        <v>208</v>
      </c>
      <c r="B53" s="134" t="s">
        <v>208</v>
      </c>
      <c r="C53" s="134" t="s">
        <v>279</v>
      </c>
      <c r="D53" s="134"/>
      <c r="E53" s="134"/>
      <c r="F53" s="134" t="s">
        <v>160</v>
      </c>
      <c r="G53" s="134" t="s">
        <v>280</v>
      </c>
      <c r="H53" s="134"/>
      <c r="I53" s="134">
        <v>31</v>
      </c>
      <c r="J53" s="134">
        <v>0</v>
      </c>
      <c r="K53" s="134">
        <v>32</v>
      </c>
      <c r="L53" s="134" t="s">
        <v>192</v>
      </c>
      <c r="M53" s="134" t="s">
        <v>200</v>
      </c>
      <c r="N53" s="134" t="s">
        <v>1195</v>
      </c>
      <c r="O53" s="134"/>
      <c r="P53" s="133"/>
      <c r="Q53" s="133"/>
      <c r="R53" s="133"/>
      <c r="S53" s="133"/>
      <c r="T53" s="133"/>
      <c r="U53" s="133"/>
      <c r="V53" s="133"/>
      <c r="W53" s="133"/>
      <c r="X53" s="133"/>
    </row>
    <row r="54" spans="1:24">
      <c r="A54" s="134" t="s">
        <v>281</v>
      </c>
      <c r="B54" s="134" t="s">
        <v>281</v>
      </c>
      <c r="C54" s="134" t="s">
        <v>282</v>
      </c>
      <c r="D54" s="134"/>
      <c r="E54" s="134"/>
      <c r="F54" s="134" t="s">
        <v>160</v>
      </c>
      <c r="G54" s="134" t="s">
        <v>283</v>
      </c>
      <c r="H54" s="134"/>
      <c r="I54" s="134">
        <v>31</v>
      </c>
      <c r="J54" s="134">
        <v>0</v>
      </c>
      <c r="K54" s="134">
        <v>32</v>
      </c>
      <c r="L54" s="134" t="s">
        <v>192</v>
      </c>
      <c r="M54" s="134" t="s">
        <v>200</v>
      </c>
      <c r="N54" s="134" t="s">
        <v>1196</v>
      </c>
      <c r="O54" s="134"/>
      <c r="P54" s="133"/>
      <c r="Q54" s="133"/>
      <c r="R54" s="133"/>
      <c r="S54" s="133"/>
      <c r="T54" s="133"/>
      <c r="U54" s="133"/>
      <c r="V54" s="133"/>
      <c r="W54" s="133"/>
      <c r="X54" s="133"/>
    </row>
    <row r="55" spans="1:24">
      <c r="A55" s="134" t="s">
        <v>284</v>
      </c>
      <c r="B55" s="134" t="s">
        <v>284</v>
      </c>
      <c r="C55" s="134" t="s">
        <v>285</v>
      </c>
      <c r="D55" s="134"/>
      <c r="E55" s="134"/>
      <c r="F55" s="134" t="s">
        <v>160</v>
      </c>
      <c r="G55" s="134" t="s">
        <v>286</v>
      </c>
      <c r="H55" s="134"/>
      <c r="I55" s="134">
        <v>31</v>
      </c>
      <c r="J55" s="134">
        <v>0</v>
      </c>
      <c r="K55" s="134">
        <v>32</v>
      </c>
      <c r="L55" s="134" t="s">
        <v>192</v>
      </c>
      <c r="M55" s="134" t="s">
        <v>200</v>
      </c>
      <c r="N55" s="134" t="s">
        <v>1197</v>
      </c>
      <c r="O55" s="134"/>
      <c r="P55" s="133"/>
      <c r="Q55" s="133"/>
      <c r="R55" s="133"/>
      <c r="S55" s="133"/>
      <c r="T55" s="133"/>
      <c r="U55" s="133"/>
      <c r="V55" s="133"/>
      <c r="W55" s="133"/>
      <c r="X55" s="133"/>
    </row>
    <row r="56" spans="1:24">
      <c r="A56" s="134" t="s">
        <v>287</v>
      </c>
      <c r="B56" s="134" t="s">
        <v>287</v>
      </c>
      <c r="C56" s="134" t="s">
        <v>288</v>
      </c>
      <c r="D56" s="134"/>
      <c r="E56" s="134"/>
      <c r="F56" s="134" t="s">
        <v>160</v>
      </c>
      <c r="G56" s="134" t="s">
        <v>289</v>
      </c>
      <c r="H56" s="134"/>
      <c r="I56" s="134">
        <v>31</v>
      </c>
      <c r="J56" s="134">
        <v>0</v>
      </c>
      <c r="K56" s="134">
        <v>32</v>
      </c>
      <c r="L56" s="134" t="s">
        <v>192</v>
      </c>
      <c r="M56" s="134" t="s">
        <v>200</v>
      </c>
      <c r="N56" s="134" t="s">
        <v>1198</v>
      </c>
      <c r="O56" s="134"/>
      <c r="P56" s="133"/>
      <c r="Q56" s="133"/>
      <c r="R56" s="133"/>
      <c r="S56" s="133"/>
      <c r="T56" s="133"/>
      <c r="U56" s="133"/>
      <c r="V56" s="133"/>
      <c r="W56" s="133"/>
      <c r="X56" s="133"/>
    </row>
    <row r="57" spans="1:24">
      <c r="A57" s="134" t="s">
        <v>290</v>
      </c>
      <c r="B57" s="134" t="s">
        <v>290</v>
      </c>
      <c r="C57" s="134" t="s">
        <v>291</v>
      </c>
      <c r="D57" s="134"/>
      <c r="E57" s="134"/>
      <c r="F57" s="134" t="s">
        <v>160</v>
      </c>
      <c r="G57" s="134" t="s">
        <v>292</v>
      </c>
      <c r="H57" s="134"/>
      <c r="I57" s="134">
        <v>31</v>
      </c>
      <c r="J57" s="134">
        <v>0</v>
      </c>
      <c r="K57" s="134">
        <v>32</v>
      </c>
      <c r="L57" s="134" t="s">
        <v>192</v>
      </c>
      <c r="M57" s="134" t="s">
        <v>200</v>
      </c>
      <c r="N57" s="134" t="s">
        <v>1199</v>
      </c>
      <c r="O57" s="134"/>
      <c r="P57" s="133"/>
      <c r="Q57" s="133"/>
      <c r="R57" s="133"/>
      <c r="S57" s="133"/>
      <c r="T57" s="133"/>
      <c r="U57" s="133"/>
      <c r="V57" s="133"/>
      <c r="W57" s="133"/>
      <c r="X57" s="133"/>
    </row>
    <row r="58" spans="1:24" s="81" customFormat="1">
      <c r="A58" s="134" t="s">
        <v>293</v>
      </c>
      <c r="B58" s="134" t="s">
        <v>293</v>
      </c>
      <c r="C58" s="134" t="s">
        <v>294</v>
      </c>
      <c r="D58" s="134"/>
      <c r="E58" s="134"/>
      <c r="F58" s="134" t="s">
        <v>160</v>
      </c>
      <c r="G58" s="134" t="s">
        <v>295</v>
      </c>
      <c r="H58" s="134"/>
      <c r="I58" s="134">
        <v>31</v>
      </c>
      <c r="J58" s="134">
        <v>0</v>
      </c>
      <c r="K58" s="134">
        <v>32</v>
      </c>
      <c r="L58" s="134" t="s">
        <v>192</v>
      </c>
      <c r="M58" s="134" t="s">
        <v>200</v>
      </c>
      <c r="N58" s="134" t="s">
        <v>1200</v>
      </c>
      <c r="O58" s="134"/>
      <c r="P58" s="134"/>
      <c r="Q58" s="134"/>
      <c r="R58" s="134"/>
      <c r="S58" s="134"/>
      <c r="T58" s="134"/>
      <c r="U58" s="134"/>
      <c r="V58" s="134"/>
      <c r="W58" s="134"/>
      <c r="X58" s="134"/>
    </row>
    <row r="59" spans="1:24" s="81" customFormat="1">
      <c r="A59" s="134" t="s">
        <v>296</v>
      </c>
      <c r="B59" s="134" t="s">
        <v>296</v>
      </c>
      <c r="C59" s="134" t="s">
        <v>297</v>
      </c>
      <c r="D59" s="134"/>
      <c r="E59" s="134"/>
      <c r="F59" s="134" t="s">
        <v>160</v>
      </c>
      <c r="G59" s="134" t="s">
        <v>298</v>
      </c>
      <c r="H59" s="134"/>
      <c r="I59" s="134">
        <v>31</v>
      </c>
      <c r="J59" s="134">
        <v>0</v>
      </c>
      <c r="K59" s="134">
        <v>32</v>
      </c>
      <c r="L59" s="134" t="s">
        <v>192</v>
      </c>
      <c r="M59" s="134" t="s">
        <v>200</v>
      </c>
      <c r="N59" s="134" t="s">
        <v>1201</v>
      </c>
      <c r="O59" s="134"/>
      <c r="P59" s="134"/>
      <c r="Q59" s="134"/>
      <c r="R59" s="134"/>
      <c r="S59" s="134"/>
      <c r="T59" s="134"/>
      <c r="U59" s="134"/>
      <c r="V59" s="134"/>
      <c r="W59" s="134"/>
      <c r="X59" s="134"/>
    </row>
    <row r="60" spans="1:24" s="81" customFormat="1">
      <c r="A60" s="134" t="s">
        <v>299</v>
      </c>
      <c r="B60" s="134" t="s">
        <v>299</v>
      </c>
      <c r="C60" s="134" t="s">
        <v>300</v>
      </c>
      <c r="D60" s="134"/>
      <c r="E60" s="134"/>
      <c r="F60" s="134" t="s">
        <v>160</v>
      </c>
      <c r="G60" s="134" t="s">
        <v>301</v>
      </c>
      <c r="H60" s="134"/>
      <c r="I60" s="134">
        <v>31</v>
      </c>
      <c r="J60" s="134">
        <v>0</v>
      </c>
      <c r="K60" s="134">
        <v>32</v>
      </c>
      <c r="L60" s="134" t="s">
        <v>192</v>
      </c>
      <c r="M60" s="134" t="s">
        <v>200</v>
      </c>
      <c r="N60" s="134" t="s">
        <v>1202</v>
      </c>
      <c r="O60" s="134"/>
      <c r="P60" s="134"/>
      <c r="Q60" s="134"/>
      <c r="R60" s="134"/>
      <c r="S60" s="134"/>
      <c r="T60" s="134"/>
      <c r="U60" s="134"/>
      <c r="V60" s="134"/>
      <c r="W60" s="134"/>
      <c r="X60" s="134"/>
    </row>
    <row r="61" spans="1:24" s="81" customFormat="1">
      <c r="A61" s="134" t="s">
        <v>302</v>
      </c>
      <c r="B61" s="134" t="s">
        <v>302</v>
      </c>
      <c r="C61" s="134" t="s">
        <v>303</v>
      </c>
      <c r="D61" s="134"/>
      <c r="E61" s="134"/>
      <c r="F61" s="134" t="s">
        <v>160</v>
      </c>
      <c r="G61" s="134" t="s">
        <v>304</v>
      </c>
      <c r="H61" s="134"/>
      <c r="I61" s="134">
        <v>31</v>
      </c>
      <c r="J61" s="134">
        <v>0</v>
      </c>
      <c r="K61" s="134">
        <v>32</v>
      </c>
      <c r="L61" s="134" t="s">
        <v>192</v>
      </c>
      <c r="M61" s="134" t="s">
        <v>200</v>
      </c>
      <c r="N61" s="134" t="s">
        <v>1203</v>
      </c>
      <c r="O61" s="134"/>
      <c r="P61" s="134"/>
      <c r="Q61" s="134"/>
      <c r="R61" s="134"/>
      <c r="S61" s="134"/>
      <c r="T61" s="134"/>
      <c r="U61" s="134"/>
      <c r="V61" s="134"/>
      <c r="W61" s="134"/>
      <c r="X61" s="134"/>
    </row>
    <row r="62" spans="1:24" s="81" customFormat="1">
      <c r="A62" s="134" t="s">
        <v>305</v>
      </c>
      <c r="B62" s="134" t="s">
        <v>305</v>
      </c>
      <c r="C62" s="134" t="s">
        <v>306</v>
      </c>
      <c r="D62" s="134"/>
      <c r="E62" s="134"/>
      <c r="F62" s="134" t="s">
        <v>160</v>
      </c>
      <c r="G62" s="134" t="s">
        <v>307</v>
      </c>
      <c r="H62" s="134"/>
      <c r="I62" s="134">
        <v>31</v>
      </c>
      <c r="J62" s="134">
        <v>0</v>
      </c>
      <c r="K62" s="134">
        <v>32</v>
      </c>
      <c r="L62" s="134" t="s">
        <v>192</v>
      </c>
      <c r="M62" s="134" t="s">
        <v>200</v>
      </c>
      <c r="N62" s="134" t="s">
        <v>1204</v>
      </c>
      <c r="O62" s="134"/>
      <c r="P62" s="134"/>
      <c r="Q62" s="134"/>
      <c r="R62" s="134"/>
      <c r="S62" s="134"/>
      <c r="T62" s="134"/>
      <c r="U62" s="134"/>
      <c r="V62" s="134"/>
      <c r="W62" s="134"/>
      <c r="X62" s="134"/>
    </row>
    <row r="63" spans="1:24" s="81" customFormat="1">
      <c r="A63" s="134" t="s">
        <v>308</v>
      </c>
      <c r="B63" s="134" t="s">
        <v>308</v>
      </c>
      <c r="C63" s="134" t="s">
        <v>309</v>
      </c>
      <c r="D63" s="134"/>
      <c r="E63" s="134"/>
      <c r="F63" s="134" t="s">
        <v>160</v>
      </c>
      <c r="G63" s="134" t="s">
        <v>310</v>
      </c>
      <c r="H63" s="134"/>
      <c r="I63" s="134">
        <v>31</v>
      </c>
      <c r="J63" s="134">
        <v>0</v>
      </c>
      <c r="K63" s="134">
        <v>32</v>
      </c>
      <c r="L63" s="134" t="s">
        <v>192</v>
      </c>
      <c r="M63" s="134" t="s">
        <v>200</v>
      </c>
      <c r="N63" s="134" t="s">
        <v>1205</v>
      </c>
      <c r="O63" s="134"/>
      <c r="P63" s="134"/>
      <c r="Q63" s="134"/>
      <c r="R63" s="134"/>
      <c r="S63" s="134"/>
      <c r="T63" s="134"/>
      <c r="U63" s="134"/>
      <c r="V63" s="134"/>
      <c r="W63" s="134"/>
      <c r="X63" s="134"/>
    </row>
    <row r="64" spans="1:24" s="81" customFormat="1">
      <c r="A64" s="134" t="s">
        <v>311</v>
      </c>
      <c r="B64" s="134" t="s">
        <v>311</v>
      </c>
      <c r="C64" s="134" t="s">
        <v>312</v>
      </c>
      <c r="D64" s="134"/>
      <c r="E64" s="134"/>
      <c r="F64" s="134" t="s">
        <v>160</v>
      </c>
      <c r="G64" s="134" t="s">
        <v>313</v>
      </c>
      <c r="H64" s="134"/>
      <c r="I64" s="134">
        <v>31</v>
      </c>
      <c r="J64" s="134">
        <v>0</v>
      </c>
      <c r="K64" s="134">
        <v>32</v>
      </c>
      <c r="L64" s="134" t="s">
        <v>192</v>
      </c>
      <c r="M64" s="134" t="s">
        <v>200</v>
      </c>
      <c r="N64" s="134" t="s">
        <v>1206</v>
      </c>
      <c r="O64" s="134"/>
      <c r="P64" s="134"/>
      <c r="Q64" s="134"/>
      <c r="R64" s="134"/>
      <c r="S64" s="134"/>
      <c r="T64" s="134"/>
      <c r="U64" s="134"/>
      <c r="V64" s="134"/>
      <c r="W64" s="134"/>
      <c r="X64" s="134"/>
    </row>
    <row r="65" spans="1:24" s="81" customFormat="1">
      <c r="A65" s="134" t="s">
        <v>314</v>
      </c>
      <c r="B65" s="134" t="s">
        <v>314</v>
      </c>
      <c r="C65" s="134" t="s">
        <v>315</v>
      </c>
      <c r="D65" s="134"/>
      <c r="E65" s="134"/>
      <c r="F65" s="134" t="s">
        <v>160</v>
      </c>
      <c r="G65" s="134" t="s">
        <v>316</v>
      </c>
      <c r="H65" s="134"/>
      <c r="I65" s="134">
        <v>31</v>
      </c>
      <c r="J65" s="134">
        <v>0</v>
      </c>
      <c r="K65" s="134">
        <v>32</v>
      </c>
      <c r="L65" s="134" t="s">
        <v>192</v>
      </c>
      <c r="M65" s="134" t="s">
        <v>200</v>
      </c>
      <c r="N65" s="134" t="s">
        <v>1207</v>
      </c>
      <c r="O65" s="134"/>
      <c r="P65" s="134"/>
      <c r="Q65" s="134"/>
      <c r="R65" s="134"/>
      <c r="S65" s="134"/>
      <c r="T65" s="134"/>
      <c r="U65" s="134"/>
      <c r="V65" s="134"/>
      <c r="W65" s="134"/>
      <c r="X65" s="134"/>
    </row>
    <row r="66" spans="1:24" s="81" customFormat="1">
      <c r="A66" s="134" t="s">
        <v>317</v>
      </c>
      <c r="B66" s="134" t="s">
        <v>317</v>
      </c>
      <c r="C66" s="134" t="s">
        <v>318</v>
      </c>
      <c r="D66" s="134"/>
      <c r="E66" s="134"/>
      <c r="F66" s="134" t="s">
        <v>160</v>
      </c>
      <c r="G66" s="134" t="s">
        <v>319</v>
      </c>
      <c r="H66" s="134"/>
      <c r="I66" s="134">
        <v>31</v>
      </c>
      <c r="J66" s="134">
        <v>0</v>
      </c>
      <c r="K66" s="134">
        <v>32</v>
      </c>
      <c r="L66" s="134" t="s">
        <v>192</v>
      </c>
      <c r="M66" s="134" t="s">
        <v>200</v>
      </c>
      <c r="N66" s="134" t="s">
        <v>1208</v>
      </c>
      <c r="O66" s="134"/>
      <c r="P66" s="134"/>
      <c r="Q66" s="134"/>
      <c r="R66" s="134"/>
      <c r="S66" s="134"/>
      <c r="T66" s="134"/>
      <c r="U66" s="134"/>
      <c r="V66" s="134"/>
      <c r="W66" s="134"/>
      <c r="X66" s="134"/>
    </row>
    <row r="67" spans="1:24" s="81" customFormat="1">
      <c r="A67" s="134" t="s">
        <v>320</v>
      </c>
      <c r="B67" s="134" t="s">
        <v>320</v>
      </c>
      <c r="C67" s="134" t="s">
        <v>321</v>
      </c>
      <c r="D67" s="134"/>
      <c r="E67" s="134"/>
      <c r="F67" s="134" t="s">
        <v>160</v>
      </c>
      <c r="G67" s="134" t="s">
        <v>322</v>
      </c>
      <c r="H67" s="134"/>
      <c r="I67" s="134">
        <v>31</v>
      </c>
      <c r="J67" s="134">
        <v>0</v>
      </c>
      <c r="K67" s="134">
        <v>32</v>
      </c>
      <c r="L67" s="134" t="s">
        <v>192</v>
      </c>
      <c r="M67" s="134" t="s">
        <v>200</v>
      </c>
      <c r="N67" s="134" t="s">
        <v>1209</v>
      </c>
      <c r="O67" s="134"/>
      <c r="P67" s="134"/>
      <c r="Q67" s="134"/>
      <c r="R67" s="134"/>
      <c r="S67" s="134"/>
      <c r="T67" s="134"/>
      <c r="U67" s="134"/>
      <c r="V67" s="134"/>
      <c r="W67" s="134"/>
      <c r="X67" s="134"/>
    </row>
    <row r="68" spans="1:24" s="81" customFormat="1">
      <c r="A68" s="134" t="s">
        <v>323</v>
      </c>
      <c r="B68" s="134" t="s">
        <v>323</v>
      </c>
      <c r="C68" s="134" t="s">
        <v>324</v>
      </c>
      <c r="D68" s="134"/>
      <c r="E68" s="134"/>
      <c r="F68" s="134" t="s">
        <v>160</v>
      </c>
      <c r="G68" s="134" t="s">
        <v>325</v>
      </c>
      <c r="H68" s="134"/>
      <c r="I68" s="134">
        <v>31</v>
      </c>
      <c r="J68" s="134">
        <v>0</v>
      </c>
      <c r="K68" s="134">
        <v>32</v>
      </c>
      <c r="L68" s="134" t="s">
        <v>192</v>
      </c>
      <c r="M68" s="134" t="s">
        <v>200</v>
      </c>
      <c r="N68" s="134" t="s">
        <v>1210</v>
      </c>
      <c r="O68" s="134"/>
      <c r="P68" s="134"/>
      <c r="Q68" s="134"/>
      <c r="R68" s="134"/>
      <c r="S68" s="134"/>
      <c r="T68" s="134"/>
      <c r="U68" s="134"/>
      <c r="V68" s="134"/>
      <c r="W68" s="134"/>
      <c r="X68" s="134"/>
    </row>
    <row r="69" spans="1:24" s="81" customFormat="1">
      <c r="A69" s="134" t="s">
        <v>326</v>
      </c>
      <c r="B69" s="134" t="s">
        <v>326</v>
      </c>
      <c r="C69" s="134" t="s">
        <v>327</v>
      </c>
      <c r="D69" s="134"/>
      <c r="E69" s="134"/>
      <c r="F69" s="134" t="s">
        <v>160</v>
      </c>
      <c r="G69" s="134" t="s">
        <v>328</v>
      </c>
      <c r="H69" s="134"/>
      <c r="I69" s="134">
        <v>31</v>
      </c>
      <c r="J69" s="134">
        <v>0</v>
      </c>
      <c r="K69" s="134">
        <v>32</v>
      </c>
      <c r="L69" s="134" t="s">
        <v>192</v>
      </c>
      <c r="M69" s="134" t="s">
        <v>200</v>
      </c>
      <c r="N69" s="134" t="s">
        <v>1211</v>
      </c>
      <c r="O69" s="134"/>
      <c r="P69" s="134"/>
      <c r="Q69" s="134"/>
      <c r="R69" s="134"/>
      <c r="S69" s="134"/>
      <c r="T69" s="134"/>
      <c r="U69" s="134"/>
      <c r="V69" s="134"/>
      <c r="W69" s="134"/>
      <c r="X69" s="134"/>
    </row>
    <row r="70" spans="1:24" s="81" customFormat="1">
      <c r="A70" s="134" t="s">
        <v>329</v>
      </c>
      <c r="B70" s="134" t="s">
        <v>329</v>
      </c>
      <c r="C70" s="134" t="s">
        <v>330</v>
      </c>
      <c r="D70" s="134"/>
      <c r="E70" s="134"/>
      <c r="F70" s="134" t="s">
        <v>160</v>
      </c>
      <c r="G70" s="134" t="s">
        <v>331</v>
      </c>
      <c r="H70" s="134"/>
      <c r="I70" s="134">
        <v>31</v>
      </c>
      <c r="J70" s="134">
        <v>0</v>
      </c>
      <c r="K70" s="134">
        <v>32</v>
      </c>
      <c r="L70" s="134" t="s">
        <v>192</v>
      </c>
      <c r="M70" s="134" t="s">
        <v>200</v>
      </c>
      <c r="N70" s="134" t="s">
        <v>1212</v>
      </c>
      <c r="O70" s="134"/>
      <c r="P70" s="134"/>
      <c r="Q70" s="134"/>
      <c r="R70" s="134"/>
      <c r="S70" s="134"/>
      <c r="T70" s="134"/>
      <c r="U70" s="134"/>
      <c r="V70" s="134"/>
      <c r="W70" s="134"/>
      <c r="X70" s="134"/>
    </row>
    <row r="71" spans="1:24" s="81" customFormat="1">
      <c r="A71" s="134" t="s">
        <v>332</v>
      </c>
      <c r="B71" s="134" t="s">
        <v>332</v>
      </c>
      <c r="C71" s="134" t="s">
        <v>333</v>
      </c>
      <c r="D71" s="134"/>
      <c r="E71" s="134"/>
      <c r="F71" s="134" t="s">
        <v>160</v>
      </c>
      <c r="G71" s="134" t="s">
        <v>334</v>
      </c>
      <c r="H71" s="134"/>
      <c r="I71" s="134">
        <v>31</v>
      </c>
      <c r="J71" s="134">
        <v>0</v>
      </c>
      <c r="K71" s="134">
        <v>32</v>
      </c>
      <c r="L71" s="134" t="s">
        <v>192</v>
      </c>
      <c r="M71" s="134" t="s">
        <v>200</v>
      </c>
      <c r="N71" s="134" t="s">
        <v>1213</v>
      </c>
      <c r="O71" s="134"/>
      <c r="P71" s="134"/>
      <c r="Q71" s="134"/>
      <c r="R71" s="134"/>
      <c r="S71" s="134"/>
      <c r="T71" s="134"/>
      <c r="U71" s="134"/>
      <c r="V71" s="134"/>
      <c r="W71" s="134"/>
      <c r="X71" s="134"/>
    </row>
    <row r="72" spans="1:24" s="81" customFormat="1">
      <c r="A72" s="134" t="s">
        <v>335</v>
      </c>
      <c r="B72" s="134" t="s">
        <v>335</v>
      </c>
      <c r="C72" s="134" t="s">
        <v>336</v>
      </c>
      <c r="D72" s="134"/>
      <c r="E72" s="134"/>
      <c r="F72" s="134" t="s">
        <v>160</v>
      </c>
      <c r="G72" s="134" t="s">
        <v>337</v>
      </c>
      <c r="H72" s="134"/>
      <c r="I72" s="134">
        <v>31</v>
      </c>
      <c r="J72" s="134">
        <v>0</v>
      </c>
      <c r="K72" s="134">
        <v>32</v>
      </c>
      <c r="L72" s="134" t="s">
        <v>192</v>
      </c>
      <c r="M72" s="134" t="s">
        <v>200</v>
      </c>
      <c r="N72" s="134" t="s">
        <v>1214</v>
      </c>
      <c r="O72" s="134"/>
      <c r="P72" s="134"/>
      <c r="Q72" s="134"/>
      <c r="R72" s="134"/>
      <c r="S72" s="134"/>
      <c r="T72" s="134"/>
      <c r="U72" s="134"/>
      <c r="V72" s="134"/>
      <c r="W72" s="134"/>
      <c r="X72" s="134"/>
    </row>
    <row r="73" spans="1:24" s="81" customFormat="1">
      <c r="A73" s="134" t="s">
        <v>338</v>
      </c>
      <c r="B73" s="134" t="s">
        <v>338</v>
      </c>
      <c r="C73" s="134" t="s">
        <v>339</v>
      </c>
      <c r="D73" s="134"/>
      <c r="E73" s="134"/>
      <c r="F73" s="134" t="s">
        <v>160</v>
      </c>
      <c r="G73" s="134" t="s">
        <v>340</v>
      </c>
      <c r="H73" s="134"/>
      <c r="I73" s="134">
        <v>31</v>
      </c>
      <c r="J73" s="134">
        <v>0</v>
      </c>
      <c r="K73" s="134">
        <v>32</v>
      </c>
      <c r="L73" s="134" t="s">
        <v>192</v>
      </c>
      <c r="M73" s="134" t="s">
        <v>200</v>
      </c>
      <c r="N73" s="134" t="s">
        <v>1215</v>
      </c>
      <c r="O73" s="134"/>
      <c r="P73" s="134"/>
      <c r="Q73" s="134"/>
      <c r="R73" s="134"/>
      <c r="S73" s="134"/>
      <c r="T73" s="134"/>
      <c r="U73" s="134"/>
      <c r="V73" s="134"/>
      <c r="W73" s="134"/>
      <c r="X73" s="134"/>
    </row>
    <row r="74" spans="1:24" s="81" customFormat="1">
      <c r="A74" s="134" t="s">
        <v>341</v>
      </c>
      <c r="B74" s="134" t="s">
        <v>341</v>
      </c>
      <c r="C74" s="134" t="s">
        <v>342</v>
      </c>
      <c r="D74" s="134"/>
      <c r="E74" s="134"/>
      <c r="F74" s="134" t="s">
        <v>160</v>
      </c>
      <c r="G74" s="134" t="s">
        <v>343</v>
      </c>
      <c r="H74" s="134"/>
      <c r="I74" s="134">
        <v>31</v>
      </c>
      <c r="J74" s="134">
        <v>0</v>
      </c>
      <c r="K74" s="134">
        <v>32</v>
      </c>
      <c r="L74" s="134" t="s">
        <v>192</v>
      </c>
      <c r="M74" s="134" t="s">
        <v>200</v>
      </c>
      <c r="N74" s="134" t="s">
        <v>1216</v>
      </c>
      <c r="O74" s="134"/>
      <c r="P74" s="134"/>
      <c r="Q74" s="134"/>
      <c r="R74" s="134"/>
      <c r="S74" s="134"/>
      <c r="T74" s="134"/>
      <c r="U74" s="134"/>
      <c r="V74" s="134"/>
      <c r="W74" s="134"/>
      <c r="X74" s="134"/>
    </row>
    <row r="75" spans="1:24" s="81" customFormat="1">
      <c r="A75" s="134" t="s">
        <v>344</v>
      </c>
      <c r="B75" s="134" t="s">
        <v>344</v>
      </c>
      <c r="C75" s="134" t="s">
        <v>345</v>
      </c>
      <c r="D75" s="134"/>
      <c r="E75" s="134"/>
      <c r="F75" s="134" t="s">
        <v>160</v>
      </c>
      <c r="G75" s="134" t="s">
        <v>346</v>
      </c>
      <c r="H75" s="134"/>
      <c r="I75" s="134">
        <v>31</v>
      </c>
      <c r="J75" s="134">
        <v>0</v>
      </c>
      <c r="K75" s="134">
        <v>32</v>
      </c>
      <c r="L75" s="134" t="s">
        <v>192</v>
      </c>
      <c r="M75" s="134" t="s">
        <v>200</v>
      </c>
      <c r="N75" s="134" t="s">
        <v>1217</v>
      </c>
      <c r="O75" s="134"/>
      <c r="P75" s="134"/>
      <c r="Q75" s="134"/>
      <c r="R75" s="134"/>
      <c r="S75" s="134"/>
      <c r="T75" s="134"/>
      <c r="U75" s="134"/>
      <c r="V75" s="134"/>
      <c r="W75" s="134"/>
      <c r="X75" s="134"/>
    </row>
    <row r="76" spans="1:24" s="81" customFormat="1">
      <c r="A76" s="134" t="s">
        <v>347</v>
      </c>
      <c r="B76" s="134" t="s">
        <v>347</v>
      </c>
      <c r="C76" s="134" t="s">
        <v>348</v>
      </c>
      <c r="D76" s="134"/>
      <c r="E76" s="134"/>
      <c r="F76" s="134" t="s">
        <v>160</v>
      </c>
      <c r="G76" s="134" t="s">
        <v>349</v>
      </c>
      <c r="H76" s="134"/>
      <c r="I76" s="134">
        <v>31</v>
      </c>
      <c r="J76" s="134">
        <v>0</v>
      </c>
      <c r="K76" s="134">
        <v>32</v>
      </c>
      <c r="L76" s="134" t="s">
        <v>192</v>
      </c>
      <c r="M76" s="134" t="s">
        <v>200</v>
      </c>
      <c r="N76" s="134" t="s">
        <v>1218</v>
      </c>
      <c r="O76" s="134"/>
      <c r="P76" s="134"/>
      <c r="Q76" s="134"/>
      <c r="R76" s="134"/>
      <c r="S76" s="134"/>
      <c r="T76" s="134"/>
      <c r="U76" s="134"/>
      <c r="V76" s="134"/>
      <c r="W76" s="134"/>
      <c r="X76" s="134"/>
    </row>
    <row r="77" spans="1:24" s="81" customFormat="1">
      <c r="A77" s="134" t="s">
        <v>350</v>
      </c>
      <c r="B77" s="134" t="s">
        <v>350</v>
      </c>
      <c r="C77" s="134" t="s">
        <v>351</v>
      </c>
      <c r="D77" s="134"/>
      <c r="E77" s="134"/>
      <c r="F77" s="134" t="s">
        <v>160</v>
      </c>
      <c r="G77" s="134" t="s">
        <v>352</v>
      </c>
      <c r="H77" s="134"/>
      <c r="I77" s="134">
        <v>31</v>
      </c>
      <c r="J77" s="134">
        <v>0</v>
      </c>
      <c r="K77" s="134">
        <v>32</v>
      </c>
      <c r="L77" s="134" t="s">
        <v>192</v>
      </c>
      <c r="M77" s="134" t="s">
        <v>200</v>
      </c>
      <c r="N77" s="134" t="s">
        <v>1219</v>
      </c>
      <c r="O77" s="134"/>
      <c r="P77" s="134"/>
      <c r="Q77" s="134"/>
      <c r="R77" s="134"/>
      <c r="S77" s="134"/>
      <c r="T77" s="134"/>
      <c r="U77" s="134"/>
      <c r="V77" s="134"/>
      <c r="W77" s="134"/>
      <c r="X77" s="134"/>
    </row>
    <row r="78" spans="1:24" s="81" customFormat="1">
      <c r="A78" s="134" t="s">
        <v>353</v>
      </c>
      <c r="B78" s="134" t="s">
        <v>353</v>
      </c>
      <c r="C78" s="134" t="s">
        <v>354</v>
      </c>
      <c r="D78" s="134"/>
      <c r="E78" s="134"/>
      <c r="F78" s="134" t="s">
        <v>160</v>
      </c>
      <c r="G78" s="134" t="s">
        <v>355</v>
      </c>
      <c r="H78" s="134"/>
      <c r="I78" s="134">
        <v>31</v>
      </c>
      <c r="J78" s="134">
        <v>0</v>
      </c>
      <c r="K78" s="134">
        <v>32</v>
      </c>
      <c r="L78" s="134" t="s">
        <v>192</v>
      </c>
      <c r="M78" s="134" t="s">
        <v>200</v>
      </c>
      <c r="N78" s="134" t="s">
        <v>1220</v>
      </c>
      <c r="O78" s="134"/>
      <c r="P78" s="134"/>
      <c r="Q78" s="134"/>
      <c r="R78" s="134"/>
      <c r="S78" s="134"/>
      <c r="T78" s="134"/>
      <c r="U78" s="134"/>
      <c r="V78" s="134"/>
      <c r="W78" s="134"/>
      <c r="X78" s="134"/>
    </row>
    <row r="79" spans="1:24" s="81" customFormat="1">
      <c r="A79" s="134" t="s">
        <v>356</v>
      </c>
      <c r="B79" s="134" t="s">
        <v>356</v>
      </c>
      <c r="C79" s="134" t="s">
        <v>357</v>
      </c>
      <c r="D79" s="134"/>
      <c r="E79" s="134"/>
      <c r="F79" s="134" t="s">
        <v>160</v>
      </c>
      <c r="G79" s="134" t="s">
        <v>358</v>
      </c>
      <c r="H79" s="134"/>
      <c r="I79" s="134">
        <v>31</v>
      </c>
      <c r="J79" s="134">
        <v>0</v>
      </c>
      <c r="K79" s="134">
        <v>32</v>
      </c>
      <c r="L79" s="134" t="s">
        <v>192</v>
      </c>
      <c r="M79" s="134" t="s">
        <v>200</v>
      </c>
      <c r="N79" s="134" t="s">
        <v>1221</v>
      </c>
      <c r="O79" s="134"/>
      <c r="P79" s="134"/>
      <c r="Q79" s="134"/>
      <c r="R79" s="134"/>
      <c r="S79" s="134"/>
      <c r="T79" s="134"/>
      <c r="U79" s="134"/>
      <c r="V79" s="134"/>
      <c r="W79" s="134"/>
      <c r="X79" s="134"/>
    </row>
    <row r="80" spans="1:24" s="81" customFormat="1">
      <c r="A80" s="134" t="s">
        <v>359</v>
      </c>
      <c r="B80" s="134" t="s">
        <v>359</v>
      </c>
      <c r="C80" s="134" t="s">
        <v>360</v>
      </c>
      <c r="D80" s="134"/>
      <c r="E80" s="134"/>
      <c r="F80" s="134" t="s">
        <v>160</v>
      </c>
      <c r="G80" s="134" t="s">
        <v>361</v>
      </c>
      <c r="H80" s="134"/>
      <c r="I80" s="134">
        <v>31</v>
      </c>
      <c r="J80" s="134">
        <v>0</v>
      </c>
      <c r="K80" s="134">
        <v>32</v>
      </c>
      <c r="L80" s="134" t="s">
        <v>192</v>
      </c>
      <c r="M80" s="134" t="s">
        <v>200</v>
      </c>
      <c r="N80" s="134" t="s">
        <v>1222</v>
      </c>
      <c r="O80" s="134"/>
      <c r="P80" s="134"/>
      <c r="Q80" s="134"/>
      <c r="R80" s="134"/>
      <c r="S80" s="134"/>
      <c r="T80" s="134"/>
      <c r="U80" s="134"/>
      <c r="V80" s="134"/>
      <c r="W80" s="134"/>
      <c r="X80" s="134"/>
    </row>
    <row r="81" spans="1:24" s="81" customFormat="1">
      <c r="A81" s="134" t="s">
        <v>362</v>
      </c>
      <c r="B81" s="134" t="s">
        <v>362</v>
      </c>
      <c r="C81" s="134" t="s">
        <v>363</v>
      </c>
      <c r="D81" s="134"/>
      <c r="E81" s="134"/>
      <c r="F81" s="134" t="s">
        <v>160</v>
      </c>
      <c r="G81" s="134" t="s">
        <v>364</v>
      </c>
      <c r="H81" s="134"/>
      <c r="I81" s="134">
        <v>31</v>
      </c>
      <c r="J81" s="134">
        <v>0</v>
      </c>
      <c r="K81" s="134">
        <v>32</v>
      </c>
      <c r="L81" s="134" t="s">
        <v>192</v>
      </c>
      <c r="M81" s="134" t="s">
        <v>200</v>
      </c>
      <c r="N81" s="134" t="s">
        <v>1224</v>
      </c>
      <c r="O81" s="134"/>
      <c r="P81" s="134"/>
      <c r="Q81" s="134"/>
      <c r="R81" s="134"/>
      <c r="S81" s="134"/>
      <c r="T81" s="134"/>
      <c r="U81" s="134"/>
      <c r="V81" s="134"/>
      <c r="W81" s="134"/>
      <c r="X81" s="134"/>
    </row>
    <row r="82" spans="1:24">
      <c r="A82" s="134" t="s">
        <v>365</v>
      </c>
      <c r="B82" s="134" t="s">
        <v>365</v>
      </c>
      <c r="C82" s="134" t="s">
        <v>366</v>
      </c>
      <c r="D82" s="134"/>
      <c r="E82" s="134"/>
      <c r="F82" s="134" t="s">
        <v>160</v>
      </c>
      <c r="G82" s="134" t="s">
        <v>367</v>
      </c>
      <c r="H82" s="134"/>
      <c r="I82" s="134">
        <v>3</v>
      </c>
      <c r="J82" s="134">
        <v>0</v>
      </c>
      <c r="K82" s="134">
        <v>4</v>
      </c>
      <c r="L82" s="134" t="s">
        <v>192</v>
      </c>
      <c r="M82" s="134" t="s">
        <v>200</v>
      </c>
      <c r="N82" s="134" t="s">
        <v>1242</v>
      </c>
      <c r="O82" s="134" t="s">
        <v>1188</v>
      </c>
      <c r="P82" s="134"/>
      <c r="Q82" s="134"/>
      <c r="R82" s="134"/>
      <c r="S82" s="134"/>
      <c r="T82" s="134"/>
      <c r="U82" s="134"/>
      <c r="V82" s="134"/>
      <c r="W82" s="134"/>
      <c r="X82" s="134"/>
    </row>
    <row r="83" spans="1:24">
      <c r="A83" s="134"/>
      <c r="B83" s="134"/>
      <c r="C83" s="134"/>
      <c r="D83" s="134"/>
      <c r="E83" s="134"/>
      <c r="F83" s="134" t="s">
        <v>160</v>
      </c>
      <c r="G83" s="134" t="s">
        <v>368</v>
      </c>
      <c r="H83" s="134"/>
      <c r="I83" s="134">
        <v>7</v>
      </c>
      <c r="J83" s="134">
        <v>4</v>
      </c>
      <c r="K83" s="134">
        <v>4</v>
      </c>
      <c r="L83" s="134" t="s">
        <v>192</v>
      </c>
      <c r="M83" s="134" t="s">
        <v>200</v>
      </c>
      <c r="N83" s="134" t="s">
        <v>1242</v>
      </c>
      <c r="O83" s="134" t="s">
        <v>1188</v>
      </c>
      <c r="P83" s="134"/>
      <c r="Q83" s="134"/>
      <c r="R83" s="134"/>
      <c r="S83" s="134"/>
      <c r="T83" s="134"/>
      <c r="U83" s="134"/>
      <c r="V83" s="134"/>
      <c r="W83" s="134"/>
      <c r="X83" s="134"/>
    </row>
    <row r="84" spans="1:24" s="81" customFormat="1">
      <c r="A84" s="134"/>
      <c r="B84" s="134"/>
      <c r="C84" s="134"/>
      <c r="D84" s="134"/>
      <c r="E84" s="134"/>
      <c r="F84" s="134" t="s">
        <v>160</v>
      </c>
      <c r="G84" s="134" t="s">
        <v>369</v>
      </c>
      <c r="H84" s="134"/>
      <c r="I84" s="134">
        <v>11</v>
      </c>
      <c r="J84" s="134">
        <v>8</v>
      </c>
      <c r="K84" s="134">
        <v>4</v>
      </c>
      <c r="L84" s="134" t="s">
        <v>192</v>
      </c>
      <c r="M84" s="134" t="s">
        <v>200</v>
      </c>
      <c r="N84" s="134" t="s">
        <v>1243</v>
      </c>
      <c r="O84" s="134"/>
      <c r="P84" s="134"/>
      <c r="Q84" s="134"/>
      <c r="R84" s="134"/>
      <c r="S84" s="134"/>
      <c r="T84" s="134"/>
      <c r="U84" s="134"/>
      <c r="V84" s="134"/>
      <c r="W84" s="134"/>
      <c r="X84" s="134"/>
    </row>
    <row r="85" spans="1:24" s="81" customFormat="1">
      <c r="A85" s="134"/>
      <c r="B85" s="134"/>
      <c r="C85" s="134"/>
      <c r="D85" s="134"/>
      <c r="E85" s="134"/>
      <c r="F85" s="134" t="s">
        <v>160</v>
      </c>
      <c r="G85" s="134" t="s">
        <v>370</v>
      </c>
      <c r="H85" s="134"/>
      <c r="I85" s="134">
        <v>15</v>
      </c>
      <c r="J85" s="134">
        <v>12</v>
      </c>
      <c r="K85" s="134">
        <v>4</v>
      </c>
      <c r="L85" s="134" t="s">
        <v>192</v>
      </c>
      <c r="M85" s="134" t="s">
        <v>200</v>
      </c>
      <c r="N85" s="134" t="s">
        <v>1244</v>
      </c>
      <c r="O85" s="134"/>
      <c r="P85" s="134"/>
      <c r="Q85" s="134"/>
      <c r="R85" s="134"/>
      <c r="S85" s="134"/>
      <c r="T85" s="134"/>
      <c r="U85" s="134"/>
      <c r="V85" s="134"/>
      <c r="W85" s="134"/>
      <c r="X85" s="134"/>
    </row>
    <row r="86" spans="1:24" s="81" customFormat="1">
      <c r="A86" s="134"/>
      <c r="B86" s="134"/>
      <c r="C86" s="134"/>
      <c r="D86" s="134"/>
      <c r="E86" s="134"/>
      <c r="F86" s="134" t="s">
        <v>160</v>
      </c>
      <c r="G86" s="134" t="s">
        <v>371</v>
      </c>
      <c r="H86" s="134"/>
      <c r="I86" s="134">
        <v>21</v>
      </c>
      <c r="J86" s="134">
        <v>16</v>
      </c>
      <c r="K86" s="134">
        <v>6</v>
      </c>
      <c r="L86" s="134" t="s">
        <v>192</v>
      </c>
      <c r="M86" s="134" t="s">
        <v>200</v>
      </c>
      <c r="N86" s="134" t="s">
        <v>372</v>
      </c>
      <c r="O86" s="134"/>
      <c r="P86" s="134"/>
      <c r="Q86" s="134"/>
      <c r="R86" s="134"/>
      <c r="S86" s="134"/>
      <c r="T86" s="134"/>
      <c r="U86" s="134"/>
      <c r="V86" s="134"/>
      <c r="W86" s="134"/>
      <c r="X86" s="134"/>
    </row>
    <row r="87" spans="1:24" s="81" customFormat="1">
      <c r="A87" s="134"/>
      <c r="B87" s="134"/>
      <c r="C87" s="134"/>
      <c r="D87" s="134"/>
      <c r="E87" s="134"/>
      <c r="F87" s="134" t="s">
        <v>160</v>
      </c>
      <c r="G87" s="134" t="s">
        <v>373</v>
      </c>
      <c r="H87" s="134"/>
      <c r="I87" s="134">
        <v>27</v>
      </c>
      <c r="J87" s="134">
        <v>22</v>
      </c>
      <c r="K87" s="134">
        <v>6</v>
      </c>
      <c r="L87" s="134" t="s">
        <v>192</v>
      </c>
      <c r="M87" s="134" t="s">
        <v>200</v>
      </c>
      <c r="N87" s="134" t="s">
        <v>374</v>
      </c>
      <c r="O87" s="134"/>
      <c r="P87" s="134"/>
      <c r="Q87" s="134"/>
      <c r="R87" s="134"/>
      <c r="S87" s="134"/>
      <c r="T87" s="134"/>
      <c r="U87" s="134"/>
      <c r="V87" s="134"/>
      <c r="W87" s="134"/>
      <c r="X87" s="134"/>
    </row>
    <row r="88" spans="1:24">
      <c r="A88" s="134" t="s">
        <v>375</v>
      </c>
      <c r="B88" s="134" t="s">
        <v>375</v>
      </c>
      <c r="C88" s="134" t="s">
        <v>376</v>
      </c>
      <c r="D88" s="134"/>
      <c r="E88" s="134"/>
      <c r="F88" s="134" t="s">
        <v>160</v>
      </c>
      <c r="G88" s="134" t="s">
        <v>377</v>
      </c>
      <c r="H88" s="134" t="s">
        <v>202</v>
      </c>
      <c r="I88" s="134">
        <v>0</v>
      </c>
      <c r="J88" s="134">
        <v>0</v>
      </c>
      <c r="K88" s="134">
        <v>1</v>
      </c>
      <c r="L88" s="134" t="s">
        <v>192</v>
      </c>
      <c r="M88" s="134" t="s">
        <v>200</v>
      </c>
      <c r="N88" s="134" t="s">
        <v>1298</v>
      </c>
      <c r="O88" s="134" t="s">
        <v>1188</v>
      </c>
      <c r="P88" s="134"/>
      <c r="Q88" s="134"/>
      <c r="R88" s="134"/>
      <c r="S88" s="134"/>
      <c r="T88" s="134"/>
      <c r="U88" s="134"/>
      <c r="V88" s="134"/>
      <c r="W88" s="134"/>
      <c r="X88" s="134"/>
    </row>
    <row r="89" spans="1:24" s="81" customFormat="1" ht="28.2">
      <c r="A89" s="134"/>
      <c r="B89" s="134"/>
      <c r="C89" s="134"/>
      <c r="D89" s="134"/>
      <c r="E89" s="134"/>
      <c r="F89" s="134" t="s">
        <v>160</v>
      </c>
      <c r="G89" s="134" t="s">
        <v>378</v>
      </c>
      <c r="H89" s="134" t="s">
        <v>202</v>
      </c>
      <c r="I89" s="134">
        <v>1</v>
      </c>
      <c r="J89" s="134">
        <v>1</v>
      </c>
      <c r="K89" s="134">
        <v>1</v>
      </c>
      <c r="L89" s="134" t="s">
        <v>192</v>
      </c>
      <c r="M89" s="134" t="s">
        <v>195</v>
      </c>
      <c r="N89" s="135" t="s">
        <v>1299</v>
      </c>
      <c r="O89" s="135" t="s">
        <v>1188</v>
      </c>
      <c r="P89" s="134"/>
      <c r="Q89" s="134"/>
      <c r="R89" s="134"/>
      <c r="S89" s="134"/>
      <c r="T89" s="134"/>
      <c r="U89" s="134"/>
      <c r="V89" s="134"/>
      <c r="W89" s="134"/>
      <c r="X89" s="134"/>
    </row>
    <row r="90" spans="1:24">
      <c r="A90" s="134" t="s">
        <v>379</v>
      </c>
      <c r="B90" s="134" t="s">
        <v>379</v>
      </c>
      <c r="C90" s="134" t="s">
        <v>380</v>
      </c>
      <c r="D90" s="134"/>
      <c r="E90" s="134"/>
      <c r="F90" s="134" t="s">
        <v>160</v>
      </c>
      <c r="G90" s="134" t="s">
        <v>381</v>
      </c>
      <c r="H90" s="134" t="s">
        <v>202</v>
      </c>
      <c r="I90" s="134">
        <v>31</v>
      </c>
      <c r="J90" s="134">
        <v>0</v>
      </c>
      <c r="K90" s="134">
        <v>32</v>
      </c>
      <c r="L90" s="134" t="s">
        <v>192</v>
      </c>
      <c r="M90" s="134" t="s">
        <v>209</v>
      </c>
      <c r="N90" s="134" t="s">
        <v>1300</v>
      </c>
      <c r="O90" s="134" t="s">
        <v>1188</v>
      </c>
      <c r="P90" s="134"/>
      <c r="Q90" s="134"/>
      <c r="R90" s="134"/>
      <c r="S90" s="134"/>
      <c r="T90" s="134"/>
      <c r="U90" s="134"/>
      <c r="V90" s="134"/>
      <c r="W90" s="134"/>
      <c r="X90" s="134"/>
    </row>
    <row r="91" spans="1:24">
      <c r="A91" s="134" t="s">
        <v>382</v>
      </c>
      <c r="B91" s="134" t="s">
        <v>382</v>
      </c>
      <c r="C91" s="134" t="s">
        <v>383</v>
      </c>
      <c r="D91" s="134"/>
      <c r="E91" s="134"/>
      <c r="F91" s="134" t="s">
        <v>160</v>
      </c>
      <c r="G91" s="134" t="s">
        <v>384</v>
      </c>
      <c r="H91" s="134" t="s">
        <v>202</v>
      </c>
      <c r="I91" s="134">
        <v>23</v>
      </c>
      <c r="J91" s="134">
        <v>0</v>
      </c>
      <c r="K91" s="134">
        <v>24</v>
      </c>
      <c r="L91" s="134" t="s">
        <v>192</v>
      </c>
      <c r="M91" s="134" t="s">
        <v>209</v>
      </c>
      <c r="N91" s="134" t="s">
        <v>385</v>
      </c>
      <c r="O91" s="134" t="s">
        <v>1188</v>
      </c>
      <c r="P91" s="134"/>
      <c r="Q91" s="134"/>
      <c r="R91" s="134"/>
      <c r="S91" s="134"/>
      <c r="T91" s="134"/>
      <c r="U91" s="134"/>
      <c r="V91" s="134"/>
      <c r="W91" s="134"/>
      <c r="X91" s="134"/>
    </row>
    <row r="92" spans="1:24">
      <c r="A92" s="133" t="s">
        <v>386</v>
      </c>
      <c r="B92" s="134" t="s">
        <v>386</v>
      </c>
      <c r="C92" s="134" t="s">
        <v>387</v>
      </c>
      <c r="D92" s="134"/>
      <c r="E92" s="134"/>
      <c r="F92" s="134" t="s">
        <v>160</v>
      </c>
      <c r="G92" s="134" t="s">
        <v>388</v>
      </c>
      <c r="H92" s="134" t="s">
        <v>202</v>
      </c>
      <c r="I92" s="134">
        <v>31</v>
      </c>
      <c r="J92" s="134">
        <v>0</v>
      </c>
      <c r="K92" s="134">
        <v>32</v>
      </c>
      <c r="L92" s="134" t="s">
        <v>192</v>
      </c>
      <c r="M92" s="134" t="s">
        <v>209</v>
      </c>
      <c r="N92" s="134" t="s">
        <v>1301</v>
      </c>
      <c r="O92" s="134" t="s">
        <v>1188</v>
      </c>
      <c r="P92" s="134"/>
      <c r="Q92" s="134"/>
      <c r="R92" s="134"/>
      <c r="S92" s="134"/>
      <c r="T92" s="134"/>
      <c r="U92" s="134"/>
      <c r="V92" s="134"/>
      <c r="W92" s="134"/>
      <c r="X92" s="134"/>
    </row>
    <row r="93" spans="1:24">
      <c r="A93" s="133" t="s">
        <v>389</v>
      </c>
      <c r="B93" s="134" t="s">
        <v>389</v>
      </c>
      <c r="C93" s="134" t="s">
        <v>390</v>
      </c>
      <c r="D93" s="134"/>
      <c r="E93" s="134"/>
      <c r="F93" s="134" t="s">
        <v>160</v>
      </c>
      <c r="G93" s="134" t="s">
        <v>391</v>
      </c>
      <c r="H93" s="134" t="s">
        <v>202</v>
      </c>
      <c r="I93" s="134">
        <v>23</v>
      </c>
      <c r="J93" s="134">
        <v>0</v>
      </c>
      <c r="K93" s="134">
        <v>24</v>
      </c>
      <c r="L93" s="134" t="s">
        <v>192</v>
      </c>
      <c r="M93" s="134" t="s">
        <v>209</v>
      </c>
      <c r="N93" s="134" t="s">
        <v>1301</v>
      </c>
      <c r="O93" s="134" t="s">
        <v>1188</v>
      </c>
      <c r="P93" s="134"/>
      <c r="Q93" s="134"/>
      <c r="R93" s="134"/>
      <c r="S93" s="134"/>
      <c r="T93" s="134"/>
      <c r="U93" s="134"/>
      <c r="V93" s="134"/>
      <c r="W93" s="134"/>
      <c r="X93" s="134"/>
    </row>
    <row r="94" spans="1:24">
      <c r="A94" s="134" t="s">
        <v>392</v>
      </c>
      <c r="B94" s="134" t="s">
        <v>392</v>
      </c>
      <c r="C94" s="134" t="s">
        <v>393</v>
      </c>
      <c r="D94" s="134"/>
      <c r="E94" s="134"/>
      <c r="F94" s="134" t="s">
        <v>160</v>
      </c>
      <c r="G94" s="134" t="s">
        <v>394</v>
      </c>
      <c r="H94" s="134" t="s">
        <v>202</v>
      </c>
      <c r="I94" s="134">
        <v>31</v>
      </c>
      <c r="J94" s="134">
        <v>0</v>
      </c>
      <c r="K94" s="134">
        <v>32</v>
      </c>
      <c r="L94" s="134" t="s">
        <v>192</v>
      </c>
      <c r="M94" s="134" t="s">
        <v>209</v>
      </c>
      <c r="N94" s="134" t="s">
        <v>1302</v>
      </c>
      <c r="O94" s="134" t="s">
        <v>1188</v>
      </c>
      <c r="P94" s="134"/>
      <c r="Q94" s="134"/>
      <c r="R94" s="134"/>
      <c r="S94" s="134"/>
      <c r="T94" s="134"/>
      <c r="U94" s="134"/>
      <c r="V94" s="134"/>
      <c r="W94" s="134"/>
      <c r="X94" s="134"/>
    </row>
    <row r="95" spans="1:24">
      <c r="A95" s="134" t="s">
        <v>395</v>
      </c>
      <c r="B95" s="134" t="s">
        <v>395</v>
      </c>
      <c r="C95" s="134" t="s">
        <v>396</v>
      </c>
      <c r="D95" s="134"/>
      <c r="E95" s="134"/>
      <c r="F95" s="134" t="s">
        <v>160</v>
      </c>
      <c r="G95" s="134" t="s">
        <v>397</v>
      </c>
      <c r="H95" s="134" t="s">
        <v>202</v>
      </c>
      <c r="I95" s="134">
        <v>23</v>
      </c>
      <c r="J95" s="134">
        <v>0</v>
      </c>
      <c r="K95" s="134">
        <v>24</v>
      </c>
      <c r="L95" s="134" t="s">
        <v>192</v>
      </c>
      <c r="M95" s="134" t="s">
        <v>209</v>
      </c>
      <c r="N95" s="134" t="s">
        <v>1302</v>
      </c>
      <c r="O95" s="134" t="s">
        <v>1188</v>
      </c>
      <c r="P95" s="134"/>
      <c r="Q95" s="134"/>
      <c r="R95" s="134"/>
      <c r="S95" s="134"/>
      <c r="T95" s="134"/>
      <c r="U95" s="134"/>
      <c r="V95" s="134"/>
      <c r="W95" s="134"/>
      <c r="X95" s="134"/>
    </row>
    <row r="96" spans="1:24">
      <c r="A96" s="134" t="s">
        <v>398</v>
      </c>
      <c r="B96" s="134" t="s">
        <v>398</v>
      </c>
      <c r="C96" s="134" t="s">
        <v>399</v>
      </c>
      <c r="D96" s="134"/>
      <c r="E96" s="134"/>
      <c r="F96" s="134" t="s">
        <v>160</v>
      </c>
      <c r="G96" s="134" t="s">
        <v>400</v>
      </c>
      <c r="H96" s="134"/>
      <c r="I96" s="134">
        <v>0</v>
      </c>
      <c r="J96" s="134">
        <v>0</v>
      </c>
      <c r="K96" s="134">
        <v>1</v>
      </c>
      <c r="L96" s="134" t="s">
        <v>192</v>
      </c>
      <c r="M96" s="134" t="s">
        <v>200</v>
      </c>
      <c r="N96" s="134" t="s">
        <v>401</v>
      </c>
      <c r="O96" s="134"/>
      <c r="P96" s="134"/>
      <c r="Q96" s="134"/>
      <c r="R96" s="134"/>
      <c r="S96" s="134"/>
      <c r="T96" s="134"/>
      <c r="U96" s="134"/>
      <c r="V96" s="134"/>
      <c r="W96" s="134"/>
      <c r="X96" s="134"/>
    </row>
    <row r="97" spans="1:24">
      <c r="A97" s="134"/>
      <c r="B97" s="134"/>
      <c r="C97" s="134"/>
      <c r="D97" s="134"/>
      <c r="E97" s="134"/>
      <c r="F97" s="134" t="s">
        <v>160</v>
      </c>
      <c r="G97" s="134" t="s">
        <v>402</v>
      </c>
      <c r="H97" s="134"/>
      <c r="I97" s="134">
        <v>1</v>
      </c>
      <c r="J97" s="134">
        <v>1</v>
      </c>
      <c r="K97" s="134">
        <v>1</v>
      </c>
      <c r="L97" s="134" t="s">
        <v>192</v>
      </c>
      <c r="M97" s="134" t="s">
        <v>200</v>
      </c>
      <c r="N97" s="134" t="s">
        <v>403</v>
      </c>
      <c r="O97" s="134"/>
      <c r="P97" s="134"/>
      <c r="Q97" s="134"/>
      <c r="R97" s="134"/>
      <c r="S97" s="134"/>
      <c r="T97" s="134"/>
      <c r="U97" s="134"/>
      <c r="V97" s="134"/>
      <c r="W97" s="134"/>
      <c r="X97" s="134"/>
    </row>
    <row r="98" spans="1:24">
      <c r="A98" s="134"/>
      <c r="B98" s="134"/>
      <c r="C98" s="134"/>
      <c r="D98" s="134"/>
      <c r="E98" s="134"/>
      <c r="F98" s="134" t="s">
        <v>160</v>
      </c>
      <c r="G98" s="134" t="s">
        <v>404</v>
      </c>
      <c r="H98" s="134"/>
      <c r="I98" s="134">
        <v>2</v>
      </c>
      <c r="J98" s="134">
        <v>2</v>
      </c>
      <c r="K98" s="134">
        <v>1</v>
      </c>
      <c r="L98" s="134" t="s">
        <v>192</v>
      </c>
      <c r="M98" s="134" t="s">
        <v>209</v>
      </c>
      <c r="N98" s="134" t="s">
        <v>405</v>
      </c>
      <c r="O98" s="134" t="s">
        <v>1188</v>
      </c>
      <c r="P98" s="134"/>
      <c r="Q98" s="134"/>
      <c r="R98" s="134"/>
      <c r="S98" s="134"/>
      <c r="T98" s="134"/>
      <c r="U98" s="134"/>
      <c r="V98" s="134"/>
      <c r="W98" s="134"/>
      <c r="X98" s="134"/>
    </row>
    <row r="99" spans="1:24" s="81" customFormat="1">
      <c r="A99" s="134" t="s">
        <v>406</v>
      </c>
      <c r="B99" s="134" t="s">
        <v>406</v>
      </c>
      <c r="C99" s="134" t="s">
        <v>407</v>
      </c>
      <c r="D99" s="134"/>
      <c r="E99" s="134"/>
      <c r="F99" s="134" t="s">
        <v>160</v>
      </c>
      <c r="G99" s="134" t="s">
        <v>408</v>
      </c>
      <c r="H99" s="134"/>
      <c r="I99" s="134">
        <v>31</v>
      </c>
      <c r="J99" s="134">
        <v>0</v>
      </c>
      <c r="K99" s="134">
        <v>32</v>
      </c>
      <c r="L99" s="134" t="s">
        <v>192</v>
      </c>
      <c r="M99" s="134" t="s">
        <v>200</v>
      </c>
      <c r="N99" s="134" t="s">
        <v>409</v>
      </c>
      <c r="O99" s="134" t="s">
        <v>1188</v>
      </c>
      <c r="P99" s="134"/>
      <c r="Q99" s="134"/>
      <c r="R99" s="134"/>
      <c r="S99" s="134"/>
      <c r="T99" s="134"/>
      <c r="U99" s="134"/>
      <c r="V99" s="134"/>
      <c r="W99" s="134"/>
      <c r="X99" s="134"/>
    </row>
    <row r="100" spans="1:24" s="81" customFormat="1">
      <c r="A100" s="134" t="s">
        <v>410</v>
      </c>
      <c r="B100" s="134" t="s">
        <v>410</v>
      </c>
      <c r="C100" s="134" t="s">
        <v>411</v>
      </c>
      <c r="D100" s="134"/>
      <c r="E100" s="134"/>
      <c r="F100" s="134" t="s">
        <v>160</v>
      </c>
      <c r="G100" s="134" t="s">
        <v>412</v>
      </c>
      <c r="H100" s="134"/>
      <c r="I100" s="134">
        <v>0</v>
      </c>
      <c r="J100" s="134">
        <v>0</v>
      </c>
      <c r="K100" s="134">
        <v>1</v>
      </c>
      <c r="L100" s="134" t="s">
        <v>192</v>
      </c>
      <c r="M100" s="134" t="s">
        <v>200</v>
      </c>
      <c r="N100" s="134" t="s">
        <v>413</v>
      </c>
      <c r="O100" s="134" t="s">
        <v>1188</v>
      </c>
      <c r="P100" s="134"/>
      <c r="Q100" s="134"/>
      <c r="R100" s="134"/>
      <c r="S100" s="134"/>
      <c r="T100" s="134"/>
      <c r="U100" s="134"/>
      <c r="V100" s="134"/>
      <c r="W100" s="134"/>
      <c r="X100" s="134"/>
    </row>
    <row r="101" spans="1:24" s="81" customFormat="1">
      <c r="A101" s="134" t="s">
        <v>414</v>
      </c>
      <c r="B101" s="134" t="s">
        <v>414</v>
      </c>
      <c r="C101" s="134" t="s">
        <v>415</v>
      </c>
      <c r="D101" s="134"/>
      <c r="E101" s="134"/>
      <c r="F101" s="134" t="s">
        <v>160</v>
      </c>
      <c r="G101" s="134" t="s">
        <v>416</v>
      </c>
      <c r="H101" s="134"/>
      <c r="I101" s="134">
        <v>17</v>
      </c>
      <c r="J101" s="134">
        <v>0</v>
      </c>
      <c r="K101" s="134">
        <v>18</v>
      </c>
      <c r="L101" s="134" t="s">
        <v>1141</v>
      </c>
      <c r="M101" s="134" t="s">
        <v>200</v>
      </c>
      <c r="N101" s="134" t="s">
        <v>417</v>
      </c>
      <c r="O101" s="134"/>
      <c r="P101" s="134"/>
      <c r="Q101" s="134"/>
      <c r="R101" s="134"/>
      <c r="S101" s="134"/>
      <c r="T101" s="134"/>
      <c r="U101" s="134"/>
      <c r="V101" s="134"/>
      <c r="W101" s="134"/>
      <c r="X101" s="134"/>
    </row>
    <row r="102" spans="1:24" s="81" customFormat="1">
      <c r="A102" s="134" t="s">
        <v>418</v>
      </c>
      <c r="B102" s="134" t="s">
        <v>418</v>
      </c>
      <c r="C102" s="134" t="s">
        <v>419</v>
      </c>
      <c r="D102" s="134"/>
      <c r="E102" s="134"/>
      <c r="F102" s="134" t="s">
        <v>160</v>
      </c>
      <c r="G102" s="134" t="s">
        <v>420</v>
      </c>
      <c r="H102" s="134"/>
      <c r="I102" s="134">
        <v>26</v>
      </c>
      <c r="J102" s="134">
        <v>0</v>
      </c>
      <c r="K102" s="134">
        <v>27</v>
      </c>
      <c r="L102" s="134" t="s">
        <v>1142</v>
      </c>
      <c r="M102" s="134" t="s">
        <v>200</v>
      </c>
      <c r="N102" s="134" t="s">
        <v>421</v>
      </c>
      <c r="O102" s="134" t="s">
        <v>1188</v>
      </c>
      <c r="P102" s="134"/>
      <c r="Q102" s="134"/>
      <c r="R102" s="134"/>
      <c r="S102" s="134"/>
      <c r="T102" s="134"/>
      <c r="U102" s="134"/>
      <c r="V102" s="134"/>
      <c r="W102" s="134"/>
      <c r="X102" s="134"/>
    </row>
    <row r="103" spans="1:24" s="81" customFormat="1">
      <c r="A103" s="134" t="s">
        <v>422</v>
      </c>
      <c r="B103" s="134" t="s">
        <v>422</v>
      </c>
      <c r="C103" s="134" t="s">
        <v>423</v>
      </c>
      <c r="D103" s="134"/>
      <c r="E103" s="134"/>
      <c r="F103" s="134" t="s">
        <v>160</v>
      </c>
      <c r="G103" s="134" t="s">
        <v>424</v>
      </c>
      <c r="H103" s="134"/>
      <c r="I103" s="134">
        <v>26</v>
      </c>
      <c r="J103" s="134">
        <v>0</v>
      </c>
      <c r="K103" s="134">
        <v>27</v>
      </c>
      <c r="L103" s="134" t="s">
        <v>1142</v>
      </c>
      <c r="M103" s="134" t="s">
        <v>200</v>
      </c>
      <c r="N103" s="134" t="s">
        <v>425</v>
      </c>
      <c r="O103" s="134" t="s">
        <v>1188</v>
      </c>
      <c r="P103" s="134"/>
      <c r="Q103" s="134"/>
      <c r="R103" s="134"/>
      <c r="S103" s="134"/>
      <c r="T103" s="134"/>
      <c r="U103" s="134"/>
      <c r="V103" s="134"/>
      <c r="W103" s="134"/>
      <c r="X103" s="134"/>
    </row>
    <row r="104" spans="1:24" s="81" customFormat="1">
      <c r="A104" s="134" t="s">
        <v>426</v>
      </c>
      <c r="B104" s="134" t="s">
        <v>426</v>
      </c>
      <c r="C104" s="134" t="s">
        <v>427</v>
      </c>
      <c r="D104" s="134"/>
      <c r="E104" s="134"/>
      <c r="F104" s="134" t="s">
        <v>160</v>
      </c>
      <c r="G104" s="134" t="s">
        <v>428</v>
      </c>
      <c r="H104" s="134"/>
      <c r="I104" s="134">
        <v>26</v>
      </c>
      <c r="J104" s="134">
        <v>0</v>
      </c>
      <c r="K104" s="134">
        <v>27</v>
      </c>
      <c r="L104" s="134" t="s">
        <v>1142</v>
      </c>
      <c r="M104" s="134" t="s">
        <v>200</v>
      </c>
      <c r="N104" s="134" t="s">
        <v>429</v>
      </c>
      <c r="O104" s="134"/>
      <c r="P104" s="134"/>
      <c r="Q104" s="134"/>
      <c r="R104" s="134"/>
      <c r="S104" s="134"/>
      <c r="T104" s="134"/>
      <c r="U104" s="134"/>
      <c r="V104" s="134"/>
      <c r="W104" s="134"/>
      <c r="X104" s="134"/>
    </row>
    <row r="105" spans="1:24" s="81" customFormat="1" ht="15">
      <c r="A105" s="134" t="s">
        <v>430</v>
      </c>
      <c r="B105" s="134" t="s">
        <v>430</v>
      </c>
      <c r="C105" s="134" t="s">
        <v>431</v>
      </c>
      <c r="D105" s="134"/>
      <c r="E105" s="134"/>
      <c r="F105" s="134" t="s">
        <v>160</v>
      </c>
      <c r="G105" s="134" t="s">
        <v>432</v>
      </c>
      <c r="H105" s="134"/>
      <c r="I105" s="134">
        <v>0</v>
      </c>
      <c r="J105" s="134">
        <v>0</v>
      </c>
      <c r="K105" s="134">
        <v>1</v>
      </c>
      <c r="L105" s="134" t="s">
        <v>192</v>
      </c>
      <c r="M105" s="134" t="s">
        <v>200</v>
      </c>
      <c r="N105" s="94" t="s">
        <v>433</v>
      </c>
      <c r="O105" s="94" t="s">
        <v>1188</v>
      </c>
      <c r="P105" s="134"/>
      <c r="Q105" s="134"/>
      <c r="R105" s="134"/>
      <c r="S105" s="134"/>
      <c r="T105" s="134"/>
      <c r="U105" s="134"/>
      <c r="V105" s="134"/>
      <c r="W105" s="134"/>
      <c r="X105" s="134"/>
    </row>
    <row r="106" spans="1:24" s="81" customFormat="1" ht="15">
      <c r="A106" s="134" t="s">
        <v>434</v>
      </c>
      <c r="B106" s="134" t="s">
        <v>434</v>
      </c>
      <c r="C106" s="134" t="s">
        <v>435</v>
      </c>
      <c r="D106" s="134"/>
      <c r="E106" s="134"/>
      <c r="F106" s="134" t="s">
        <v>160</v>
      </c>
      <c r="G106" s="134" t="s">
        <v>436</v>
      </c>
      <c r="H106" s="134"/>
      <c r="I106" s="134">
        <v>31</v>
      </c>
      <c r="J106" s="134">
        <v>0</v>
      </c>
      <c r="K106" s="134">
        <v>32</v>
      </c>
      <c r="L106" s="134" t="s">
        <v>192</v>
      </c>
      <c r="M106" s="134" t="s">
        <v>200</v>
      </c>
      <c r="N106" s="94" t="s">
        <v>437</v>
      </c>
      <c r="O106" s="94"/>
      <c r="P106" s="134"/>
      <c r="Q106" s="134"/>
      <c r="R106" s="134"/>
      <c r="S106" s="134"/>
      <c r="T106" s="134"/>
      <c r="U106" s="134"/>
      <c r="V106" s="134"/>
      <c r="W106" s="134"/>
      <c r="X106" s="134"/>
    </row>
    <row r="107" spans="1:24" s="81" customFormat="1" ht="15">
      <c r="A107" s="134" t="s">
        <v>438</v>
      </c>
      <c r="B107" s="134" t="s">
        <v>438</v>
      </c>
      <c r="C107" s="134" t="s">
        <v>439</v>
      </c>
      <c r="D107" s="134"/>
      <c r="E107" s="134"/>
      <c r="F107" s="134" t="s">
        <v>160</v>
      </c>
      <c r="G107" s="134" t="s">
        <v>440</v>
      </c>
      <c r="H107" s="134"/>
      <c r="I107" s="134">
        <v>31</v>
      </c>
      <c r="J107" s="134">
        <v>0</v>
      </c>
      <c r="K107" s="134">
        <v>32</v>
      </c>
      <c r="L107" s="134" t="s">
        <v>192</v>
      </c>
      <c r="M107" s="134" t="s">
        <v>200</v>
      </c>
      <c r="N107" s="94" t="s">
        <v>437</v>
      </c>
      <c r="O107" s="94"/>
      <c r="P107" s="134"/>
      <c r="Q107" s="134"/>
      <c r="R107" s="134"/>
      <c r="S107" s="134"/>
      <c r="T107" s="134"/>
      <c r="U107" s="134"/>
      <c r="V107" s="134"/>
      <c r="W107" s="134"/>
      <c r="X107" s="134"/>
    </row>
    <row r="108" spans="1:24" s="81" customFormat="1" ht="15">
      <c r="A108" s="134" t="s">
        <v>441</v>
      </c>
      <c r="B108" s="134" t="s">
        <v>441</v>
      </c>
      <c r="C108" s="134" t="s">
        <v>442</v>
      </c>
      <c r="D108" s="134"/>
      <c r="E108" s="134"/>
      <c r="F108" s="134" t="s">
        <v>160</v>
      </c>
      <c r="G108" s="134" t="s">
        <v>443</v>
      </c>
      <c r="H108" s="134"/>
      <c r="I108" s="134">
        <v>0</v>
      </c>
      <c r="J108" s="134">
        <v>0</v>
      </c>
      <c r="K108" s="134">
        <v>1</v>
      </c>
      <c r="L108" s="134" t="s">
        <v>192</v>
      </c>
      <c r="M108" s="134" t="s">
        <v>200</v>
      </c>
      <c r="N108" s="94" t="s">
        <v>437</v>
      </c>
      <c r="O108" s="94"/>
      <c r="P108" s="134"/>
      <c r="Q108" s="134"/>
      <c r="R108" s="134"/>
      <c r="S108" s="134"/>
      <c r="T108" s="134"/>
      <c r="U108" s="134"/>
      <c r="V108" s="134"/>
      <c r="W108" s="134"/>
      <c r="X108" s="134"/>
    </row>
    <row r="109" spans="1:24" s="81" customFormat="1" ht="15">
      <c r="A109" s="134" t="s">
        <v>444</v>
      </c>
      <c r="B109" s="134" t="s">
        <v>444</v>
      </c>
      <c r="C109" s="134" t="s">
        <v>445</v>
      </c>
      <c r="D109" s="134"/>
      <c r="E109" s="134"/>
      <c r="F109" s="134" t="s">
        <v>160</v>
      </c>
      <c r="G109" s="134" t="s">
        <v>446</v>
      </c>
      <c r="H109" s="134" t="s">
        <v>202</v>
      </c>
      <c r="I109" s="134">
        <v>31</v>
      </c>
      <c r="J109" s="134">
        <v>0</v>
      </c>
      <c r="K109" s="134">
        <v>32</v>
      </c>
      <c r="L109" s="134" t="s">
        <v>192</v>
      </c>
      <c r="M109" s="134" t="s">
        <v>209</v>
      </c>
      <c r="N109" s="94" t="s">
        <v>447</v>
      </c>
      <c r="O109" s="94" t="s">
        <v>1188</v>
      </c>
      <c r="P109" s="134"/>
      <c r="Q109" s="134"/>
      <c r="R109" s="134"/>
      <c r="S109" s="134"/>
      <c r="T109" s="134"/>
      <c r="U109" s="134"/>
      <c r="V109" s="134"/>
      <c r="W109" s="134"/>
      <c r="X109" s="134"/>
    </row>
    <row r="110" spans="1:24" s="81" customFormat="1" ht="15">
      <c r="A110" s="134" t="s">
        <v>448</v>
      </c>
      <c r="B110" s="134" t="s">
        <v>448</v>
      </c>
      <c r="C110" s="134" t="s">
        <v>449</v>
      </c>
      <c r="D110" s="134"/>
      <c r="E110" s="134"/>
      <c r="F110" s="134" t="s">
        <v>160</v>
      </c>
      <c r="G110" s="134" t="s">
        <v>450</v>
      </c>
      <c r="H110" s="134" t="s">
        <v>202</v>
      </c>
      <c r="I110" s="134">
        <v>0</v>
      </c>
      <c r="J110" s="134">
        <v>0</v>
      </c>
      <c r="K110" s="134">
        <v>1</v>
      </c>
      <c r="L110" s="134" t="s">
        <v>192</v>
      </c>
      <c r="M110" s="134" t="s">
        <v>209</v>
      </c>
      <c r="N110" s="94" t="s">
        <v>451</v>
      </c>
      <c r="O110" s="94" t="s">
        <v>1188</v>
      </c>
      <c r="P110" s="134"/>
      <c r="Q110" s="134"/>
      <c r="R110" s="134"/>
      <c r="S110" s="134"/>
      <c r="T110" s="134"/>
      <c r="U110" s="134"/>
      <c r="V110" s="134"/>
      <c r="W110" s="134"/>
      <c r="X110" s="134"/>
    </row>
    <row r="111" spans="1:24" s="81" customFormat="1" ht="15">
      <c r="A111" s="134" t="s">
        <v>452</v>
      </c>
      <c r="B111" s="134" t="s">
        <v>452</v>
      </c>
      <c r="C111" s="134" t="s">
        <v>453</v>
      </c>
      <c r="D111" s="134"/>
      <c r="E111" s="134"/>
      <c r="F111" s="134" t="s">
        <v>160</v>
      </c>
      <c r="G111" s="134" t="s">
        <v>454</v>
      </c>
      <c r="H111" s="134" t="s">
        <v>202</v>
      </c>
      <c r="I111" s="134">
        <v>31</v>
      </c>
      <c r="J111" s="134">
        <v>0</v>
      </c>
      <c r="K111" s="134">
        <v>32</v>
      </c>
      <c r="L111" s="134" t="s">
        <v>192</v>
      </c>
      <c r="M111" s="134" t="s">
        <v>209</v>
      </c>
      <c r="N111" s="94" t="s">
        <v>455</v>
      </c>
      <c r="O111" s="94" t="s">
        <v>1188</v>
      </c>
      <c r="P111" s="134"/>
      <c r="Q111" s="134"/>
      <c r="R111" s="134"/>
      <c r="S111" s="134"/>
      <c r="T111" s="134"/>
      <c r="U111" s="134"/>
      <c r="V111" s="134"/>
      <c r="W111" s="134"/>
      <c r="X111" s="134"/>
    </row>
    <row r="112" spans="1:24" s="81" customFormat="1" ht="15">
      <c r="A112" s="134" t="s">
        <v>456</v>
      </c>
      <c r="B112" s="134" t="s">
        <v>456</v>
      </c>
      <c r="C112" s="134" t="s">
        <v>457</v>
      </c>
      <c r="D112" s="134"/>
      <c r="E112" s="134"/>
      <c r="F112" s="134" t="s">
        <v>160</v>
      </c>
      <c r="G112" s="134" t="s">
        <v>458</v>
      </c>
      <c r="H112" s="134" t="s">
        <v>202</v>
      </c>
      <c r="I112" s="134">
        <v>0</v>
      </c>
      <c r="J112" s="134">
        <v>0</v>
      </c>
      <c r="K112" s="134">
        <v>1</v>
      </c>
      <c r="L112" s="134" t="s">
        <v>192</v>
      </c>
      <c r="M112" s="134" t="s">
        <v>209</v>
      </c>
      <c r="N112" s="94" t="s">
        <v>459</v>
      </c>
      <c r="O112" s="94" t="s">
        <v>1188</v>
      </c>
      <c r="P112" s="134"/>
      <c r="Q112" s="134"/>
      <c r="R112" s="134"/>
      <c r="S112" s="134"/>
      <c r="T112" s="134"/>
      <c r="U112" s="134"/>
      <c r="V112" s="134"/>
      <c r="W112" s="134"/>
      <c r="X112" s="134"/>
    </row>
    <row r="113" spans="1:24" s="81" customFormat="1" ht="15">
      <c r="A113" s="134" t="s">
        <v>816</v>
      </c>
      <c r="B113" s="134" t="s">
        <v>816</v>
      </c>
      <c r="C113" s="134" t="s">
        <v>461</v>
      </c>
      <c r="D113" s="134"/>
      <c r="E113" s="134"/>
      <c r="F113" s="134" t="s">
        <v>160</v>
      </c>
      <c r="G113" s="134" t="s">
        <v>824</v>
      </c>
      <c r="H113" s="134" t="s">
        <v>793</v>
      </c>
      <c r="I113" s="134">
        <v>3</v>
      </c>
      <c r="J113" s="134">
        <v>0</v>
      </c>
      <c r="K113" s="134">
        <v>4</v>
      </c>
      <c r="L113" s="134" t="s">
        <v>794</v>
      </c>
      <c r="M113" s="134" t="s">
        <v>808</v>
      </c>
      <c r="N113" s="94" t="s">
        <v>827</v>
      </c>
      <c r="O113" s="94" t="s">
        <v>1191</v>
      </c>
      <c r="P113" s="134"/>
      <c r="Q113" s="134"/>
      <c r="R113" s="134"/>
      <c r="S113" s="134"/>
      <c r="T113" s="134"/>
      <c r="U113" s="134"/>
      <c r="V113" s="134"/>
      <c r="W113" s="134"/>
      <c r="X113" s="134"/>
    </row>
    <row r="114" spans="1:24" s="81" customFormat="1" ht="15">
      <c r="A114" s="134"/>
      <c r="B114" s="134"/>
      <c r="C114" s="134"/>
      <c r="D114" s="134"/>
      <c r="E114" s="134"/>
      <c r="F114" s="134" t="s">
        <v>160</v>
      </c>
      <c r="G114" s="134" t="s">
        <v>830</v>
      </c>
      <c r="H114" s="134" t="s">
        <v>793</v>
      </c>
      <c r="I114" s="134">
        <v>4</v>
      </c>
      <c r="J114" s="134">
        <v>4</v>
      </c>
      <c r="K114" s="134">
        <v>1</v>
      </c>
      <c r="L114" s="134" t="s">
        <v>794</v>
      </c>
      <c r="M114" s="134" t="s">
        <v>808</v>
      </c>
      <c r="N114" s="94" t="s">
        <v>834</v>
      </c>
      <c r="O114" s="94" t="s">
        <v>1191</v>
      </c>
      <c r="P114" s="134"/>
      <c r="Q114" s="134"/>
      <c r="R114" s="134"/>
      <c r="S114" s="134"/>
      <c r="T114" s="134"/>
      <c r="U114" s="134"/>
      <c r="V114" s="134"/>
      <c r="W114" s="134"/>
      <c r="X114" s="134"/>
    </row>
    <row r="115" spans="1:24" s="81" customFormat="1" ht="15">
      <c r="A115" s="134"/>
      <c r="B115" s="134"/>
      <c r="C115" s="134"/>
      <c r="D115" s="134"/>
      <c r="E115" s="134"/>
      <c r="F115" s="134" t="s">
        <v>160</v>
      </c>
      <c r="G115" s="134" t="s">
        <v>833</v>
      </c>
      <c r="H115" s="134" t="s">
        <v>793</v>
      </c>
      <c r="I115" s="134">
        <v>5</v>
      </c>
      <c r="J115" s="134">
        <v>5</v>
      </c>
      <c r="K115" s="134">
        <v>1</v>
      </c>
      <c r="L115" s="134" t="s">
        <v>794</v>
      </c>
      <c r="M115" s="134" t="s">
        <v>808</v>
      </c>
      <c r="N115" s="94" t="s">
        <v>835</v>
      </c>
      <c r="O115" s="94" t="s">
        <v>1191</v>
      </c>
      <c r="P115" s="134"/>
      <c r="Q115" s="134"/>
      <c r="R115" s="134"/>
      <c r="S115" s="134"/>
      <c r="T115" s="134"/>
      <c r="U115" s="134"/>
      <c r="V115" s="134"/>
      <c r="W115" s="134"/>
      <c r="X115" s="134"/>
    </row>
    <row r="116" spans="1:24" s="81" customFormat="1" ht="15">
      <c r="A116" s="134"/>
      <c r="B116" s="134"/>
      <c r="C116" s="134"/>
      <c r="D116" s="134"/>
      <c r="E116" s="134"/>
      <c r="F116" s="134" t="s">
        <v>160</v>
      </c>
      <c r="G116" s="134" t="s">
        <v>825</v>
      </c>
      <c r="H116" s="134" t="s">
        <v>793</v>
      </c>
      <c r="I116" s="134">
        <v>6</v>
      </c>
      <c r="J116" s="134">
        <v>6</v>
      </c>
      <c r="K116" s="134">
        <v>1</v>
      </c>
      <c r="L116" s="134" t="s">
        <v>794</v>
      </c>
      <c r="M116" s="134" t="s">
        <v>808</v>
      </c>
      <c r="N116" s="94" t="s">
        <v>828</v>
      </c>
      <c r="O116" s="94" t="s">
        <v>1191</v>
      </c>
      <c r="P116" s="134"/>
      <c r="Q116" s="134"/>
      <c r="R116" s="134"/>
      <c r="S116" s="134"/>
      <c r="T116" s="134"/>
      <c r="U116" s="134"/>
      <c r="V116" s="134"/>
      <c r="W116" s="134"/>
      <c r="X116" s="134"/>
    </row>
    <row r="117" spans="1:24" s="81" customFormat="1" ht="15">
      <c r="A117" s="134"/>
      <c r="B117" s="134"/>
      <c r="C117" s="134"/>
      <c r="D117" s="134"/>
      <c r="E117" s="134"/>
      <c r="F117" s="134" t="s">
        <v>160</v>
      </c>
      <c r="G117" s="134" t="s">
        <v>826</v>
      </c>
      <c r="H117" s="134" t="s">
        <v>793</v>
      </c>
      <c r="I117" s="134">
        <v>7</v>
      </c>
      <c r="J117" s="134">
        <v>7</v>
      </c>
      <c r="K117" s="134">
        <v>1</v>
      </c>
      <c r="L117" s="134" t="s">
        <v>794</v>
      </c>
      <c r="M117" s="134" t="s">
        <v>808</v>
      </c>
      <c r="N117" s="94" t="s">
        <v>829</v>
      </c>
      <c r="O117" s="94" t="s">
        <v>1191</v>
      </c>
      <c r="P117" s="134"/>
      <c r="Q117" s="134"/>
      <c r="R117" s="134"/>
      <c r="S117" s="134"/>
      <c r="T117" s="134"/>
      <c r="U117" s="134"/>
      <c r="V117" s="134"/>
      <c r="W117" s="134"/>
      <c r="X117" s="134"/>
    </row>
    <row r="118" spans="1:24" s="81" customFormat="1" ht="15">
      <c r="A118" s="134"/>
      <c r="B118" s="134"/>
      <c r="C118" s="134"/>
      <c r="D118" s="134"/>
      <c r="E118" s="134"/>
      <c r="F118" s="134" t="s">
        <v>160</v>
      </c>
      <c r="G118" s="134" t="s">
        <v>838</v>
      </c>
      <c r="H118" s="134" t="s">
        <v>793</v>
      </c>
      <c r="I118" s="134">
        <v>8</v>
      </c>
      <c r="J118" s="134">
        <v>8</v>
      </c>
      <c r="K118" s="134">
        <v>1</v>
      </c>
      <c r="L118" s="134" t="s">
        <v>794</v>
      </c>
      <c r="M118" s="134" t="s">
        <v>808</v>
      </c>
      <c r="N118" s="94" t="s">
        <v>831</v>
      </c>
      <c r="O118" s="94" t="s">
        <v>1191</v>
      </c>
      <c r="P118" s="134"/>
      <c r="Q118" s="134"/>
      <c r="R118" s="134"/>
      <c r="S118" s="134"/>
      <c r="T118" s="134"/>
      <c r="U118" s="134"/>
      <c r="V118" s="134"/>
      <c r="W118" s="134"/>
      <c r="X118" s="134"/>
    </row>
    <row r="119" spans="1:24" s="81" customFormat="1" ht="15">
      <c r="A119" s="134"/>
      <c r="B119" s="134"/>
      <c r="C119" s="134"/>
      <c r="D119" s="134"/>
      <c r="E119" s="134"/>
      <c r="F119" s="134" t="s">
        <v>160</v>
      </c>
      <c r="G119" s="134" t="s">
        <v>839</v>
      </c>
      <c r="H119" s="134" t="s">
        <v>793</v>
      </c>
      <c r="I119" s="134">
        <v>9</v>
      </c>
      <c r="J119" s="134">
        <v>9</v>
      </c>
      <c r="K119" s="134">
        <v>1</v>
      </c>
      <c r="L119" s="134" t="s">
        <v>794</v>
      </c>
      <c r="M119" s="134" t="s">
        <v>808</v>
      </c>
      <c r="N119" s="94" t="s">
        <v>832</v>
      </c>
      <c r="O119" s="94" t="s">
        <v>1191</v>
      </c>
      <c r="P119" s="134"/>
      <c r="Q119" s="134"/>
      <c r="R119" s="134"/>
      <c r="S119" s="134"/>
      <c r="T119" s="134"/>
      <c r="U119" s="134"/>
      <c r="V119" s="134"/>
      <c r="W119" s="134"/>
      <c r="X119" s="134"/>
    </row>
    <row r="120" spans="1:24" s="81" customFormat="1" ht="15">
      <c r="A120" s="134"/>
      <c r="B120" s="134"/>
      <c r="C120" s="134"/>
      <c r="D120" s="134"/>
      <c r="E120" s="134"/>
      <c r="F120" s="134" t="s">
        <v>160</v>
      </c>
      <c r="G120" s="134" t="s">
        <v>836</v>
      </c>
      <c r="H120" s="134" t="s">
        <v>793</v>
      </c>
      <c r="I120" s="134">
        <v>10</v>
      </c>
      <c r="J120" s="134">
        <v>10</v>
      </c>
      <c r="K120" s="134">
        <v>1</v>
      </c>
      <c r="L120" s="134" t="s">
        <v>794</v>
      </c>
      <c r="M120" s="134" t="s">
        <v>808</v>
      </c>
      <c r="N120" s="94" t="s">
        <v>837</v>
      </c>
      <c r="O120" s="94" t="s">
        <v>1191</v>
      </c>
      <c r="P120" s="134"/>
      <c r="Q120" s="134"/>
      <c r="R120" s="134"/>
      <c r="S120" s="134"/>
      <c r="T120" s="134"/>
      <c r="U120" s="134"/>
      <c r="V120" s="134"/>
      <c r="W120" s="134"/>
      <c r="X120" s="134"/>
    </row>
    <row r="121" spans="1:24" s="81" customFormat="1" ht="15">
      <c r="A121" s="134"/>
      <c r="B121" s="134"/>
      <c r="C121" s="134"/>
      <c r="D121" s="134"/>
      <c r="E121" s="134"/>
      <c r="F121" s="134" t="s">
        <v>160</v>
      </c>
      <c r="G121" s="134" t="s">
        <v>999</v>
      </c>
      <c r="H121" s="134" t="s">
        <v>793</v>
      </c>
      <c r="I121" s="134">
        <v>13</v>
      </c>
      <c r="J121" s="134">
        <v>11</v>
      </c>
      <c r="K121" s="134">
        <v>3</v>
      </c>
      <c r="L121" s="134" t="s">
        <v>794</v>
      </c>
      <c r="M121" s="134" t="s">
        <v>808</v>
      </c>
      <c r="N121" s="94" t="s">
        <v>995</v>
      </c>
      <c r="O121" s="94" t="s">
        <v>1191</v>
      </c>
      <c r="P121" s="134"/>
      <c r="Q121" s="134"/>
      <c r="R121" s="134"/>
      <c r="S121" s="134"/>
      <c r="T121" s="134"/>
      <c r="U121" s="134"/>
      <c r="V121" s="134"/>
      <c r="W121" s="134"/>
      <c r="X121" s="134"/>
    </row>
    <row r="122" spans="1:24" s="81" customFormat="1" ht="15">
      <c r="A122" s="134"/>
      <c r="B122" s="134"/>
      <c r="C122" s="134"/>
      <c r="D122" s="134"/>
      <c r="E122" s="134"/>
      <c r="F122" s="134" t="s">
        <v>160</v>
      </c>
      <c r="G122" s="134" t="s">
        <v>994</v>
      </c>
      <c r="H122" s="134" t="s">
        <v>793</v>
      </c>
      <c r="I122" s="134">
        <v>16</v>
      </c>
      <c r="J122" s="134">
        <v>14</v>
      </c>
      <c r="K122" s="134">
        <v>3</v>
      </c>
      <c r="L122" s="134" t="s">
        <v>794</v>
      </c>
      <c r="M122" s="134" t="s">
        <v>808</v>
      </c>
      <c r="N122" s="94" t="s">
        <v>996</v>
      </c>
      <c r="O122" s="94" t="s">
        <v>1191</v>
      </c>
      <c r="P122" s="134"/>
      <c r="Q122" s="134"/>
      <c r="R122" s="134"/>
      <c r="S122" s="134"/>
      <c r="T122" s="134"/>
      <c r="U122" s="134"/>
      <c r="V122" s="134"/>
      <c r="W122" s="134"/>
      <c r="X122" s="134"/>
    </row>
    <row r="123" spans="1:24" s="81" customFormat="1" ht="15">
      <c r="A123" s="134"/>
      <c r="B123" s="134"/>
      <c r="C123" s="134"/>
      <c r="D123" s="134"/>
      <c r="E123" s="134"/>
      <c r="F123" s="134" t="s">
        <v>160</v>
      </c>
      <c r="G123" s="134" t="s">
        <v>1000</v>
      </c>
      <c r="H123" s="134" t="s">
        <v>793</v>
      </c>
      <c r="I123" s="134">
        <v>19</v>
      </c>
      <c r="J123" s="134">
        <v>17</v>
      </c>
      <c r="K123" s="134">
        <v>3</v>
      </c>
      <c r="L123" s="134" t="s">
        <v>794</v>
      </c>
      <c r="M123" s="134" t="s">
        <v>808</v>
      </c>
      <c r="N123" s="94" t="s">
        <v>997</v>
      </c>
      <c r="O123" s="94" t="s">
        <v>1191</v>
      </c>
      <c r="P123" s="134"/>
      <c r="Q123" s="134"/>
      <c r="R123" s="134"/>
      <c r="S123" s="134"/>
      <c r="T123" s="134"/>
      <c r="U123" s="134"/>
      <c r="V123" s="134"/>
      <c r="W123" s="134"/>
      <c r="X123" s="134"/>
    </row>
    <row r="124" spans="1:24" s="81" customFormat="1" ht="15">
      <c r="A124" s="134"/>
      <c r="B124" s="134"/>
      <c r="C124" s="134"/>
      <c r="D124" s="134"/>
      <c r="E124" s="134"/>
      <c r="F124" s="134" t="s">
        <v>160</v>
      </c>
      <c r="G124" s="134" t="s">
        <v>998</v>
      </c>
      <c r="H124" s="134" t="s">
        <v>793</v>
      </c>
      <c r="I124" s="134">
        <v>22</v>
      </c>
      <c r="J124" s="134">
        <v>20</v>
      </c>
      <c r="K124" s="134">
        <v>3</v>
      </c>
      <c r="L124" s="134" t="s">
        <v>794</v>
      </c>
      <c r="M124" s="134" t="s">
        <v>808</v>
      </c>
      <c r="N124" s="94" t="s">
        <v>997</v>
      </c>
      <c r="O124" s="94" t="s">
        <v>1191</v>
      </c>
      <c r="P124" s="134"/>
      <c r="Q124" s="134"/>
      <c r="R124" s="134"/>
      <c r="S124" s="134"/>
      <c r="T124" s="134"/>
      <c r="U124" s="134"/>
      <c r="V124" s="134"/>
      <c r="W124" s="134"/>
      <c r="X124" s="134"/>
    </row>
    <row r="125" spans="1:24" s="81" customFormat="1" ht="15">
      <c r="A125" s="134"/>
      <c r="B125" s="134"/>
      <c r="C125" s="134"/>
      <c r="D125" s="134"/>
      <c r="E125" s="134"/>
      <c r="F125" s="134" t="s">
        <v>160</v>
      </c>
      <c r="G125" s="134" t="s">
        <v>1001</v>
      </c>
      <c r="H125" s="134" t="s">
        <v>793</v>
      </c>
      <c r="I125" s="134">
        <v>25</v>
      </c>
      <c r="J125" s="134">
        <v>23</v>
      </c>
      <c r="K125" s="134">
        <v>3</v>
      </c>
      <c r="L125" s="134" t="s">
        <v>794</v>
      </c>
      <c r="M125" s="134" t="s">
        <v>808</v>
      </c>
      <c r="N125" s="94" t="s">
        <v>992</v>
      </c>
      <c r="O125" s="94" t="s">
        <v>1191</v>
      </c>
      <c r="P125" s="134"/>
      <c r="Q125" s="134"/>
      <c r="R125" s="134"/>
      <c r="S125" s="134"/>
      <c r="T125" s="134"/>
      <c r="U125" s="134"/>
      <c r="V125" s="134"/>
      <c r="W125" s="134"/>
      <c r="X125" s="134"/>
    </row>
    <row r="126" spans="1:24" s="81" customFormat="1" ht="15">
      <c r="A126" s="134"/>
      <c r="B126" s="134"/>
      <c r="C126" s="134"/>
      <c r="D126" s="134"/>
      <c r="E126" s="134"/>
      <c r="F126" s="134" t="s">
        <v>160</v>
      </c>
      <c r="G126" s="134" t="s">
        <v>991</v>
      </c>
      <c r="H126" s="134" t="s">
        <v>793</v>
      </c>
      <c r="I126" s="134">
        <v>28</v>
      </c>
      <c r="J126" s="134">
        <v>26</v>
      </c>
      <c r="K126" s="134">
        <v>3</v>
      </c>
      <c r="L126" s="134" t="s">
        <v>794</v>
      </c>
      <c r="M126" s="134" t="s">
        <v>808</v>
      </c>
      <c r="N126" s="94" t="s">
        <v>993</v>
      </c>
      <c r="O126" s="94" t="s">
        <v>1191</v>
      </c>
      <c r="P126" s="134"/>
      <c r="Q126" s="134"/>
      <c r="R126" s="134"/>
      <c r="S126" s="134"/>
      <c r="T126" s="134"/>
      <c r="U126" s="134"/>
      <c r="V126" s="134"/>
      <c r="W126" s="134"/>
      <c r="X126" s="134"/>
    </row>
    <row r="127" spans="1:24" s="81" customFormat="1" ht="15">
      <c r="A127" s="134"/>
      <c r="B127" s="134"/>
      <c r="C127" s="134"/>
      <c r="D127" s="134"/>
      <c r="E127" s="134"/>
      <c r="F127" s="134" t="s">
        <v>160</v>
      </c>
      <c r="G127" s="134" t="s">
        <v>1117</v>
      </c>
      <c r="H127" s="134" t="s">
        <v>1018</v>
      </c>
      <c r="I127" s="134">
        <v>29</v>
      </c>
      <c r="J127" s="134">
        <v>29</v>
      </c>
      <c r="K127" s="134">
        <v>1</v>
      </c>
      <c r="L127" s="134" t="s">
        <v>1016</v>
      </c>
      <c r="M127" s="134" t="s">
        <v>1017</v>
      </c>
      <c r="N127" s="94" t="s">
        <v>1122</v>
      </c>
      <c r="O127" s="94" t="s">
        <v>1191</v>
      </c>
      <c r="P127" s="134"/>
      <c r="Q127" s="134"/>
      <c r="R127" s="134"/>
      <c r="S127" s="134"/>
      <c r="T127" s="134"/>
      <c r="U127" s="134"/>
      <c r="V127" s="134"/>
      <c r="W127" s="134"/>
      <c r="X127" s="134"/>
    </row>
    <row r="128" spans="1:24" s="81" customFormat="1" ht="15">
      <c r="A128" s="134"/>
      <c r="B128" s="134"/>
      <c r="C128" s="134"/>
      <c r="D128" s="134"/>
      <c r="E128" s="134"/>
      <c r="F128" s="134" t="s">
        <v>160</v>
      </c>
      <c r="G128" s="134" t="s">
        <v>1118</v>
      </c>
      <c r="H128" s="134" t="s">
        <v>1119</v>
      </c>
      <c r="I128" s="134">
        <v>30</v>
      </c>
      <c r="J128" s="134">
        <v>30</v>
      </c>
      <c r="K128" s="134">
        <v>1</v>
      </c>
      <c r="L128" s="134" t="s">
        <v>1120</v>
      </c>
      <c r="M128" s="134" t="s">
        <v>1121</v>
      </c>
      <c r="N128" s="94" t="s">
        <v>1123</v>
      </c>
      <c r="O128" s="94" t="s">
        <v>1191</v>
      </c>
      <c r="P128" s="134"/>
      <c r="Q128" s="134"/>
      <c r="R128" s="134"/>
      <c r="S128" s="134"/>
      <c r="T128" s="134"/>
      <c r="U128" s="134"/>
      <c r="V128" s="134"/>
      <c r="W128" s="134"/>
      <c r="X128" s="134"/>
    </row>
    <row r="129" spans="1:24" s="81" customFormat="1" ht="30">
      <c r="A129" s="134" t="s">
        <v>460</v>
      </c>
      <c r="B129" s="134" t="s">
        <v>460</v>
      </c>
      <c r="C129" s="134" t="s">
        <v>817</v>
      </c>
      <c r="D129" s="134"/>
      <c r="E129" s="134"/>
      <c r="F129" s="134" t="s">
        <v>160</v>
      </c>
      <c r="G129" s="134" t="s">
        <v>462</v>
      </c>
      <c r="H129" s="134" t="s">
        <v>202</v>
      </c>
      <c r="I129" s="134">
        <v>31</v>
      </c>
      <c r="J129" s="134">
        <v>0</v>
      </c>
      <c r="K129" s="134">
        <v>32</v>
      </c>
      <c r="L129" s="134" t="s">
        <v>192</v>
      </c>
      <c r="M129" s="134" t="s">
        <v>209</v>
      </c>
      <c r="N129" s="94" t="s">
        <v>463</v>
      </c>
      <c r="O129" s="94" t="s">
        <v>1188</v>
      </c>
      <c r="P129" s="134"/>
      <c r="Q129" s="134"/>
      <c r="R129" s="134"/>
      <c r="S129" s="134"/>
      <c r="T129" s="134"/>
      <c r="U129" s="134"/>
      <c r="V129" s="134"/>
      <c r="W129" s="134"/>
      <c r="X129" s="134"/>
    </row>
    <row r="130" spans="1:24">
      <c r="A130" s="134" t="s">
        <v>464</v>
      </c>
      <c r="B130" s="134" t="s">
        <v>464</v>
      </c>
      <c r="C130" s="134" t="s">
        <v>818</v>
      </c>
      <c r="D130" s="134"/>
      <c r="E130" s="134"/>
      <c r="F130" s="134" t="s">
        <v>160</v>
      </c>
      <c r="G130" s="134" t="s">
        <v>465</v>
      </c>
      <c r="H130" s="134" t="s">
        <v>202</v>
      </c>
      <c r="I130" s="134">
        <v>31</v>
      </c>
      <c r="J130" s="134">
        <v>0</v>
      </c>
      <c r="K130" s="134">
        <v>32</v>
      </c>
      <c r="L130" s="134" t="s">
        <v>192</v>
      </c>
      <c r="M130" s="134" t="s">
        <v>209</v>
      </c>
      <c r="N130" s="134" t="s">
        <v>466</v>
      </c>
      <c r="O130" s="134" t="s">
        <v>1188</v>
      </c>
      <c r="P130" s="134"/>
      <c r="Q130" s="134"/>
      <c r="R130" s="134"/>
      <c r="S130" s="134"/>
      <c r="T130" s="134"/>
      <c r="U130" s="134"/>
      <c r="V130" s="134"/>
      <c r="W130" s="134"/>
      <c r="X130" s="134"/>
    </row>
    <row r="131" spans="1:24" ht="15">
      <c r="A131" s="134" t="s">
        <v>467</v>
      </c>
      <c r="B131" s="134" t="s">
        <v>467</v>
      </c>
      <c r="C131" s="134" t="s">
        <v>819</v>
      </c>
      <c r="D131" s="134"/>
      <c r="E131" s="134"/>
      <c r="F131" s="134" t="s">
        <v>160</v>
      </c>
      <c r="G131" s="134" t="s">
        <v>468</v>
      </c>
      <c r="H131" s="134" t="s">
        <v>202</v>
      </c>
      <c r="I131" s="134">
        <v>31</v>
      </c>
      <c r="J131" s="134">
        <v>0</v>
      </c>
      <c r="K131" s="134">
        <v>32</v>
      </c>
      <c r="L131" s="134" t="s">
        <v>192</v>
      </c>
      <c r="M131" s="134" t="s">
        <v>209</v>
      </c>
      <c r="N131" s="94" t="s">
        <v>469</v>
      </c>
      <c r="O131" s="94" t="s">
        <v>1188</v>
      </c>
      <c r="P131" s="134"/>
      <c r="Q131" s="134"/>
      <c r="R131" s="134"/>
      <c r="S131" s="134"/>
      <c r="T131" s="134"/>
      <c r="U131" s="134"/>
      <c r="V131" s="134"/>
      <c r="W131" s="134"/>
      <c r="X131" s="134"/>
    </row>
    <row r="132" spans="1:24" ht="17.25" customHeight="1">
      <c r="A132" s="134" t="s">
        <v>470</v>
      </c>
      <c r="B132" s="134" t="s">
        <v>470</v>
      </c>
      <c r="C132" s="134" t="s">
        <v>820</v>
      </c>
      <c r="D132" s="134"/>
      <c r="E132" s="134"/>
      <c r="F132" s="134" t="s">
        <v>160</v>
      </c>
      <c r="G132" s="134" t="s">
        <v>471</v>
      </c>
      <c r="H132" s="134" t="s">
        <v>202</v>
      </c>
      <c r="I132" s="134">
        <v>31</v>
      </c>
      <c r="J132" s="134">
        <v>0</v>
      </c>
      <c r="K132" s="134">
        <v>32</v>
      </c>
      <c r="L132" s="134" t="s">
        <v>192</v>
      </c>
      <c r="M132" s="134" t="s">
        <v>209</v>
      </c>
      <c r="N132" s="94" t="s">
        <v>1173</v>
      </c>
      <c r="O132" s="94" t="s">
        <v>1188</v>
      </c>
      <c r="P132" s="134"/>
      <c r="Q132" s="134"/>
      <c r="R132" s="134"/>
      <c r="S132" s="134"/>
      <c r="T132" s="134"/>
      <c r="U132" s="134"/>
      <c r="V132" s="134"/>
      <c r="W132" s="134"/>
      <c r="X132" s="134"/>
    </row>
    <row r="133" spans="1:24" ht="60">
      <c r="A133" s="134" t="s">
        <v>472</v>
      </c>
      <c r="B133" s="134" t="s">
        <v>472</v>
      </c>
      <c r="C133" s="134" t="s">
        <v>821</v>
      </c>
      <c r="D133" s="134"/>
      <c r="E133" s="134"/>
      <c r="F133" s="134" t="s">
        <v>160</v>
      </c>
      <c r="G133" s="134" t="s">
        <v>473</v>
      </c>
      <c r="H133" s="134"/>
      <c r="I133" s="134">
        <v>0</v>
      </c>
      <c r="J133" s="134">
        <v>0</v>
      </c>
      <c r="K133" s="134">
        <v>1</v>
      </c>
      <c r="L133" s="134" t="s">
        <v>1108</v>
      </c>
      <c r="M133" s="134" t="s">
        <v>200</v>
      </c>
      <c r="N133" s="94" t="s">
        <v>1303</v>
      </c>
      <c r="O133" s="94" t="s">
        <v>1188</v>
      </c>
      <c r="P133" s="134"/>
      <c r="Q133" s="134"/>
      <c r="R133" s="134"/>
      <c r="S133" s="134"/>
      <c r="T133" s="134"/>
      <c r="U133" s="134"/>
      <c r="V133" s="134"/>
      <c r="W133" s="134"/>
      <c r="X133" s="134"/>
    </row>
    <row r="134" spans="1:24" ht="42.6">
      <c r="A134" s="134"/>
      <c r="B134" s="134"/>
      <c r="C134" s="134"/>
      <c r="D134" s="134"/>
      <c r="E134" s="134"/>
      <c r="F134" s="134" t="s">
        <v>160</v>
      </c>
      <c r="G134" s="134" t="s">
        <v>474</v>
      </c>
      <c r="H134" s="134"/>
      <c r="I134" s="134">
        <v>1</v>
      </c>
      <c r="J134" s="134">
        <v>1</v>
      </c>
      <c r="K134" s="134">
        <v>1</v>
      </c>
      <c r="L134" s="134" t="s">
        <v>192</v>
      </c>
      <c r="M134" s="134" t="s">
        <v>200</v>
      </c>
      <c r="N134" s="135" t="s">
        <v>1304</v>
      </c>
      <c r="O134" s="94" t="s">
        <v>1188</v>
      </c>
      <c r="P134" s="134"/>
      <c r="Q134" s="134"/>
      <c r="R134" s="134"/>
      <c r="S134" s="134"/>
      <c r="T134" s="134"/>
      <c r="U134" s="134"/>
      <c r="V134" s="134"/>
      <c r="W134" s="134"/>
      <c r="X134" s="134"/>
    </row>
    <row r="135" spans="1:24" ht="42.6">
      <c r="A135" s="134"/>
      <c r="B135" s="134"/>
      <c r="C135" s="134"/>
      <c r="D135" s="134"/>
      <c r="E135" s="134"/>
      <c r="F135" s="134" t="s">
        <v>160</v>
      </c>
      <c r="G135" s="134" t="s">
        <v>475</v>
      </c>
      <c r="H135" s="134"/>
      <c r="I135" s="134">
        <v>2</v>
      </c>
      <c r="J135" s="134">
        <v>2</v>
      </c>
      <c r="K135" s="134">
        <v>1</v>
      </c>
      <c r="L135" s="134" t="s">
        <v>192</v>
      </c>
      <c r="M135" s="134" t="s">
        <v>200</v>
      </c>
      <c r="N135" s="135" t="s">
        <v>1305</v>
      </c>
      <c r="O135" s="94" t="s">
        <v>1188</v>
      </c>
      <c r="P135" s="134"/>
      <c r="Q135" s="134"/>
      <c r="R135" s="134"/>
      <c r="S135" s="134"/>
      <c r="T135" s="134"/>
      <c r="U135" s="134"/>
      <c r="V135" s="134"/>
      <c r="W135" s="134"/>
      <c r="X135" s="134"/>
    </row>
    <row r="136" spans="1:24" ht="42.6">
      <c r="A136" s="134"/>
      <c r="B136" s="134"/>
      <c r="C136" s="134"/>
      <c r="D136" s="134"/>
      <c r="E136" s="134"/>
      <c r="F136" s="134" t="s">
        <v>160</v>
      </c>
      <c r="G136" s="134" t="s">
        <v>476</v>
      </c>
      <c r="H136" s="134"/>
      <c r="I136" s="134">
        <v>3</v>
      </c>
      <c r="J136" s="134">
        <v>3</v>
      </c>
      <c r="K136" s="134">
        <v>1</v>
      </c>
      <c r="L136" s="134" t="s">
        <v>192</v>
      </c>
      <c r="M136" s="134" t="s">
        <v>200</v>
      </c>
      <c r="N136" s="135" t="s">
        <v>1306</v>
      </c>
      <c r="O136" s="94" t="s">
        <v>1188</v>
      </c>
      <c r="P136" s="134"/>
      <c r="Q136" s="134"/>
      <c r="R136" s="134"/>
      <c r="S136" s="134"/>
      <c r="T136" s="134"/>
      <c r="U136" s="134"/>
      <c r="V136" s="134"/>
      <c r="W136" s="134"/>
      <c r="X136" s="134"/>
    </row>
    <row r="137" spans="1:24" ht="42.6">
      <c r="A137" s="134"/>
      <c r="B137" s="134"/>
      <c r="C137" s="134"/>
      <c r="D137" s="134"/>
      <c r="E137" s="134"/>
      <c r="F137" s="134" t="s">
        <v>160</v>
      </c>
      <c r="G137" s="134" t="s">
        <v>477</v>
      </c>
      <c r="H137" s="134"/>
      <c r="I137" s="134">
        <v>4</v>
      </c>
      <c r="J137" s="134">
        <v>4</v>
      </c>
      <c r="K137" s="134">
        <v>1</v>
      </c>
      <c r="L137" s="134" t="s">
        <v>192</v>
      </c>
      <c r="M137" s="134" t="s">
        <v>200</v>
      </c>
      <c r="N137" s="135" t="s">
        <v>1307</v>
      </c>
      <c r="O137" s="94" t="s">
        <v>1188</v>
      </c>
      <c r="P137" s="134"/>
      <c r="Q137" s="134"/>
      <c r="R137" s="134"/>
      <c r="S137" s="134"/>
      <c r="T137" s="134"/>
      <c r="U137" s="134"/>
      <c r="V137" s="134"/>
      <c r="W137" s="134"/>
      <c r="X137" s="134"/>
    </row>
    <row r="138" spans="1:24" ht="42.6">
      <c r="A138" s="134"/>
      <c r="B138" s="134"/>
      <c r="C138" s="134"/>
      <c r="D138" s="134"/>
      <c r="E138" s="134"/>
      <c r="F138" s="134" t="s">
        <v>160</v>
      </c>
      <c r="G138" s="134" t="s">
        <v>478</v>
      </c>
      <c r="H138" s="134"/>
      <c r="I138" s="134">
        <v>7</v>
      </c>
      <c r="J138" s="134">
        <v>7</v>
      </c>
      <c r="K138" s="134">
        <v>1</v>
      </c>
      <c r="L138" s="134" t="s">
        <v>192</v>
      </c>
      <c r="M138" s="134" t="s">
        <v>200</v>
      </c>
      <c r="N138" s="135" t="s">
        <v>1308</v>
      </c>
      <c r="O138" s="94" t="s">
        <v>1188</v>
      </c>
      <c r="P138" s="134"/>
      <c r="Q138" s="134"/>
      <c r="R138" s="134"/>
      <c r="S138" s="134"/>
      <c r="T138" s="134"/>
      <c r="U138" s="134"/>
      <c r="V138" s="134"/>
      <c r="W138" s="134"/>
      <c r="X138" s="134"/>
    </row>
    <row r="139" spans="1:24" ht="42.6">
      <c r="A139" s="134"/>
      <c r="B139" s="134"/>
      <c r="C139" s="134"/>
      <c r="D139" s="134"/>
      <c r="E139" s="134"/>
      <c r="F139" s="134" t="s">
        <v>160</v>
      </c>
      <c r="G139" s="134" t="s">
        <v>479</v>
      </c>
      <c r="H139" s="134"/>
      <c r="I139" s="134">
        <v>8</v>
      </c>
      <c r="J139" s="134">
        <v>8</v>
      </c>
      <c r="K139" s="134">
        <v>1</v>
      </c>
      <c r="L139" s="134" t="s">
        <v>192</v>
      </c>
      <c r="M139" s="134" t="s">
        <v>200</v>
      </c>
      <c r="N139" s="135" t="s">
        <v>1309</v>
      </c>
      <c r="O139" s="94" t="s">
        <v>1188</v>
      </c>
      <c r="P139" s="134"/>
      <c r="Q139" s="134"/>
      <c r="R139" s="134"/>
      <c r="S139" s="134"/>
      <c r="T139" s="134"/>
      <c r="U139" s="134"/>
      <c r="V139" s="134"/>
      <c r="W139" s="134"/>
      <c r="X139" s="134"/>
    </row>
    <row r="140" spans="1:24" ht="42.6">
      <c r="A140" s="134"/>
      <c r="B140" s="134"/>
      <c r="C140" s="134"/>
      <c r="D140" s="134"/>
      <c r="E140" s="134"/>
      <c r="F140" s="134" t="s">
        <v>160</v>
      </c>
      <c r="G140" s="134" t="s">
        <v>480</v>
      </c>
      <c r="H140" s="134"/>
      <c r="I140" s="134">
        <v>11</v>
      </c>
      <c r="J140" s="134">
        <v>11</v>
      </c>
      <c r="K140" s="134">
        <v>1</v>
      </c>
      <c r="L140" s="134" t="s">
        <v>192</v>
      </c>
      <c r="M140" s="134" t="s">
        <v>200</v>
      </c>
      <c r="N140" s="135" t="s">
        <v>1310</v>
      </c>
      <c r="O140" s="94" t="s">
        <v>1188</v>
      </c>
      <c r="P140" s="134"/>
      <c r="Q140" s="134"/>
      <c r="R140" s="134"/>
      <c r="S140" s="134"/>
      <c r="T140" s="134"/>
      <c r="U140" s="134"/>
      <c r="V140" s="134"/>
      <c r="W140" s="134"/>
      <c r="X140" s="134"/>
    </row>
    <row r="141" spans="1:24" ht="42.6">
      <c r="A141" s="134"/>
      <c r="B141" s="134"/>
      <c r="C141" s="134"/>
      <c r="D141" s="134"/>
      <c r="E141" s="134"/>
      <c r="F141" s="134" t="s">
        <v>160</v>
      </c>
      <c r="G141" s="134" t="s">
        <v>481</v>
      </c>
      <c r="H141" s="134"/>
      <c r="I141" s="134">
        <v>12</v>
      </c>
      <c r="J141" s="134">
        <v>12</v>
      </c>
      <c r="K141" s="134">
        <v>1</v>
      </c>
      <c r="L141" s="134" t="s">
        <v>192</v>
      </c>
      <c r="M141" s="134" t="s">
        <v>200</v>
      </c>
      <c r="N141" s="135" t="s">
        <v>1311</v>
      </c>
      <c r="O141" s="94" t="s">
        <v>1188</v>
      </c>
      <c r="P141" s="134"/>
      <c r="Q141" s="134"/>
      <c r="R141" s="134"/>
      <c r="S141" s="134"/>
      <c r="T141" s="134"/>
      <c r="U141" s="134"/>
      <c r="V141" s="134"/>
      <c r="W141" s="134"/>
      <c r="X141" s="134"/>
    </row>
    <row r="142" spans="1:24" ht="42.6">
      <c r="A142" s="134"/>
      <c r="B142" s="134"/>
      <c r="C142" s="134"/>
      <c r="D142" s="134"/>
      <c r="E142" s="134"/>
      <c r="F142" s="134" t="s">
        <v>160</v>
      </c>
      <c r="G142" s="134" t="s">
        <v>482</v>
      </c>
      <c r="H142" s="134"/>
      <c r="I142" s="134">
        <v>13</v>
      </c>
      <c r="J142" s="134">
        <v>13</v>
      </c>
      <c r="K142" s="134">
        <v>1</v>
      </c>
      <c r="L142" s="134" t="s">
        <v>192</v>
      </c>
      <c r="M142" s="134" t="s">
        <v>200</v>
      </c>
      <c r="N142" s="135" t="s">
        <v>1312</v>
      </c>
      <c r="O142" s="94" t="s">
        <v>1188</v>
      </c>
      <c r="P142" s="134"/>
      <c r="Q142" s="134"/>
      <c r="R142" s="134"/>
      <c r="S142" s="134"/>
      <c r="T142" s="134"/>
      <c r="U142" s="134"/>
      <c r="V142" s="134"/>
      <c r="W142" s="134"/>
      <c r="X142" s="134"/>
    </row>
    <row r="143" spans="1:24" ht="42.6">
      <c r="A143" s="134"/>
      <c r="B143" s="134"/>
      <c r="C143" s="134"/>
      <c r="D143" s="134"/>
      <c r="E143" s="134"/>
      <c r="F143" s="134" t="s">
        <v>160</v>
      </c>
      <c r="G143" s="134" t="s">
        <v>483</v>
      </c>
      <c r="H143" s="134"/>
      <c r="I143" s="134">
        <v>14</v>
      </c>
      <c r="J143" s="134">
        <v>14</v>
      </c>
      <c r="K143" s="134">
        <v>1</v>
      </c>
      <c r="L143" s="134" t="s">
        <v>192</v>
      </c>
      <c r="M143" s="134" t="s">
        <v>200</v>
      </c>
      <c r="N143" s="135" t="s">
        <v>1313</v>
      </c>
      <c r="O143" s="94" t="s">
        <v>1188</v>
      </c>
      <c r="P143" s="134"/>
      <c r="Q143" s="134"/>
      <c r="R143" s="134"/>
      <c r="S143" s="134"/>
      <c r="T143" s="134"/>
      <c r="U143" s="134"/>
      <c r="V143" s="134"/>
      <c r="W143" s="134"/>
      <c r="X143" s="134"/>
    </row>
    <row r="144" spans="1:24" ht="15">
      <c r="A144" s="134"/>
      <c r="B144" s="134"/>
      <c r="C144" s="134"/>
      <c r="D144" s="134"/>
      <c r="E144" s="134"/>
      <c r="F144" s="134" t="s">
        <v>160</v>
      </c>
      <c r="G144" s="134" t="s">
        <v>484</v>
      </c>
      <c r="H144" s="134"/>
      <c r="I144" s="134">
        <v>15</v>
      </c>
      <c r="J144" s="134">
        <v>15</v>
      </c>
      <c r="K144" s="134">
        <v>1</v>
      </c>
      <c r="L144" s="134" t="s">
        <v>192</v>
      </c>
      <c r="M144" s="134" t="s">
        <v>200</v>
      </c>
      <c r="N144" s="136" t="s">
        <v>1258</v>
      </c>
      <c r="O144" s="94" t="s">
        <v>1188</v>
      </c>
      <c r="P144" s="134"/>
      <c r="Q144" s="134"/>
      <c r="R144" s="134"/>
      <c r="S144" s="134"/>
      <c r="T144" s="134"/>
      <c r="U144" s="134"/>
      <c r="V144" s="134"/>
      <c r="W144" s="134"/>
      <c r="X144" s="134"/>
    </row>
    <row r="145" spans="1:24" ht="42.6">
      <c r="A145" s="134"/>
      <c r="B145" s="134"/>
      <c r="C145" s="134"/>
      <c r="D145" s="134"/>
      <c r="E145" s="134"/>
      <c r="F145" s="134" t="s">
        <v>160</v>
      </c>
      <c r="G145" s="134" t="s">
        <v>485</v>
      </c>
      <c r="H145" s="134"/>
      <c r="I145" s="134">
        <v>16</v>
      </c>
      <c r="J145" s="134">
        <v>16</v>
      </c>
      <c r="K145" s="134">
        <v>1</v>
      </c>
      <c r="L145" s="134" t="s">
        <v>192</v>
      </c>
      <c r="M145" s="134" t="s">
        <v>200</v>
      </c>
      <c r="N145" s="135" t="s">
        <v>1314</v>
      </c>
      <c r="O145" s="94" t="s">
        <v>1188</v>
      </c>
      <c r="P145" s="134"/>
      <c r="Q145" s="134"/>
      <c r="R145" s="134"/>
      <c r="S145" s="134"/>
      <c r="T145" s="134"/>
      <c r="U145" s="134"/>
      <c r="V145" s="134"/>
      <c r="W145" s="134"/>
      <c r="X145" s="134"/>
    </row>
    <row r="146" spans="1:24" ht="42.6">
      <c r="A146" s="134"/>
      <c r="B146" s="134"/>
      <c r="C146" s="134"/>
      <c r="D146" s="134"/>
      <c r="E146" s="134"/>
      <c r="F146" s="134" t="s">
        <v>160</v>
      </c>
      <c r="G146" s="134" t="s">
        <v>486</v>
      </c>
      <c r="H146" s="134"/>
      <c r="I146" s="134">
        <v>17</v>
      </c>
      <c r="J146" s="134">
        <v>17</v>
      </c>
      <c r="K146" s="134">
        <v>1</v>
      </c>
      <c r="L146" s="134" t="s">
        <v>192</v>
      </c>
      <c r="M146" s="134" t="s">
        <v>200</v>
      </c>
      <c r="N146" s="135" t="s">
        <v>1315</v>
      </c>
      <c r="O146" s="94" t="s">
        <v>1188</v>
      </c>
      <c r="P146" s="134"/>
      <c r="Q146" s="134"/>
      <c r="R146" s="134"/>
      <c r="S146" s="134"/>
      <c r="T146" s="134"/>
      <c r="U146" s="134"/>
      <c r="V146" s="134"/>
      <c r="W146" s="134"/>
      <c r="X146" s="134"/>
    </row>
    <row r="147" spans="1:24" ht="42.6">
      <c r="A147" s="134"/>
      <c r="B147" s="134"/>
      <c r="C147" s="134"/>
      <c r="D147" s="134"/>
      <c r="E147" s="134"/>
      <c r="F147" s="134" t="s">
        <v>160</v>
      </c>
      <c r="G147" s="134" t="s">
        <v>487</v>
      </c>
      <c r="H147" s="134"/>
      <c r="I147" s="134">
        <v>18</v>
      </c>
      <c r="J147" s="134">
        <v>18</v>
      </c>
      <c r="K147" s="134">
        <v>1</v>
      </c>
      <c r="L147" s="134" t="s">
        <v>192</v>
      </c>
      <c r="M147" s="134" t="s">
        <v>200</v>
      </c>
      <c r="N147" s="135" t="s">
        <v>1316</v>
      </c>
      <c r="O147" s="94" t="s">
        <v>1188</v>
      </c>
      <c r="P147" s="134"/>
      <c r="Q147" s="134"/>
      <c r="R147" s="134"/>
      <c r="S147" s="134"/>
      <c r="T147" s="134"/>
      <c r="U147" s="134"/>
      <c r="V147" s="134"/>
      <c r="W147" s="134"/>
      <c r="X147" s="134"/>
    </row>
    <row r="148" spans="1:24" ht="42.6">
      <c r="A148" s="134"/>
      <c r="B148" s="134"/>
      <c r="C148" s="134"/>
      <c r="D148" s="134"/>
      <c r="E148" s="134"/>
      <c r="F148" s="134" t="s">
        <v>160</v>
      </c>
      <c r="G148" s="134" t="s">
        <v>488</v>
      </c>
      <c r="H148" s="134"/>
      <c r="I148" s="134">
        <v>19</v>
      </c>
      <c r="J148" s="134">
        <v>19</v>
      </c>
      <c r="K148" s="134">
        <v>1</v>
      </c>
      <c r="L148" s="134" t="s">
        <v>192</v>
      </c>
      <c r="M148" s="134" t="s">
        <v>200</v>
      </c>
      <c r="N148" s="135" t="s">
        <v>1317</v>
      </c>
      <c r="O148" s="94" t="s">
        <v>1188</v>
      </c>
      <c r="P148" s="134"/>
      <c r="Q148" s="134"/>
      <c r="R148" s="134"/>
      <c r="S148" s="134"/>
      <c r="T148" s="134"/>
      <c r="U148" s="134"/>
      <c r="V148" s="134"/>
      <c r="W148" s="134"/>
      <c r="X148" s="134"/>
    </row>
    <row r="149" spans="1:24" ht="15">
      <c r="A149" s="134"/>
      <c r="B149" s="134"/>
      <c r="C149" s="134"/>
      <c r="D149" s="134"/>
      <c r="E149" s="134"/>
      <c r="F149" s="134" t="s">
        <v>160</v>
      </c>
      <c r="G149" s="134" t="s">
        <v>489</v>
      </c>
      <c r="H149" s="134"/>
      <c r="I149" s="134">
        <v>20</v>
      </c>
      <c r="J149" s="134">
        <v>20</v>
      </c>
      <c r="K149" s="134">
        <v>1</v>
      </c>
      <c r="L149" s="134" t="s">
        <v>192</v>
      </c>
      <c r="M149" s="134" t="s">
        <v>200</v>
      </c>
      <c r="N149" s="136" t="s">
        <v>1258</v>
      </c>
      <c r="O149" s="94" t="s">
        <v>1188</v>
      </c>
      <c r="P149" s="134"/>
      <c r="Q149" s="134"/>
      <c r="R149" s="134"/>
      <c r="S149" s="134"/>
      <c r="T149" s="134"/>
      <c r="U149" s="134"/>
      <c r="V149" s="134"/>
      <c r="W149" s="134"/>
      <c r="X149" s="134"/>
    </row>
    <row r="150" spans="1:24" ht="42.6">
      <c r="A150" s="134"/>
      <c r="B150" s="134"/>
      <c r="C150" s="134"/>
      <c r="D150" s="134"/>
      <c r="E150" s="134"/>
      <c r="F150" s="134" t="s">
        <v>160</v>
      </c>
      <c r="G150" s="134" t="s">
        <v>792</v>
      </c>
      <c r="H150" s="134"/>
      <c r="I150" s="134">
        <v>21</v>
      </c>
      <c r="J150" s="134">
        <v>21</v>
      </c>
      <c r="K150" s="134">
        <v>1</v>
      </c>
      <c r="L150" s="134" t="s">
        <v>794</v>
      </c>
      <c r="M150" s="134" t="s">
        <v>795</v>
      </c>
      <c r="N150" s="135" t="s">
        <v>1318</v>
      </c>
      <c r="O150" s="94" t="s">
        <v>1188</v>
      </c>
      <c r="P150" s="134"/>
      <c r="Q150" s="134"/>
      <c r="R150" s="134"/>
      <c r="S150" s="134"/>
      <c r="T150" s="134"/>
      <c r="U150" s="134"/>
      <c r="V150" s="134"/>
      <c r="W150" s="134"/>
      <c r="X150" s="134"/>
    </row>
    <row r="151" spans="1:24" ht="42.6">
      <c r="A151" s="134"/>
      <c r="B151" s="134"/>
      <c r="C151" s="134"/>
      <c r="D151" s="134"/>
      <c r="E151" s="134"/>
      <c r="F151" s="134" t="s">
        <v>160</v>
      </c>
      <c r="G151" s="134" t="s">
        <v>796</v>
      </c>
      <c r="H151" s="134"/>
      <c r="I151" s="134">
        <v>22</v>
      </c>
      <c r="J151" s="134">
        <v>22</v>
      </c>
      <c r="K151" s="134">
        <v>1</v>
      </c>
      <c r="L151" s="134" t="s">
        <v>794</v>
      </c>
      <c r="M151" s="134" t="s">
        <v>795</v>
      </c>
      <c r="N151" s="135" t="s">
        <v>1319</v>
      </c>
      <c r="O151" s="94" t="s">
        <v>1188</v>
      </c>
      <c r="P151" s="134"/>
      <c r="Q151" s="134"/>
      <c r="R151" s="134"/>
      <c r="S151" s="134"/>
      <c r="T151" s="134"/>
      <c r="U151" s="134"/>
      <c r="V151" s="134"/>
      <c r="W151" s="134"/>
      <c r="X151" s="134"/>
    </row>
    <row r="152" spans="1:24" ht="42.6">
      <c r="A152" s="134"/>
      <c r="B152" s="134"/>
      <c r="C152" s="134"/>
      <c r="D152" s="134"/>
      <c r="E152" s="134"/>
      <c r="F152" s="134" t="s">
        <v>160</v>
      </c>
      <c r="G152" s="134" t="s">
        <v>985</v>
      </c>
      <c r="H152" s="134"/>
      <c r="I152" s="134">
        <v>23</v>
      </c>
      <c r="J152" s="134">
        <v>23</v>
      </c>
      <c r="K152" s="134">
        <v>1</v>
      </c>
      <c r="L152" s="134" t="s">
        <v>192</v>
      </c>
      <c r="M152" s="134" t="s">
        <v>200</v>
      </c>
      <c r="N152" s="135" t="s">
        <v>1320</v>
      </c>
      <c r="O152" s="94" t="s">
        <v>1188</v>
      </c>
      <c r="P152" s="134"/>
      <c r="Q152" s="134"/>
      <c r="R152" s="134"/>
      <c r="S152" s="134"/>
      <c r="T152" s="134"/>
      <c r="U152" s="134"/>
      <c r="V152" s="134"/>
      <c r="W152" s="134"/>
      <c r="X152" s="134"/>
    </row>
    <row r="153" spans="1:24" ht="42.6">
      <c r="A153" s="134"/>
      <c r="B153" s="134"/>
      <c r="C153" s="134"/>
      <c r="D153" s="134"/>
      <c r="E153" s="134"/>
      <c r="F153" s="134" t="s">
        <v>160</v>
      </c>
      <c r="G153" s="134" t="s">
        <v>986</v>
      </c>
      <c r="H153" s="134"/>
      <c r="I153" s="134">
        <v>24</v>
      </c>
      <c r="J153" s="134">
        <v>24</v>
      </c>
      <c r="K153" s="134">
        <v>1</v>
      </c>
      <c r="L153" s="134" t="s">
        <v>192</v>
      </c>
      <c r="M153" s="134" t="s">
        <v>200</v>
      </c>
      <c r="N153" s="135" t="s">
        <v>1321</v>
      </c>
      <c r="O153" s="94" t="s">
        <v>1188</v>
      </c>
      <c r="P153" s="134"/>
      <c r="Q153" s="134"/>
      <c r="R153" s="134"/>
      <c r="S153" s="134"/>
      <c r="T153" s="134"/>
      <c r="U153" s="134"/>
      <c r="V153" s="134"/>
      <c r="W153" s="134"/>
      <c r="X153" s="134"/>
    </row>
    <row r="154" spans="1:24" ht="42.6">
      <c r="A154" s="134"/>
      <c r="B154" s="134"/>
      <c r="C154" s="134"/>
      <c r="D154" s="134"/>
      <c r="E154" s="134"/>
      <c r="F154" s="134" t="s">
        <v>160</v>
      </c>
      <c r="G154" s="134" t="s">
        <v>1177</v>
      </c>
      <c r="H154" s="134"/>
      <c r="I154" s="134">
        <v>25</v>
      </c>
      <c r="J154" s="134">
        <v>25</v>
      </c>
      <c r="K154" s="134">
        <v>1</v>
      </c>
      <c r="L154" s="134" t="s">
        <v>794</v>
      </c>
      <c r="M154" s="134" t="s">
        <v>795</v>
      </c>
      <c r="N154" s="135" t="s">
        <v>1322</v>
      </c>
      <c r="O154" s="94" t="s">
        <v>1188</v>
      </c>
      <c r="P154" s="134"/>
      <c r="Q154" s="134"/>
      <c r="R154" s="134"/>
      <c r="S154" s="134"/>
      <c r="T154" s="134"/>
      <c r="U154" s="134"/>
      <c r="V154" s="134"/>
      <c r="W154" s="134"/>
      <c r="X154" s="134"/>
    </row>
    <row r="155" spans="1:24" ht="42.6">
      <c r="A155" s="134"/>
      <c r="B155" s="134"/>
      <c r="C155" s="134"/>
      <c r="D155" s="134"/>
      <c r="E155" s="134"/>
      <c r="F155" s="134" t="s">
        <v>160</v>
      </c>
      <c r="G155" s="134" t="s">
        <v>1178</v>
      </c>
      <c r="H155" s="134"/>
      <c r="I155" s="134">
        <v>26</v>
      </c>
      <c r="J155" s="134">
        <v>26</v>
      </c>
      <c r="K155" s="134">
        <v>1</v>
      </c>
      <c r="L155" s="134" t="s">
        <v>794</v>
      </c>
      <c r="M155" s="134" t="s">
        <v>795</v>
      </c>
      <c r="N155" s="135" t="s">
        <v>1323</v>
      </c>
      <c r="O155" s="94" t="s">
        <v>1188</v>
      </c>
      <c r="P155" s="134"/>
      <c r="Q155" s="134"/>
      <c r="R155" s="134"/>
      <c r="S155" s="134"/>
      <c r="T155" s="134"/>
      <c r="U155" s="134"/>
      <c r="V155" s="134"/>
      <c r="W155" s="134"/>
      <c r="X155" s="134"/>
    </row>
    <row r="156" spans="1:24" ht="42.6">
      <c r="A156" s="134"/>
      <c r="B156" s="134"/>
      <c r="C156" s="134"/>
      <c r="D156" s="134"/>
      <c r="E156" s="134"/>
      <c r="F156" s="134" t="s">
        <v>160</v>
      </c>
      <c r="G156" s="134" t="s">
        <v>1015</v>
      </c>
      <c r="H156" s="134"/>
      <c r="I156" s="134">
        <v>27</v>
      </c>
      <c r="J156" s="134">
        <v>27</v>
      </c>
      <c r="K156" s="134">
        <v>1</v>
      </c>
      <c r="L156" s="134" t="s">
        <v>794</v>
      </c>
      <c r="M156" s="134" t="s">
        <v>795</v>
      </c>
      <c r="N156" s="135" t="s">
        <v>1324</v>
      </c>
      <c r="O156" s="94" t="s">
        <v>1188</v>
      </c>
      <c r="P156" s="134"/>
      <c r="Q156" s="134"/>
      <c r="R156" s="134"/>
      <c r="S156" s="134"/>
      <c r="T156" s="134"/>
      <c r="U156" s="134"/>
      <c r="V156" s="134"/>
      <c r="W156" s="134"/>
      <c r="X156" s="134"/>
    </row>
    <row r="157" spans="1:24" ht="42.6">
      <c r="A157" s="134"/>
      <c r="B157" s="134"/>
      <c r="C157" s="134"/>
      <c r="D157" s="134"/>
      <c r="E157" s="134"/>
      <c r="F157" s="134" t="s">
        <v>160</v>
      </c>
      <c r="G157" s="134" t="s">
        <v>1179</v>
      </c>
      <c r="H157" s="134"/>
      <c r="I157" s="134">
        <v>28</v>
      </c>
      <c r="J157" s="134">
        <v>28</v>
      </c>
      <c r="K157" s="134">
        <v>1</v>
      </c>
      <c r="L157" s="134" t="s">
        <v>794</v>
      </c>
      <c r="M157" s="134" t="s">
        <v>795</v>
      </c>
      <c r="N157" s="135" t="s">
        <v>1325</v>
      </c>
      <c r="O157" s="94" t="s">
        <v>1188</v>
      </c>
      <c r="P157" s="134"/>
      <c r="Q157" s="134"/>
      <c r="R157" s="134"/>
      <c r="S157" s="134"/>
      <c r="T157" s="134"/>
      <c r="U157" s="134"/>
      <c r="V157" s="134"/>
      <c r="W157" s="134"/>
      <c r="X157" s="134"/>
    </row>
    <row r="158" spans="1:24" ht="42.6">
      <c r="A158" s="134"/>
      <c r="B158" s="134"/>
      <c r="C158" s="134"/>
      <c r="D158" s="134"/>
      <c r="E158" s="134"/>
      <c r="F158" s="134" t="s">
        <v>160</v>
      </c>
      <c r="G158" s="134" t="s">
        <v>1180</v>
      </c>
      <c r="H158" s="134"/>
      <c r="I158" s="134">
        <v>29</v>
      </c>
      <c r="J158" s="134">
        <v>29</v>
      </c>
      <c r="K158" s="134">
        <v>1</v>
      </c>
      <c r="L158" s="134" t="s">
        <v>794</v>
      </c>
      <c r="M158" s="134" t="s">
        <v>795</v>
      </c>
      <c r="N158" s="135" t="s">
        <v>1326</v>
      </c>
      <c r="O158" s="94" t="s">
        <v>1188</v>
      </c>
      <c r="P158" s="134"/>
      <c r="Q158" s="134"/>
      <c r="R158" s="134"/>
      <c r="S158" s="134"/>
      <c r="T158" s="134"/>
      <c r="U158" s="134"/>
      <c r="V158" s="134"/>
      <c r="W158" s="134"/>
      <c r="X158" s="134"/>
    </row>
    <row r="159" spans="1:24" ht="42.6">
      <c r="A159" s="134"/>
      <c r="B159" s="134"/>
      <c r="C159" s="134"/>
      <c r="D159" s="134"/>
      <c r="E159" s="134"/>
      <c r="F159" s="134" t="s">
        <v>160</v>
      </c>
      <c r="G159" s="134" t="s">
        <v>1181</v>
      </c>
      <c r="H159" s="134"/>
      <c r="I159" s="134">
        <v>30</v>
      </c>
      <c r="J159" s="134">
        <v>30</v>
      </c>
      <c r="K159" s="134">
        <v>1</v>
      </c>
      <c r="L159" s="134" t="s">
        <v>794</v>
      </c>
      <c r="M159" s="134" t="s">
        <v>795</v>
      </c>
      <c r="N159" s="135" t="s">
        <v>1327</v>
      </c>
      <c r="O159" s="94" t="s">
        <v>1188</v>
      </c>
      <c r="P159" s="134"/>
      <c r="Q159" s="134"/>
      <c r="R159" s="134"/>
      <c r="S159" s="134"/>
      <c r="T159" s="134"/>
      <c r="U159" s="134"/>
      <c r="V159" s="134"/>
      <c r="W159" s="134"/>
      <c r="X159" s="134"/>
    </row>
    <row r="160" spans="1:24" ht="41.4">
      <c r="A160" s="134" t="s">
        <v>490</v>
      </c>
      <c r="B160" s="134" t="s">
        <v>490</v>
      </c>
      <c r="C160" s="134" t="s">
        <v>822</v>
      </c>
      <c r="D160" s="134"/>
      <c r="E160" s="134"/>
      <c r="F160" s="134" t="s">
        <v>160</v>
      </c>
      <c r="G160" s="134" t="s">
        <v>491</v>
      </c>
      <c r="H160" s="134" t="s">
        <v>202</v>
      </c>
      <c r="I160" s="134">
        <v>0</v>
      </c>
      <c r="J160" s="134">
        <v>0</v>
      </c>
      <c r="K160" s="134">
        <v>1</v>
      </c>
      <c r="L160" s="134" t="s">
        <v>192</v>
      </c>
      <c r="M160" s="134" t="s">
        <v>252</v>
      </c>
      <c r="N160" s="135" t="s">
        <v>1259</v>
      </c>
      <c r="O160" s="94" t="s">
        <v>1188</v>
      </c>
      <c r="P160" s="134"/>
      <c r="Q160" s="134"/>
      <c r="R160" s="134"/>
      <c r="S160" s="134"/>
      <c r="T160" s="134"/>
      <c r="U160" s="134"/>
      <c r="V160" s="134"/>
      <c r="W160" s="134"/>
      <c r="X160" s="134"/>
    </row>
    <row r="161" spans="1:24" s="81" customFormat="1" ht="41.4">
      <c r="A161" s="134"/>
      <c r="B161" s="134"/>
      <c r="C161" s="134"/>
      <c r="D161" s="134"/>
      <c r="E161" s="134"/>
      <c r="F161" s="134" t="s">
        <v>160</v>
      </c>
      <c r="G161" s="134" t="s">
        <v>492</v>
      </c>
      <c r="H161" s="134" t="s">
        <v>202</v>
      </c>
      <c r="I161" s="134">
        <v>1</v>
      </c>
      <c r="J161" s="134">
        <v>1</v>
      </c>
      <c r="K161" s="134">
        <v>1</v>
      </c>
      <c r="L161" s="134" t="s">
        <v>192</v>
      </c>
      <c r="M161" s="134" t="s">
        <v>252</v>
      </c>
      <c r="N161" s="135" t="s">
        <v>1260</v>
      </c>
      <c r="O161" s="94" t="s">
        <v>1188</v>
      </c>
      <c r="P161" s="134"/>
      <c r="Q161" s="134"/>
      <c r="R161" s="134"/>
      <c r="S161" s="134"/>
      <c r="T161" s="134"/>
      <c r="U161" s="134"/>
      <c r="V161" s="134"/>
      <c r="W161" s="134"/>
      <c r="X161" s="134"/>
    </row>
    <row r="162" spans="1:24" s="81" customFormat="1" ht="41.4">
      <c r="A162" s="134"/>
      <c r="B162" s="134"/>
      <c r="C162" s="134"/>
      <c r="D162" s="134"/>
      <c r="E162" s="134"/>
      <c r="F162" s="134" t="s">
        <v>160</v>
      </c>
      <c r="G162" s="134" t="s">
        <v>493</v>
      </c>
      <c r="H162" s="134" t="s">
        <v>202</v>
      </c>
      <c r="I162" s="134">
        <v>2</v>
      </c>
      <c r="J162" s="134">
        <v>2</v>
      </c>
      <c r="K162" s="134">
        <v>1</v>
      </c>
      <c r="L162" s="134" t="s">
        <v>192</v>
      </c>
      <c r="M162" s="134" t="s">
        <v>252</v>
      </c>
      <c r="N162" s="135" t="s">
        <v>1261</v>
      </c>
      <c r="O162" s="94" t="s">
        <v>1188</v>
      </c>
      <c r="P162" s="134"/>
      <c r="Q162" s="134"/>
      <c r="R162" s="134"/>
      <c r="S162" s="134"/>
      <c r="T162" s="134"/>
      <c r="U162" s="134"/>
      <c r="V162" s="134"/>
      <c r="W162" s="134"/>
      <c r="X162" s="134"/>
    </row>
    <row r="163" spans="1:24" s="81" customFormat="1" ht="41.4">
      <c r="A163" s="134"/>
      <c r="B163" s="134"/>
      <c r="C163" s="134"/>
      <c r="D163" s="134"/>
      <c r="E163" s="134"/>
      <c r="F163" s="134" t="s">
        <v>160</v>
      </c>
      <c r="G163" s="134" t="s">
        <v>494</v>
      </c>
      <c r="H163" s="134" t="s">
        <v>202</v>
      </c>
      <c r="I163" s="134">
        <v>3</v>
      </c>
      <c r="J163" s="134">
        <v>3</v>
      </c>
      <c r="K163" s="134">
        <v>1</v>
      </c>
      <c r="L163" s="134" t="s">
        <v>192</v>
      </c>
      <c r="M163" s="134" t="s">
        <v>252</v>
      </c>
      <c r="N163" s="135" t="s">
        <v>1262</v>
      </c>
      <c r="O163" s="94" t="s">
        <v>1188</v>
      </c>
      <c r="P163" s="134"/>
      <c r="Q163" s="134"/>
      <c r="R163" s="134"/>
      <c r="S163" s="134"/>
      <c r="T163" s="134"/>
      <c r="U163" s="134"/>
      <c r="V163" s="134"/>
      <c r="W163" s="134"/>
      <c r="X163" s="134"/>
    </row>
    <row r="164" spans="1:24" s="81" customFormat="1" ht="15">
      <c r="A164" s="134"/>
      <c r="B164" s="134"/>
      <c r="C164" s="134"/>
      <c r="D164" s="134"/>
      <c r="E164" s="134"/>
      <c r="F164" s="134" t="s">
        <v>160</v>
      </c>
      <c r="G164" s="134" t="s">
        <v>495</v>
      </c>
      <c r="H164" s="134" t="s">
        <v>202</v>
      </c>
      <c r="I164" s="134">
        <v>4</v>
      </c>
      <c r="J164" s="134">
        <v>4</v>
      </c>
      <c r="K164" s="134">
        <v>1</v>
      </c>
      <c r="L164" s="134" t="s">
        <v>192</v>
      </c>
      <c r="M164" s="134" t="s">
        <v>252</v>
      </c>
      <c r="N164" s="134" t="s">
        <v>496</v>
      </c>
      <c r="O164" s="94" t="s">
        <v>1188</v>
      </c>
      <c r="P164" s="134"/>
      <c r="Q164" s="134"/>
      <c r="R164" s="134"/>
      <c r="S164" s="134"/>
      <c r="T164" s="134"/>
      <c r="U164" s="134"/>
      <c r="V164" s="134"/>
      <c r="W164" s="134"/>
      <c r="X164" s="134"/>
    </row>
    <row r="165" spans="1:24" s="81" customFormat="1" ht="15">
      <c r="A165" s="134"/>
      <c r="B165" s="134"/>
      <c r="C165" s="134"/>
      <c r="D165" s="134"/>
      <c r="E165" s="134"/>
      <c r="F165" s="134" t="s">
        <v>160</v>
      </c>
      <c r="G165" s="134" t="s">
        <v>497</v>
      </c>
      <c r="H165" s="134" t="s">
        <v>202</v>
      </c>
      <c r="I165" s="134">
        <v>5</v>
      </c>
      <c r="J165" s="134">
        <v>5</v>
      </c>
      <c r="K165" s="134">
        <v>1</v>
      </c>
      <c r="L165" s="134" t="s">
        <v>192</v>
      </c>
      <c r="M165" s="134" t="s">
        <v>252</v>
      </c>
      <c r="N165" s="134" t="s">
        <v>498</v>
      </c>
      <c r="O165" s="94" t="s">
        <v>1188</v>
      </c>
      <c r="P165" s="134"/>
      <c r="Q165" s="134"/>
      <c r="R165" s="134"/>
      <c r="S165" s="134"/>
      <c r="T165" s="134"/>
      <c r="U165" s="134"/>
      <c r="V165" s="134"/>
      <c r="W165" s="134"/>
      <c r="X165" s="134"/>
    </row>
    <row r="166" spans="1:24" s="81" customFormat="1" ht="15">
      <c r="A166" s="134"/>
      <c r="B166" s="134"/>
      <c r="C166" s="134"/>
      <c r="D166" s="134"/>
      <c r="E166" s="134"/>
      <c r="F166" s="134" t="s">
        <v>160</v>
      </c>
      <c r="G166" s="134" t="s">
        <v>499</v>
      </c>
      <c r="H166" s="134" t="s">
        <v>202</v>
      </c>
      <c r="I166" s="134">
        <v>6</v>
      </c>
      <c r="J166" s="134">
        <v>6</v>
      </c>
      <c r="K166" s="134">
        <v>1</v>
      </c>
      <c r="L166" s="134" t="s">
        <v>192</v>
      </c>
      <c r="M166" s="134" t="s">
        <v>252</v>
      </c>
      <c r="N166" s="134" t="s">
        <v>500</v>
      </c>
      <c r="O166" s="94" t="s">
        <v>1188</v>
      </c>
      <c r="P166" s="134"/>
      <c r="Q166" s="134"/>
      <c r="R166" s="134"/>
      <c r="S166" s="134"/>
      <c r="T166" s="134"/>
      <c r="U166" s="134"/>
      <c r="V166" s="134"/>
      <c r="W166" s="134"/>
      <c r="X166" s="134"/>
    </row>
    <row r="167" spans="1:24" s="81" customFormat="1" ht="15">
      <c r="A167" s="134"/>
      <c r="B167" s="134"/>
      <c r="C167" s="134"/>
      <c r="D167" s="134"/>
      <c r="E167" s="134"/>
      <c r="F167" s="134" t="s">
        <v>160</v>
      </c>
      <c r="G167" s="134" t="s">
        <v>1102</v>
      </c>
      <c r="H167" s="134" t="s">
        <v>202</v>
      </c>
      <c r="I167" s="134">
        <v>7</v>
      </c>
      <c r="J167" s="134">
        <v>7</v>
      </c>
      <c r="K167" s="134">
        <v>1</v>
      </c>
      <c r="L167" s="134" t="s">
        <v>794</v>
      </c>
      <c r="M167" s="134" t="s">
        <v>252</v>
      </c>
      <c r="N167" s="134" t="s">
        <v>503</v>
      </c>
      <c r="O167" s="94" t="s">
        <v>1188</v>
      </c>
      <c r="P167" s="134"/>
      <c r="Q167" s="134"/>
      <c r="R167" s="134"/>
      <c r="S167" s="134"/>
      <c r="T167" s="134"/>
      <c r="U167" s="134"/>
      <c r="V167" s="134"/>
      <c r="W167" s="134"/>
      <c r="X167" s="134"/>
    </row>
    <row r="168" spans="1:24" s="81" customFormat="1" ht="15">
      <c r="A168" s="134"/>
      <c r="B168" s="134"/>
      <c r="C168" s="134"/>
      <c r="D168" s="134"/>
      <c r="E168" s="134"/>
      <c r="F168" s="134" t="s">
        <v>160</v>
      </c>
      <c r="G168" s="134" t="s">
        <v>1101</v>
      </c>
      <c r="H168" s="134" t="s">
        <v>793</v>
      </c>
      <c r="I168" s="134">
        <v>8</v>
      </c>
      <c r="J168" s="134">
        <v>8</v>
      </c>
      <c r="K168" s="134">
        <v>1</v>
      </c>
      <c r="L168" s="134" t="s">
        <v>794</v>
      </c>
      <c r="M168" s="134" t="s">
        <v>252</v>
      </c>
      <c r="N168" s="134" t="s">
        <v>503</v>
      </c>
      <c r="O168" s="94" t="s">
        <v>1188</v>
      </c>
      <c r="P168" s="134"/>
      <c r="Q168" s="134"/>
      <c r="R168" s="134"/>
      <c r="S168" s="134"/>
      <c r="T168" s="134"/>
      <c r="U168" s="134"/>
      <c r="V168" s="134"/>
      <c r="W168" s="134"/>
      <c r="X168" s="134"/>
    </row>
    <row r="169" spans="1:24" s="81" customFormat="1" ht="15">
      <c r="A169" s="134"/>
      <c r="B169" s="134"/>
      <c r="C169" s="134"/>
      <c r="D169" s="134"/>
      <c r="E169" s="134"/>
      <c r="F169" s="134" t="s">
        <v>160</v>
      </c>
      <c r="G169" s="134" t="s">
        <v>1100</v>
      </c>
      <c r="H169" s="134" t="s">
        <v>202</v>
      </c>
      <c r="I169" s="134">
        <v>9</v>
      </c>
      <c r="J169" s="134">
        <v>9</v>
      </c>
      <c r="K169" s="134">
        <v>1</v>
      </c>
      <c r="L169" s="134" t="s">
        <v>794</v>
      </c>
      <c r="M169" s="134" t="s">
        <v>252</v>
      </c>
      <c r="N169" s="134" t="s">
        <v>505</v>
      </c>
      <c r="O169" s="94" t="s">
        <v>1188</v>
      </c>
      <c r="P169" s="134"/>
      <c r="Q169" s="134"/>
      <c r="R169" s="134"/>
      <c r="S169" s="134"/>
      <c r="T169" s="134"/>
      <c r="U169" s="134"/>
      <c r="V169" s="134"/>
      <c r="W169" s="134"/>
      <c r="X169" s="134"/>
    </row>
    <row r="170" spans="1:24" s="81" customFormat="1" ht="15">
      <c r="A170" s="134"/>
      <c r="B170" s="134"/>
      <c r="C170" s="134"/>
      <c r="D170" s="134"/>
      <c r="E170" s="134"/>
      <c r="F170" s="134" t="s">
        <v>160</v>
      </c>
      <c r="G170" s="134" t="s">
        <v>1099</v>
      </c>
      <c r="H170" s="134" t="s">
        <v>793</v>
      </c>
      <c r="I170" s="134">
        <v>10</v>
      </c>
      <c r="J170" s="134">
        <v>10</v>
      </c>
      <c r="K170" s="134">
        <v>1</v>
      </c>
      <c r="L170" s="134" t="s">
        <v>192</v>
      </c>
      <c r="M170" s="134" t="s">
        <v>252</v>
      </c>
      <c r="N170" s="134" t="s">
        <v>503</v>
      </c>
      <c r="O170" s="94" t="s">
        <v>1188</v>
      </c>
      <c r="P170" s="134"/>
      <c r="Q170" s="134"/>
      <c r="R170" s="134"/>
      <c r="S170" s="134"/>
      <c r="T170" s="134"/>
      <c r="U170" s="134"/>
      <c r="V170" s="134"/>
      <c r="W170" s="134"/>
      <c r="X170" s="134"/>
    </row>
    <row r="171" spans="1:24" s="81" customFormat="1" ht="15">
      <c r="A171" s="134"/>
      <c r="B171" s="134"/>
      <c r="C171" s="134"/>
      <c r="D171" s="134"/>
      <c r="E171" s="134"/>
      <c r="F171" s="134" t="s">
        <v>1003</v>
      </c>
      <c r="G171" s="134" t="s">
        <v>1011</v>
      </c>
      <c r="H171" s="134" t="s">
        <v>793</v>
      </c>
      <c r="I171" s="134">
        <v>11</v>
      </c>
      <c r="J171" s="134">
        <v>11</v>
      </c>
      <c r="K171" s="134">
        <v>1</v>
      </c>
      <c r="L171" s="134" t="s">
        <v>794</v>
      </c>
      <c r="M171" s="134" t="s">
        <v>799</v>
      </c>
      <c r="N171" s="134" t="s">
        <v>503</v>
      </c>
      <c r="O171" s="94" t="s">
        <v>1188</v>
      </c>
      <c r="P171" s="134"/>
      <c r="Q171" s="134"/>
      <c r="R171" s="134"/>
      <c r="S171" s="134"/>
      <c r="T171" s="134"/>
      <c r="U171" s="134"/>
      <c r="V171" s="134"/>
      <c r="W171" s="134"/>
      <c r="X171" s="134"/>
    </row>
    <row r="172" spans="1:24" s="81" customFormat="1" ht="15">
      <c r="A172" s="134" t="s">
        <v>501</v>
      </c>
      <c r="B172" s="134" t="s">
        <v>501</v>
      </c>
      <c r="C172" s="134" t="s">
        <v>823</v>
      </c>
      <c r="D172" s="134"/>
      <c r="E172" s="134"/>
      <c r="F172" s="134" t="s">
        <v>160</v>
      </c>
      <c r="G172" s="134" t="s">
        <v>502</v>
      </c>
      <c r="H172" s="134" t="s">
        <v>202</v>
      </c>
      <c r="I172" s="134">
        <v>0</v>
      </c>
      <c r="J172" s="134">
        <v>0</v>
      </c>
      <c r="K172" s="134">
        <v>1</v>
      </c>
      <c r="L172" s="134" t="s">
        <v>192</v>
      </c>
      <c r="M172" s="134" t="s">
        <v>252</v>
      </c>
      <c r="N172" s="134" t="s">
        <v>503</v>
      </c>
      <c r="O172" s="94" t="s">
        <v>1188</v>
      </c>
      <c r="P172" s="134"/>
      <c r="Q172" s="134"/>
      <c r="R172" s="134"/>
      <c r="S172" s="134"/>
      <c r="T172" s="134"/>
      <c r="U172" s="134"/>
      <c r="V172" s="134"/>
      <c r="W172" s="134"/>
      <c r="X172" s="134"/>
    </row>
    <row r="173" spans="1:24" s="81" customFormat="1" ht="15">
      <c r="A173" s="134"/>
      <c r="B173" s="134"/>
      <c r="C173" s="134"/>
      <c r="D173" s="134"/>
      <c r="E173" s="134"/>
      <c r="F173" s="134" t="s">
        <v>160</v>
      </c>
      <c r="G173" s="134" t="s">
        <v>504</v>
      </c>
      <c r="H173" s="134" t="s">
        <v>202</v>
      </c>
      <c r="I173" s="134">
        <v>1</v>
      </c>
      <c r="J173" s="134">
        <v>1</v>
      </c>
      <c r="K173" s="134">
        <v>1</v>
      </c>
      <c r="L173" s="134" t="s">
        <v>192</v>
      </c>
      <c r="M173" s="134" t="s">
        <v>252</v>
      </c>
      <c r="N173" s="134" t="s">
        <v>505</v>
      </c>
      <c r="O173" s="94" t="s">
        <v>1188</v>
      </c>
      <c r="P173" s="134"/>
      <c r="Q173" s="134"/>
      <c r="R173" s="134"/>
      <c r="S173" s="134"/>
      <c r="T173" s="134"/>
      <c r="U173" s="134"/>
      <c r="V173" s="134"/>
      <c r="W173" s="134"/>
      <c r="X173" s="134"/>
    </row>
    <row r="174" spans="1:24" s="81" customFormat="1" ht="15">
      <c r="A174" s="134"/>
      <c r="B174" s="134"/>
      <c r="C174" s="134"/>
      <c r="D174" s="134"/>
      <c r="E174" s="134"/>
      <c r="F174" s="134" t="s">
        <v>160</v>
      </c>
      <c r="G174" s="134" t="s">
        <v>506</v>
      </c>
      <c r="H174" s="134" t="s">
        <v>202</v>
      </c>
      <c r="I174" s="134">
        <v>2</v>
      </c>
      <c r="J174" s="134">
        <v>2</v>
      </c>
      <c r="K174" s="134">
        <v>1</v>
      </c>
      <c r="L174" s="134" t="s">
        <v>192</v>
      </c>
      <c r="M174" s="134" t="s">
        <v>252</v>
      </c>
      <c r="N174" s="134" t="s">
        <v>507</v>
      </c>
      <c r="O174" s="94" t="s">
        <v>1188</v>
      </c>
      <c r="P174" s="134"/>
      <c r="Q174" s="134"/>
      <c r="R174" s="134"/>
      <c r="S174" s="134"/>
      <c r="T174" s="134"/>
      <c r="U174" s="134"/>
      <c r="V174" s="134"/>
      <c r="W174" s="134"/>
      <c r="X174" s="134"/>
    </row>
    <row r="175" spans="1:24" s="81" customFormat="1" ht="15">
      <c r="A175" s="134"/>
      <c r="B175" s="134"/>
      <c r="C175" s="134"/>
      <c r="D175" s="134"/>
      <c r="E175" s="134"/>
      <c r="F175" s="134" t="s">
        <v>160</v>
      </c>
      <c r="G175" s="134" t="s">
        <v>508</v>
      </c>
      <c r="H175" s="134" t="s">
        <v>202</v>
      </c>
      <c r="I175" s="134">
        <v>3</v>
      </c>
      <c r="J175" s="134">
        <v>3</v>
      </c>
      <c r="K175" s="134">
        <v>1</v>
      </c>
      <c r="L175" s="134" t="s">
        <v>192</v>
      </c>
      <c r="M175" s="134" t="s">
        <v>252</v>
      </c>
      <c r="N175" s="134" t="s">
        <v>509</v>
      </c>
      <c r="O175" s="94" t="s">
        <v>1188</v>
      </c>
      <c r="P175" s="134"/>
      <c r="Q175" s="134"/>
      <c r="R175" s="134"/>
      <c r="S175" s="134"/>
      <c r="T175" s="134"/>
      <c r="U175" s="134"/>
      <c r="V175" s="134"/>
      <c r="W175" s="134"/>
      <c r="X175" s="134"/>
    </row>
    <row r="176" spans="1:24" s="81" customFormat="1" ht="15">
      <c r="A176" s="134"/>
      <c r="B176" s="134"/>
      <c r="C176" s="134"/>
      <c r="D176" s="134"/>
      <c r="E176" s="134"/>
      <c r="F176" s="134" t="s">
        <v>160</v>
      </c>
      <c r="G176" s="134" t="s">
        <v>510</v>
      </c>
      <c r="H176" s="134" t="s">
        <v>202</v>
      </c>
      <c r="I176" s="134">
        <v>6</v>
      </c>
      <c r="J176" s="134">
        <v>6</v>
      </c>
      <c r="K176" s="134">
        <v>1</v>
      </c>
      <c r="L176" s="134" t="s">
        <v>192</v>
      </c>
      <c r="M176" s="134" t="s">
        <v>252</v>
      </c>
      <c r="N176" s="134" t="s">
        <v>511</v>
      </c>
      <c r="O176" s="94" t="s">
        <v>1188</v>
      </c>
      <c r="P176" s="134"/>
      <c r="Q176" s="134"/>
      <c r="R176" s="134"/>
      <c r="S176" s="134"/>
      <c r="T176" s="134"/>
      <c r="U176" s="134"/>
      <c r="V176" s="134"/>
      <c r="W176" s="134"/>
      <c r="X176" s="134"/>
    </row>
    <row r="177" spans="1:24" s="81" customFormat="1" ht="15">
      <c r="A177" s="134"/>
      <c r="B177" s="134"/>
      <c r="C177" s="134"/>
      <c r="D177" s="134"/>
      <c r="E177" s="134"/>
      <c r="F177" s="134" t="s">
        <v>160</v>
      </c>
      <c r="G177" s="134" t="s">
        <v>512</v>
      </c>
      <c r="H177" s="134" t="s">
        <v>202</v>
      </c>
      <c r="I177" s="134">
        <v>7</v>
      </c>
      <c r="J177" s="134">
        <v>7</v>
      </c>
      <c r="K177" s="134">
        <v>1</v>
      </c>
      <c r="L177" s="134" t="s">
        <v>192</v>
      </c>
      <c r="M177" s="134" t="s">
        <v>252</v>
      </c>
      <c r="N177" s="134" t="s">
        <v>513</v>
      </c>
      <c r="O177" s="94" t="s">
        <v>1188</v>
      </c>
      <c r="P177" s="134"/>
      <c r="Q177" s="134"/>
      <c r="R177" s="134"/>
      <c r="S177" s="134"/>
      <c r="T177" s="134"/>
      <c r="U177" s="134"/>
      <c r="V177" s="134"/>
      <c r="W177" s="134"/>
      <c r="X177" s="134"/>
    </row>
    <row r="178" spans="1:24" s="81" customFormat="1" ht="15">
      <c r="A178" s="134"/>
      <c r="B178" s="134"/>
      <c r="C178" s="134"/>
      <c r="D178" s="134"/>
      <c r="E178" s="134"/>
      <c r="F178" s="134" t="s">
        <v>160</v>
      </c>
      <c r="G178" s="134" t="s">
        <v>514</v>
      </c>
      <c r="H178" s="134" t="s">
        <v>202</v>
      </c>
      <c r="I178" s="134">
        <v>10</v>
      </c>
      <c r="J178" s="134">
        <v>10</v>
      </c>
      <c r="K178" s="134">
        <v>1</v>
      </c>
      <c r="L178" s="134" t="s">
        <v>192</v>
      </c>
      <c r="M178" s="134" t="s">
        <v>252</v>
      </c>
      <c r="N178" s="134" t="s">
        <v>515</v>
      </c>
      <c r="O178" s="94" t="s">
        <v>1188</v>
      </c>
      <c r="P178" s="134"/>
      <c r="Q178" s="134"/>
      <c r="R178" s="134"/>
      <c r="S178" s="134"/>
      <c r="T178" s="134"/>
      <c r="U178" s="134"/>
      <c r="V178" s="134"/>
      <c r="W178" s="134"/>
      <c r="X178" s="134"/>
    </row>
    <row r="179" spans="1:24" s="81" customFormat="1" ht="15">
      <c r="A179" s="134"/>
      <c r="B179" s="134"/>
      <c r="C179" s="134"/>
      <c r="D179" s="134"/>
      <c r="E179" s="134"/>
      <c r="F179" s="134" t="s">
        <v>160</v>
      </c>
      <c r="G179" s="134" t="s">
        <v>516</v>
      </c>
      <c r="H179" s="134" t="s">
        <v>202</v>
      </c>
      <c r="I179" s="134">
        <v>11</v>
      </c>
      <c r="J179" s="134">
        <v>11</v>
      </c>
      <c r="K179" s="134">
        <v>1</v>
      </c>
      <c r="L179" s="134" t="s">
        <v>192</v>
      </c>
      <c r="M179" s="134" t="s">
        <v>252</v>
      </c>
      <c r="N179" s="134" t="s">
        <v>517</v>
      </c>
      <c r="O179" s="94" t="s">
        <v>1188</v>
      </c>
      <c r="P179" s="134"/>
      <c r="Q179" s="134"/>
      <c r="R179" s="134"/>
      <c r="S179" s="134"/>
      <c r="T179" s="134"/>
      <c r="U179" s="134"/>
      <c r="V179" s="134"/>
      <c r="W179" s="134"/>
      <c r="X179" s="134"/>
    </row>
    <row r="180" spans="1:24" s="81" customFormat="1" ht="15">
      <c r="A180" s="134"/>
      <c r="B180" s="134"/>
      <c r="C180" s="134"/>
      <c r="D180" s="134"/>
      <c r="E180" s="134"/>
      <c r="F180" s="134" t="s">
        <v>160</v>
      </c>
      <c r="G180" s="134" t="s">
        <v>518</v>
      </c>
      <c r="H180" s="134" t="s">
        <v>202</v>
      </c>
      <c r="I180" s="134">
        <v>12</v>
      </c>
      <c r="J180" s="134">
        <v>12</v>
      </c>
      <c r="K180" s="134">
        <v>1</v>
      </c>
      <c r="L180" s="134" t="s">
        <v>192</v>
      </c>
      <c r="M180" s="134" t="s">
        <v>252</v>
      </c>
      <c r="N180" s="134" t="s">
        <v>519</v>
      </c>
      <c r="O180" s="94" t="s">
        <v>1188</v>
      </c>
      <c r="P180" s="134"/>
      <c r="Q180" s="134"/>
      <c r="R180" s="134"/>
      <c r="S180" s="134"/>
      <c r="T180" s="134"/>
      <c r="U180" s="134"/>
      <c r="V180" s="134"/>
      <c r="W180" s="134"/>
      <c r="X180" s="134"/>
    </row>
    <row r="181" spans="1:24" s="81" customFormat="1" ht="15">
      <c r="A181" s="134"/>
      <c r="B181" s="134"/>
      <c r="C181" s="134"/>
      <c r="D181" s="134"/>
      <c r="E181" s="134"/>
      <c r="F181" s="134" t="s">
        <v>160</v>
      </c>
      <c r="G181" s="134" t="s">
        <v>520</v>
      </c>
      <c r="H181" s="134" t="s">
        <v>202</v>
      </c>
      <c r="I181" s="134">
        <v>13</v>
      </c>
      <c r="J181" s="134">
        <v>13</v>
      </c>
      <c r="K181" s="134">
        <v>1</v>
      </c>
      <c r="L181" s="134" t="s">
        <v>192</v>
      </c>
      <c r="M181" s="134" t="s">
        <v>252</v>
      </c>
      <c r="N181" s="134" t="s">
        <v>521</v>
      </c>
      <c r="O181" s="94" t="s">
        <v>1188</v>
      </c>
      <c r="P181" s="134"/>
      <c r="Q181" s="134"/>
      <c r="R181" s="134"/>
      <c r="S181" s="134"/>
      <c r="T181" s="134"/>
      <c r="U181" s="134"/>
      <c r="V181" s="134"/>
      <c r="W181" s="134"/>
      <c r="X181" s="134"/>
    </row>
    <row r="182" spans="1:24" s="81" customFormat="1" ht="15">
      <c r="A182" s="134"/>
      <c r="B182" s="134"/>
      <c r="C182" s="134"/>
      <c r="D182" s="134"/>
      <c r="E182" s="134"/>
      <c r="F182" s="134" t="s">
        <v>160</v>
      </c>
      <c r="G182" s="134" t="s">
        <v>522</v>
      </c>
      <c r="H182" s="134" t="s">
        <v>202</v>
      </c>
      <c r="I182" s="134">
        <v>14</v>
      </c>
      <c r="J182" s="134">
        <v>14</v>
      </c>
      <c r="K182" s="134">
        <v>1</v>
      </c>
      <c r="L182" s="134" t="s">
        <v>192</v>
      </c>
      <c r="M182" s="134" t="s">
        <v>252</v>
      </c>
      <c r="N182" s="134" t="s">
        <v>523</v>
      </c>
      <c r="O182" s="94" t="s">
        <v>1188</v>
      </c>
      <c r="P182" s="134"/>
      <c r="Q182" s="134"/>
      <c r="R182" s="134"/>
      <c r="S182" s="134"/>
      <c r="T182" s="134"/>
      <c r="U182" s="134"/>
      <c r="V182" s="134"/>
      <c r="W182" s="134"/>
      <c r="X182" s="134"/>
    </row>
    <row r="183" spans="1:24" s="81" customFormat="1" ht="15">
      <c r="A183" s="134"/>
      <c r="B183" s="134"/>
      <c r="C183" s="134"/>
      <c r="D183" s="134"/>
      <c r="E183" s="134"/>
      <c r="F183" s="134" t="s">
        <v>160</v>
      </c>
      <c r="G183" s="134" t="s">
        <v>524</v>
      </c>
      <c r="H183" s="134" t="s">
        <v>202</v>
      </c>
      <c r="I183" s="134">
        <v>15</v>
      </c>
      <c r="J183" s="134">
        <v>15</v>
      </c>
      <c r="K183" s="134">
        <v>1</v>
      </c>
      <c r="L183" s="134" t="s">
        <v>192</v>
      </c>
      <c r="M183" s="134" t="s">
        <v>252</v>
      </c>
      <c r="N183" s="134" t="s">
        <v>525</v>
      </c>
      <c r="O183" s="94" t="s">
        <v>1188</v>
      </c>
      <c r="P183" s="134"/>
      <c r="Q183" s="134"/>
      <c r="R183" s="134"/>
      <c r="S183" s="134"/>
      <c r="T183" s="134"/>
      <c r="U183" s="134"/>
      <c r="V183" s="134"/>
      <c r="W183" s="134"/>
      <c r="X183" s="134"/>
    </row>
    <row r="184" spans="1:24" s="81" customFormat="1" ht="15">
      <c r="A184" s="134"/>
      <c r="B184" s="134"/>
      <c r="C184" s="134"/>
      <c r="D184" s="134"/>
      <c r="E184" s="134"/>
      <c r="F184" s="134" t="s">
        <v>160</v>
      </c>
      <c r="G184" s="134" t="s">
        <v>526</v>
      </c>
      <c r="H184" s="134" t="s">
        <v>202</v>
      </c>
      <c r="I184" s="134">
        <v>16</v>
      </c>
      <c r="J184" s="134">
        <v>16</v>
      </c>
      <c r="K184" s="134">
        <v>1</v>
      </c>
      <c r="L184" s="134" t="s">
        <v>192</v>
      </c>
      <c r="M184" s="134" t="s">
        <v>252</v>
      </c>
      <c r="N184" s="134" t="s">
        <v>525</v>
      </c>
      <c r="O184" s="94" t="s">
        <v>1188</v>
      </c>
      <c r="P184" s="134"/>
      <c r="Q184" s="134"/>
      <c r="R184" s="134"/>
      <c r="S184" s="134"/>
      <c r="T184" s="134"/>
      <c r="U184" s="134"/>
      <c r="V184" s="134"/>
      <c r="W184" s="134"/>
      <c r="X184" s="134"/>
    </row>
    <row r="185" spans="1:24" s="81" customFormat="1" ht="15">
      <c r="A185" s="134"/>
      <c r="B185" s="134"/>
      <c r="C185" s="134"/>
      <c r="D185" s="134"/>
      <c r="E185" s="134"/>
      <c r="F185" s="134" t="s">
        <v>160</v>
      </c>
      <c r="G185" s="134" t="s">
        <v>527</v>
      </c>
      <c r="H185" s="134" t="s">
        <v>202</v>
      </c>
      <c r="I185" s="134">
        <v>17</v>
      </c>
      <c r="J185" s="134">
        <v>17</v>
      </c>
      <c r="K185" s="134">
        <v>1</v>
      </c>
      <c r="L185" s="134" t="s">
        <v>192</v>
      </c>
      <c r="M185" s="134" t="s">
        <v>252</v>
      </c>
      <c r="N185" s="134" t="s">
        <v>525</v>
      </c>
      <c r="O185" s="94" t="s">
        <v>1188</v>
      </c>
      <c r="P185" s="134"/>
      <c r="Q185" s="134"/>
      <c r="R185" s="134"/>
      <c r="S185" s="134"/>
      <c r="T185" s="134"/>
      <c r="U185" s="134"/>
      <c r="V185" s="134"/>
      <c r="W185" s="134"/>
      <c r="X185" s="134"/>
    </row>
    <row r="186" spans="1:24" s="81" customFormat="1" ht="15">
      <c r="A186" s="134"/>
      <c r="B186" s="134"/>
      <c r="C186" s="134"/>
      <c r="D186" s="134"/>
      <c r="E186" s="134"/>
      <c r="F186" s="134" t="s">
        <v>160</v>
      </c>
      <c r="G186" s="134" t="s">
        <v>528</v>
      </c>
      <c r="H186" s="134" t="s">
        <v>202</v>
      </c>
      <c r="I186" s="134">
        <v>18</v>
      </c>
      <c r="J186" s="134">
        <v>18</v>
      </c>
      <c r="K186" s="134">
        <v>1</v>
      </c>
      <c r="L186" s="134" t="s">
        <v>192</v>
      </c>
      <c r="M186" s="134" t="s">
        <v>252</v>
      </c>
      <c r="N186" s="134" t="s">
        <v>525</v>
      </c>
      <c r="O186" s="94" t="s">
        <v>1188</v>
      </c>
      <c r="P186" s="134"/>
      <c r="Q186" s="134"/>
      <c r="R186" s="134"/>
      <c r="S186" s="134"/>
      <c r="T186" s="134"/>
      <c r="U186" s="134"/>
      <c r="V186" s="134"/>
      <c r="W186" s="134"/>
      <c r="X186" s="134"/>
    </row>
    <row r="187" spans="1:24" s="81" customFormat="1" ht="15">
      <c r="A187" s="134"/>
      <c r="B187" s="134"/>
      <c r="C187" s="134"/>
      <c r="D187" s="134"/>
      <c r="E187" s="134"/>
      <c r="F187" s="134" t="s">
        <v>160</v>
      </c>
      <c r="G187" s="134" t="s">
        <v>529</v>
      </c>
      <c r="H187" s="134" t="s">
        <v>202</v>
      </c>
      <c r="I187" s="134">
        <v>19</v>
      </c>
      <c r="J187" s="134">
        <v>19</v>
      </c>
      <c r="K187" s="134">
        <v>1</v>
      </c>
      <c r="L187" s="134" t="s">
        <v>192</v>
      </c>
      <c r="M187" s="134" t="s">
        <v>252</v>
      </c>
      <c r="N187" s="134" t="s">
        <v>525</v>
      </c>
      <c r="O187" s="94" t="s">
        <v>1188</v>
      </c>
      <c r="P187" s="134"/>
      <c r="Q187" s="134"/>
      <c r="R187" s="134"/>
      <c r="S187" s="134"/>
      <c r="T187" s="134"/>
      <c r="U187" s="134"/>
      <c r="V187" s="134"/>
      <c r="W187" s="134"/>
      <c r="X187" s="134"/>
    </row>
    <row r="188" spans="1:24" s="81" customFormat="1" ht="15">
      <c r="A188" s="134"/>
      <c r="B188" s="134"/>
      <c r="C188" s="134"/>
      <c r="D188" s="134"/>
      <c r="E188" s="134"/>
      <c r="F188" s="134" t="s">
        <v>160</v>
      </c>
      <c r="G188" s="134" t="s">
        <v>797</v>
      </c>
      <c r="H188" s="134" t="s">
        <v>793</v>
      </c>
      <c r="I188" s="134">
        <v>20</v>
      </c>
      <c r="J188" s="134">
        <v>20</v>
      </c>
      <c r="K188" s="134">
        <v>1</v>
      </c>
      <c r="L188" s="134" t="s">
        <v>192</v>
      </c>
      <c r="M188" s="134" t="s">
        <v>252</v>
      </c>
      <c r="N188" s="134" t="s">
        <v>525</v>
      </c>
      <c r="O188" s="94" t="s">
        <v>1188</v>
      </c>
      <c r="P188" s="134"/>
      <c r="Q188" s="134"/>
      <c r="R188" s="134"/>
      <c r="S188" s="134"/>
      <c r="T188" s="134"/>
      <c r="U188" s="134"/>
      <c r="V188" s="134"/>
      <c r="W188" s="134"/>
      <c r="X188" s="134"/>
    </row>
    <row r="189" spans="1:24" s="81" customFormat="1" ht="15">
      <c r="A189" s="134"/>
      <c r="B189" s="134"/>
      <c r="C189" s="134"/>
      <c r="D189" s="134"/>
      <c r="E189" s="134"/>
      <c r="F189" s="134" t="s">
        <v>160</v>
      </c>
      <c r="G189" s="134" t="s">
        <v>798</v>
      </c>
      <c r="H189" s="134" t="s">
        <v>793</v>
      </c>
      <c r="I189" s="134">
        <v>21</v>
      </c>
      <c r="J189" s="134">
        <v>21</v>
      </c>
      <c r="K189" s="134">
        <v>1</v>
      </c>
      <c r="L189" s="134" t="s">
        <v>192</v>
      </c>
      <c r="M189" s="134" t="s">
        <v>799</v>
      </c>
      <c r="N189" s="134" t="s">
        <v>525</v>
      </c>
      <c r="O189" s="94" t="s">
        <v>1188</v>
      </c>
      <c r="P189" s="134"/>
      <c r="Q189" s="134"/>
      <c r="R189" s="134"/>
      <c r="S189" s="134"/>
      <c r="T189" s="134"/>
      <c r="U189" s="134"/>
      <c r="V189" s="134"/>
      <c r="W189" s="134"/>
      <c r="X189" s="134"/>
    </row>
    <row r="190" spans="1:24" s="81" customFormat="1" ht="15">
      <c r="A190" s="134"/>
      <c r="B190" s="134"/>
      <c r="C190" s="134"/>
      <c r="D190" s="134"/>
      <c r="E190" s="134"/>
      <c r="F190" s="134" t="s">
        <v>160</v>
      </c>
      <c r="G190" s="134" t="s">
        <v>982</v>
      </c>
      <c r="H190" s="134" t="s">
        <v>793</v>
      </c>
      <c r="I190" s="134">
        <v>22</v>
      </c>
      <c r="J190" s="134">
        <v>22</v>
      </c>
      <c r="K190" s="134">
        <v>1</v>
      </c>
      <c r="L190" s="134" t="s">
        <v>192</v>
      </c>
      <c r="M190" s="134" t="s">
        <v>252</v>
      </c>
      <c r="N190" s="134" t="s">
        <v>525</v>
      </c>
      <c r="O190" s="94" t="s">
        <v>1188</v>
      </c>
      <c r="P190" s="134"/>
      <c r="Q190" s="134"/>
      <c r="R190" s="134"/>
      <c r="S190" s="134"/>
      <c r="T190" s="134"/>
      <c r="U190" s="134"/>
      <c r="V190" s="134"/>
      <c r="W190" s="134"/>
      <c r="X190" s="134"/>
    </row>
    <row r="191" spans="1:24" s="81" customFormat="1" ht="15">
      <c r="A191" s="134"/>
      <c r="B191" s="134"/>
      <c r="C191" s="134"/>
      <c r="D191" s="134"/>
      <c r="E191" s="134"/>
      <c r="F191" s="134" t="s">
        <v>160</v>
      </c>
      <c r="G191" s="134" t="s">
        <v>983</v>
      </c>
      <c r="H191" s="134" t="s">
        <v>793</v>
      </c>
      <c r="I191" s="134">
        <v>23</v>
      </c>
      <c r="J191" s="134">
        <v>23</v>
      </c>
      <c r="K191" s="134">
        <v>1</v>
      </c>
      <c r="L191" s="134" t="s">
        <v>192</v>
      </c>
      <c r="M191" s="134" t="s">
        <v>252</v>
      </c>
      <c r="N191" s="134" t="s">
        <v>525</v>
      </c>
      <c r="O191" s="94" t="s">
        <v>1188</v>
      </c>
      <c r="P191" s="134"/>
      <c r="Q191" s="134"/>
      <c r="R191" s="134"/>
      <c r="S191" s="134"/>
      <c r="T191" s="134"/>
      <c r="U191" s="134"/>
      <c r="V191" s="134"/>
      <c r="W191" s="134"/>
      <c r="X191" s="134"/>
    </row>
    <row r="192" spans="1:24" s="81" customFormat="1" ht="15">
      <c r="A192" s="134"/>
      <c r="B192" s="134"/>
      <c r="C192" s="134"/>
      <c r="D192" s="134"/>
      <c r="E192" s="134"/>
      <c r="F192" s="134" t="s">
        <v>160</v>
      </c>
      <c r="G192" s="134" t="s">
        <v>1175</v>
      </c>
      <c r="H192" s="134" t="s">
        <v>793</v>
      </c>
      <c r="I192" s="134">
        <v>24</v>
      </c>
      <c r="J192" s="134">
        <v>24</v>
      </c>
      <c r="K192" s="134">
        <v>1</v>
      </c>
      <c r="L192" s="134" t="s">
        <v>192</v>
      </c>
      <c r="M192" s="134" t="s">
        <v>252</v>
      </c>
      <c r="N192" s="134" t="s">
        <v>525</v>
      </c>
      <c r="O192" s="94" t="s">
        <v>1188</v>
      </c>
      <c r="P192" s="134"/>
      <c r="Q192" s="134"/>
      <c r="R192" s="134"/>
      <c r="S192" s="134"/>
      <c r="T192" s="134"/>
      <c r="U192" s="134"/>
      <c r="V192" s="134"/>
      <c r="W192" s="134"/>
      <c r="X192" s="134"/>
    </row>
    <row r="193" spans="1:24" s="81" customFormat="1" ht="15">
      <c r="A193" s="134"/>
      <c r="B193" s="134"/>
      <c r="C193" s="134"/>
      <c r="D193" s="134"/>
      <c r="E193" s="134"/>
      <c r="F193" s="134" t="s">
        <v>160</v>
      </c>
      <c r="G193" s="134" t="s">
        <v>1185</v>
      </c>
      <c r="H193" s="134" t="s">
        <v>793</v>
      </c>
      <c r="I193" s="134">
        <v>25</v>
      </c>
      <c r="J193" s="134">
        <v>25</v>
      </c>
      <c r="K193" s="134">
        <v>1</v>
      </c>
      <c r="L193" s="134" t="s">
        <v>192</v>
      </c>
      <c r="M193" s="134" t="s">
        <v>799</v>
      </c>
      <c r="N193" s="134" t="s">
        <v>525</v>
      </c>
      <c r="O193" s="94" t="s">
        <v>1188</v>
      </c>
      <c r="P193" s="134"/>
      <c r="Q193" s="134"/>
      <c r="R193" s="134"/>
      <c r="S193" s="134"/>
      <c r="T193" s="134"/>
      <c r="U193" s="134"/>
      <c r="V193" s="134"/>
      <c r="W193" s="134"/>
      <c r="X193" s="134"/>
    </row>
    <row r="194" spans="1:24" s="81" customFormat="1" ht="15">
      <c r="A194" s="134"/>
      <c r="B194" s="134"/>
      <c r="C194" s="134"/>
      <c r="D194" s="134"/>
      <c r="E194" s="134"/>
      <c r="F194" s="134" t="s">
        <v>160</v>
      </c>
      <c r="G194" s="134" t="s">
        <v>1012</v>
      </c>
      <c r="H194" s="134" t="s">
        <v>793</v>
      </c>
      <c r="I194" s="134">
        <v>26</v>
      </c>
      <c r="J194" s="134">
        <v>26</v>
      </c>
      <c r="K194" s="134">
        <v>1</v>
      </c>
      <c r="L194" s="134" t="s">
        <v>794</v>
      </c>
      <c r="M194" s="134" t="s">
        <v>799</v>
      </c>
      <c r="N194" s="134" t="s">
        <v>525</v>
      </c>
      <c r="O194" s="94" t="s">
        <v>1188</v>
      </c>
      <c r="P194" s="134"/>
      <c r="Q194" s="134"/>
      <c r="R194" s="134"/>
      <c r="S194" s="134"/>
      <c r="T194" s="134"/>
      <c r="U194" s="134"/>
      <c r="V194" s="134"/>
      <c r="W194" s="134"/>
      <c r="X194" s="134"/>
    </row>
    <row r="195" spans="1:24" s="81" customFormat="1" ht="15">
      <c r="A195" s="134"/>
      <c r="B195" s="134"/>
      <c r="C195" s="134"/>
      <c r="D195" s="134"/>
      <c r="E195" s="134"/>
      <c r="F195" s="134" t="s">
        <v>160</v>
      </c>
      <c r="G195" s="134" t="s">
        <v>1176</v>
      </c>
      <c r="H195" s="134" t="s">
        <v>793</v>
      </c>
      <c r="I195" s="134">
        <v>27</v>
      </c>
      <c r="J195" s="134">
        <v>27</v>
      </c>
      <c r="K195" s="134">
        <v>1</v>
      </c>
      <c r="L195" s="134" t="s">
        <v>794</v>
      </c>
      <c r="M195" s="134" t="s">
        <v>799</v>
      </c>
      <c r="N195" s="134" t="s">
        <v>525</v>
      </c>
      <c r="O195" s="94" t="s">
        <v>1188</v>
      </c>
      <c r="P195" s="134"/>
      <c r="Q195" s="134"/>
      <c r="R195" s="134"/>
      <c r="S195" s="134"/>
      <c r="T195" s="134"/>
      <c r="U195" s="134"/>
      <c r="V195" s="134"/>
      <c r="W195" s="134"/>
      <c r="X195" s="134"/>
    </row>
    <row r="196" spans="1:24" s="81" customFormat="1" ht="15">
      <c r="A196" s="134"/>
      <c r="B196" s="134"/>
      <c r="C196" s="134"/>
      <c r="D196" s="134"/>
      <c r="E196" s="134"/>
      <c r="F196" s="134" t="s">
        <v>160</v>
      </c>
      <c r="G196" s="134" t="s">
        <v>1186</v>
      </c>
      <c r="H196" s="134" t="s">
        <v>793</v>
      </c>
      <c r="I196" s="134">
        <v>28</v>
      </c>
      <c r="J196" s="134">
        <v>28</v>
      </c>
      <c r="K196" s="134">
        <v>1</v>
      </c>
      <c r="L196" s="134" t="s">
        <v>794</v>
      </c>
      <c r="M196" s="134" t="s">
        <v>799</v>
      </c>
      <c r="N196" s="134" t="s">
        <v>525</v>
      </c>
      <c r="O196" s="94" t="s">
        <v>1188</v>
      </c>
      <c r="P196" s="134"/>
      <c r="Q196" s="134"/>
      <c r="R196" s="134"/>
      <c r="S196" s="134"/>
      <c r="T196" s="134"/>
      <c r="U196" s="134"/>
      <c r="V196" s="134"/>
      <c r="W196" s="134"/>
      <c r="X196" s="134"/>
    </row>
    <row r="197" spans="1:24" s="81" customFormat="1" ht="15">
      <c r="A197" s="134"/>
      <c r="B197" s="134"/>
      <c r="C197" s="134"/>
      <c r="D197" s="134"/>
      <c r="E197" s="134"/>
      <c r="F197" s="134" t="s">
        <v>160</v>
      </c>
      <c r="G197" s="134" t="s">
        <v>1182</v>
      </c>
      <c r="H197" s="134" t="s">
        <v>793</v>
      </c>
      <c r="I197" s="134">
        <v>29</v>
      </c>
      <c r="J197" s="134">
        <v>29</v>
      </c>
      <c r="K197" s="134">
        <v>1</v>
      </c>
      <c r="L197" s="134" t="s">
        <v>794</v>
      </c>
      <c r="M197" s="134" t="s">
        <v>799</v>
      </c>
      <c r="N197" s="134" t="s">
        <v>525</v>
      </c>
      <c r="O197" s="94" t="s">
        <v>1188</v>
      </c>
      <c r="P197" s="134"/>
      <c r="Q197" s="134"/>
      <c r="R197" s="134"/>
      <c r="S197" s="134"/>
      <c r="T197" s="134"/>
      <c r="U197" s="134"/>
      <c r="V197" s="134"/>
      <c r="W197" s="134"/>
      <c r="X197" s="134"/>
    </row>
    <row r="198" spans="1:24" s="81" customFormat="1">
      <c r="A198" s="134" t="s">
        <v>530</v>
      </c>
      <c r="B198" s="134" t="s">
        <v>530</v>
      </c>
      <c r="C198" s="134" t="s">
        <v>801</v>
      </c>
      <c r="D198" s="134"/>
      <c r="E198" s="134"/>
      <c r="F198" s="134" t="s">
        <v>160</v>
      </c>
      <c r="G198" s="134" t="s">
        <v>1154</v>
      </c>
      <c r="H198" s="134" t="s">
        <v>202</v>
      </c>
      <c r="I198" s="134">
        <v>2</v>
      </c>
      <c r="J198" s="134">
        <v>0</v>
      </c>
      <c r="K198" s="134">
        <v>3</v>
      </c>
      <c r="L198" s="134" t="s">
        <v>192</v>
      </c>
      <c r="M198" s="134" t="s">
        <v>200</v>
      </c>
      <c r="N198" s="134" t="s">
        <v>525</v>
      </c>
      <c r="O198" s="134"/>
      <c r="P198" s="134"/>
      <c r="Q198" s="134"/>
      <c r="R198" s="134"/>
      <c r="S198" s="134"/>
      <c r="T198" s="134"/>
      <c r="U198" s="134"/>
      <c r="V198" s="134"/>
      <c r="W198" s="134"/>
      <c r="X198" s="134"/>
    </row>
    <row r="199" spans="1:24" s="81" customFormat="1">
      <c r="A199" s="134"/>
      <c r="B199" s="134"/>
      <c r="C199" s="134"/>
      <c r="D199" s="134"/>
      <c r="E199" s="134"/>
      <c r="F199" s="134" t="s">
        <v>160</v>
      </c>
      <c r="G199" s="134" t="s">
        <v>1155</v>
      </c>
      <c r="H199" s="134" t="s">
        <v>202</v>
      </c>
      <c r="I199" s="134">
        <v>5</v>
      </c>
      <c r="J199" s="134">
        <v>3</v>
      </c>
      <c r="K199" s="134">
        <v>3</v>
      </c>
      <c r="L199" s="134" t="s">
        <v>192</v>
      </c>
      <c r="M199" s="134" t="s">
        <v>200</v>
      </c>
      <c r="N199" s="134" t="s">
        <v>525</v>
      </c>
      <c r="O199" s="134"/>
      <c r="P199" s="134"/>
      <c r="Q199" s="134"/>
      <c r="R199" s="134"/>
      <c r="S199" s="134"/>
      <c r="T199" s="134"/>
      <c r="U199" s="134"/>
      <c r="V199" s="134"/>
      <c r="W199" s="134"/>
      <c r="X199" s="134"/>
    </row>
    <row r="200" spans="1:24" s="81" customFormat="1" ht="17.25" customHeight="1">
      <c r="A200" s="134" t="s">
        <v>800</v>
      </c>
      <c r="B200" s="134" t="s">
        <v>800</v>
      </c>
      <c r="C200" s="134" t="s">
        <v>807</v>
      </c>
      <c r="D200" s="134"/>
      <c r="E200" s="134"/>
      <c r="F200" s="134" t="s">
        <v>160</v>
      </c>
      <c r="G200" s="134" t="s">
        <v>805</v>
      </c>
      <c r="H200" s="134" t="s">
        <v>793</v>
      </c>
      <c r="I200" s="134">
        <v>15</v>
      </c>
      <c r="J200" s="134">
        <v>0</v>
      </c>
      <c r="K200" s="134">
        <v>16</v>
      </c>
      <c r="L200" s="134" t="s">
        <v>192</v>
      </c>
      <c r="M200" s="134" t="s">
        <v>799</v>
      </c>
      <c r="N200" s="134" t="s">
        <v>803</v>
      </c>
      <c r="O200" s="134" t="s">
        <v>1188</v>
      </c>
      <c r="P200" s="134"/>
      <c r="Q200" s="134"/>
      <c r="R200" s="134"/>
      <c r="S200" s="134"/>
      <c r="T200" s="134"/>
      <c r="U200" s="134"/>
      <c r="V200" s="134"/>
      <c r="W200" s="134"/>
      <c r="X200" s="134"/>
    </row>
    <row r="201" spans="1:24" s="81" customFormat="1" ht="17.25" customHeight="1">
      <c r="A201" s="134"/>
      <c r="B201" s="134"/>
      <c r="C201" s="134"/>
      <c r="D201" s="134"/>
      <c r="E201" s="134"/>
      <c r="F201" s="134" t="s">
        <v>160</v>
      </c>
      <c r="G201" s="134" t="s">
        <v>802</v>
      </c>
      <c r="H201" s="134" t="s">
        <v>793</v>
      </c>
      <c r="I201" s="134">
        <v>31</v>
      </c>
      <c r="J201" s="134">
        <v>16</v>
      </c>
      <c r="K201" s="134">
        <v>16</v>
      </c>
      <c r="L201" s="134" t="s">
        <v>192</v>
      </c>
      <c r="M201" s="134" t="s">
        <v>799</v>
      </c>
      <c r="N201" s="134" t="s">
        <v>804</v>
      </c>
      <c r="O201" s="134" t="s">
        <v>1188</v>
      </c>
      <c r="P201" s="134"/>
      <c r="Q201" s="134"/>
      <c r="R201" s="134"/>
      <c r="S201" s="134"/>
      <c r="T201" s="134"/>
      <c r="U201" s="134"/>
      <c r="V201" s="134"/>
      <c r="W201" s="134"/>
      <c r="X201" s="134"/>
    </row>
    <row r="202" spans="1:24" s="81" customFormat="1" ht="17.25" customHeight="1">
      <c r="A202" s="134" t="s">
        <v>806</v>
      </c>
      <c r="B202" s="134" t="s">
        <v>806</v>
      </c>
      <c r="C202" s="134" t="s">
        <v>810</v>
      </c>
      <c r="D202" s="134"/>
      <c r="E202" s="134"/>
      <c r="F202" s="134" t="s">
        <v>160</v>
      </c>
      <c r="G202" s="134" t="s">
        <v>814</v>
      </c>
      <c r="H202" s="134" t="s">
        <v>793</v>
      </c>
      <c r="I202" s="134">
        <v>31</v>
      </c>
      <c r="J202" s="134">
        <v>0</v>
      </c>
      <c r="K202" s="134">
        <v>32</v>
      </c>
      <c r="L202" s="134" t="s">
        <v>794</v>
      </c>
      <c r="M202" s="134" t="s">
        <v>808</v>
      </c>
      <c r="N202" s="134" t="s">
        <v>812</v>
      </c>
      <c r="O202" s="134" t="s">
        <v>1188</v>
      </c>
      <c r="P202" s="134"/>
      <c r="Q202" s="134"/>
      <c r="R202" s="134"/>
      <c r="S202" s="134"/>
      <c r="T202" s="134"/>
      <c r="U202" s="134"/>
      <c r="V202" s="134"/>
      <c r="W202" s="134"/>
      <c r="X202" s="134"/>
    </row>
    <row r="203" spans="1:24" s="81" customFormat="1" ht="17.25" customHeight="1">
      <c r="A203" s="134" t="s">
        <v>809</v>
      </c>
      <c r="B203" s="134" t="s">
        <v>809</v>
      </c>
      <c r="C203" s="134" t="s">
        <v>815</v>
      </c>
      <c r="D203" s="134"/>
      <c r="E203" s="134"/>
      <c r="F203" s="134" t="s">
        <v>160</v>
      </c>
      <c r="G203" s="134" t="s">
        <v>811</v>
      </c>
      <c r="H203" s="134" t="s">
        <v>793</v>
      </c>
      <c r="I203" s="134">
        <v>31</v>
      </c>
      <c r="J203" s="134">
        <v>0</v>
      </c>
      <c r="K203" s="134">
        <v>32</v>
      </c>
      <c r="L203" s="134" t="s">
        <v>794</v>
      </c>
      <c r="M203" s="134" t="s">
        <v>808</v>
      </c>
      <c r="N203" s="134" t="s">
        <v>813</v>
      </c>
      <c r="O203" s="134" t="s">
        <v>1188</v>
      </c>
      <c r="P203" s="134"/>
      <c r="Q203" s="134"/>
      <c r="R203" s="134"/>
      <c r="S203" s="134"/>
      <c r="T203" s="134"/>
      <c r="U203" s="134"/>
      <c r="V203" s="134"/>
      <c r="W203" s="134"/>
      <c r="X203" s="134"/>
    </row>
    <row r="204" spans="1:24" s="81" customFormat="1" ht="17.25" customHeight="1">
      <c r="A204" s="134" t="s">
        <v>841</v>
      </c>
      <c r="B204" s="134" t="s">
        <v>841</v>
      </c>
      <c r="C204" s="134" t="s">
        <v>842</v>
      </c>
      <c r="D204" s="134"/>
      <c r="E204" s="134"/>
      <c r="F204" s="134" t="s">
        <v>160</v>
      </c>
      <c r="G204" s="134" t="s">
        <v>1005</v>
      </c>
      <c r="H204" s="134" t="s">
        <v>793</v>
      </c>
      <c r="I204" s="134">
        <v>1</v>
      </c>
      <c r="J204" s="134">
        <v>0</v>
      </c>
      <c r="K204" s="134">
        <v>2</v>
      </c>
      <c r="L204" s="134" t="s">
        <v>794</v>
      </c>
      <c r="M204" s="134" t="s">
        <v>795</v>
      </c>
      <c r="N204" s="134" t="s">
        <v>1006</v>
      </c>
      <c r="O204" s="134" t="s">
        <v>1188</v>
      </c>
      <c r="P204" s="134"/>
      <c r="Q204" s="134"/>
      <c r="R204" s="134"/>
      <c r="S204" s="134"/>
      <c r="T204" s="134"/>
      <c r="U204" s="134"/>
      <c r="V204" s="134"/>
      <c r="W204" s="134"/>
      <c r="X204" s="134"/>
    </row>
    <row r="205" spans="1:24" s="81" customFormat="1" ht="17.25" customHeight="1">
      <c r="A205" s="134"/>
      <c r="B205" s="134"/>
      <c r="C205" s="134"/>
      <c r="D205" s="134"/>
      <c r="E205" s="134"/>
      <c r="F205" s="134" t="s">
        <v>1003</v>
      </c>
      <c r="G205" s="134" t="s">
        <v>1004</v>
      </c>
      <c r="H205" s="134" t="s">
        <v>793</v>
      </c>
      <c r="I205" s="134">
        <v>3</v>
      </c>
      <c r="J205" s="134">
        <v>2</v>
      </c>
      <c r="K205" s="134">
        <v>2</v>
      </c>
      <c r="L205" s="134" t="s">
        <v>794</v>
      </c>
      <c r="M205" s="134" t="s">
        <v>795</v>
      </c>
      <c r="N205" s="134" t="s">
        <v>1007</v>
      </c>
      <c r="O205" s="134" t="s">
        <v>1188</v>
      </c>
      <c r="P205" s="134"/>
      <c r="Q205" s="134"/>
      <c r="R205" s="134"/>
      <c r="S205" s="134"/>
      <c r="T205" s="134"/>
      <c r="U205" s="134"/>
      <c r="V205" s="134"/>
      <c r="W205" s="134"/>
      <c r="X205" s="134"/>
    </row>
    <row r="206" spans="1:24" s="81" customFormat="1" ht="17.25" customHeight="1">
      <c r="A206" s="134"/>
      <c r="B206" s="134"/>
      <c r="C206" s="134"/>
      <c r="D206" s="134"/>
      <c r="E206" s="134"/>
      <c r="F206" s="134" t="s">
        <v>160</v>
      </c>
      <c r="G206" s="134" t="s">
        <v>980</v>
      </c>
      <c r="H206" s="134" t="s">
        <v>793</v>
      </c>
      <c r="I206" s="134">
        <v>4</v>
      </c>
      <c r="J206" s="134">
        <v>4</v>
      </c>
      <c r="K206" s="134">
        <v>1</v>
      </c>
      <c r="L206" s="134" t="s">
        <v>1020</v>
      </c>
      <c r="M206" s="134" t="s">
        <v>843</v>
      </c>
      <c r="N206" s="134" t="s">
        <v>844</v>
      </c>
      <c r="O206" s="134" t="s">
        <v>1188</v>
      </c>
      <c r="P206" s="134"/>
      <c r="Q206" s="134"/>
      <c r="R206" s="134"/>
      <c r="S206" s="134"/>
      <c r="T206" s="134"/>
      <c r="U206" s="134"/>
      <c r="V206" s="134"/>
      <c r="W206" s="134"/>
      <c r="X206" s="134"/>
    </row>
    <row r="207" spans="1:24" s="81" customFormat="1" ht="17.25" customHeight="1">
      <c r="A207" s="134"/>
      <c r="B207" s="134"/>
      <c r="C207" s="134"/>
      <c r="D207" s="134"/>
      <c r="E207" s="134"/>
      <c r="F207" s="134" t="s">
        <v>160</v>
      </c>
      <c r="G207" s="134" t="s">
        <v>981</v>
      </c>
      <c r="H207" s="134" t="s">
        <v>793</v>
      </c>
      <c r="I207" s="134">
        <v>5</v>
      </c>
      <c r="J207" s="134">
        <v>5</v>
      </c>
      <c r="K207" s="134">
        <v>1</v>
      </c>
      <c r="L207" s="134" t="s">
        <v>1020</v>
      </c>
      <c r="M207" s="134" t="s">
        <v>843</v>
      </c>
      <c r="N207" s="134" t="s">
        <v>844</v>
      </c>
      <c r="O207" s="134" t="s">
        <v>1188</v>
      </c>
      <c r="P207" s="134"/>
      <c r="Q207" s="134"/>
      <c r="R207" s="134"/>
      <c r="S207" s="134"/>
      <c r="T207" s="134"/>
      <c r="U207" s="134"/>
      <c r="V207" s="134"/>
      <c r="W207" s="134"/>
      <c r="X207" s="134"/>
    </row>
    <row r="208" spans="1:24" s="81" customFormat="1" ht="69">
      <c r="A208" s="147" t="s">
        <v>845</v>
      </c>
      <c r="B208" s="147" t="s">
        <v>845</v>
      </c>
      <c r="C208" s="147" t="s">
        <v>846</v>
      </c>
      <c r="D208" s="147"/>
      <c r="E208" s="147"/>
      <c r="F208" s="147" t="s">
        <v>160</v>
      </c>
      <c r="G208" s="147" t="s">
        <v>1366</v>
      </c>
      <c r="H208" s="147" t="s">
        <v>793</v>
      </c>
      <c r="I208" s="147">
        <v>31</v>
      </c>
      <c r="J208" s="147">
        <v>0</v>
      </c>
      <c r="K208" s="147">
        <v>32</v>
      </c>
      <c r="L208" s="147" t="s">
        <v>794</v>
      </c>
      <c r="M208" s="147" t="s">
        <v>795</v>
      </c>
      <c r="N208" s="163" t="s">
        <v>1367</v>
      </c>
      <c r="O208" s="134"/>
      <c r="P208" s="134"/>
      <c r="Q208" s="134"/>
      <c r="R208" s="134"/>
      <c r="S208" s="134"/>
      <c r="T208" s="134"/>
      <c r="U208" s="134"/>
      <c r="V208" s="134"/>
      <c r="W208" s="134"/>
      <c r="X208" s="134"/>
    </row>
    <row r="209" spans="1:24" s="81" customFormat="1" ht="17.25" customHeight="1">
      <c r="A209" s="134" t="s">
        <v>847</v>
      </c>
      <c r="B209" s="134" t="s">
        <v>847</v>
      </c>
      <c r="C209" s="134" t="s">
        <v>879</v>
      </c>
      <c r="D209" s="134"/>
      <c r="E209" s="134"/>
      <c r="F209" s="134" t="s">
        <v>160</v>
      </c>
      <c r="G209" s="134" t="s">
        <v>1023</v>
      </c>
      <c r="H209" s="134" t="s">
        <v>202</v>
      </c>
      <c r="I209" s="134">
        <v>31</v>
      </c>
      <c r="J209" s="134">
        <v>0</v>
      </c>
      <c r="K209" s="134">
        <v>32</v>
      </c>
      <c r="L209" s="134" t="s">
        <v>794</v>
      </c>
      <c r="M209" s="134" t="s">
        <v>795</v>
      </c>
      <c r="N209" s="134" t="s">
        <v>975</v>
      </c>
      <c r="O209" s="134"/>
      <c r="P209" s="134"/>
      <c r="Q209" s="134"/>
      <c r="R209" s="134"/>
      <c r="S209" s="134"/>
      <c r="T209" s="134"/>
      <c r="U209" s="134"/>
      <c r="V209" s="134"/>
      <c r="W209" s="134"/>
      <c r="X209" s="134"/>
    </row>
    <row r="210" spans="1:24" s="81" customFormat="1" ht="17.25" customHeight="1">
      <c r="A210" s="134" t="s">
        <v>848</v>
      </c>
      <c r="B210" s="134" t="s">
        <v>848</v>
      </c>
      <c r="C210" s="134" t="s">
        <v>880</v>
      </c>
      <c r="D210" s="134"/>
      <c r="E210" s="134"/>
      <c r="F210" s="134" t="s">
        <v>160</v>
      </c>
      <c r="G210" s="134" t="s">
        <v>1024</v>
      </c>
      <c r="H210" s="134" t="s">
        <v>202</v>
      </c>
      <c r="I210" s="134">
        <v>7</v>
      </c>
      <c r="J210" s="134">
        <v>0</v>
      </c>
      <c r="K210" s="134">
        <v>8</v>
      </c>
      <c r="L210" s="134" t="s">
        <v>794</v>
      </c>
      <c r="M210" s="134" t="s">
        <v>795</v>
      </c>
      <c r="N210" s="134" t="s">
        <v>976</v>
      </c>
      <c r="O210" s="134"/>
      <c r="P210" s="134"/>
      <c r="Q210" s="134"/>
      <c r="R210" s="134"/>
      <c r="S210" s="134"/>
      <c r="T210" s="134"/>
      <c r="U210" s="134"/>
      <c r="V210" s="134"/>
      <c r="W210" s="134"/>
      <c r="X210" s="134"/>
    </row>
    <row r="211" spans="1:24" s="81" customFormat="1" ht="17.25" customHeight="1">
      <c r="A211" s="134" t="s">
        <v>849</v>
      </c>
      <c r="B211" s="134" t="s">
        <v>849</v>
      </c>
      <c r="C211" s="134" t="s">
        <v>881</v>
      </c>
      <c r="D211" s="134"/>
      <c r="E211" s="134"/>
      <c r="F211" s="134" t="s">
        <v>160</v>
      </c>
      <c r="G211" s="134" t="s">
        <v>1025</v>
      </c>
      <c r="H211" s="134" t="s">
        <v>202</v>
      </c>
      <c r="I211" s="134">
        <v>31</v>
      </c>
      <c r="J211" s="134">
        <v>0</v>
      </c>
      <c r="K211" s="134">
        <v>32</v>
      </c>
      <c r="L211" s="134" t="s">
        <v>794</v>
      </c>
      <c r="M211" s="134" t="s">
        <v>795</v>
      </c>
      <c r="N211" s="134" t="s">
        <v>975</v>
      </c>
      <c r="O211" s="134"/>
      <c r="P211" s="134"/>
      <c r="Q211" s="134"/>
      <c r="R211" s="134"/>
      <c r="S211" s="134"/>
      <c r="T211" s="134"/>
      <c r="U211" s="134"/>
      <c r="V211" s="134"/>
      <c r="W211" s="134"/>
      <c r="X211" s="134"/>
    </row>
    <row r="212" spans="1:24" s="81" customFormat="1" ht="17.25" customHeight="1">
      <c r="A212" s="134" t="s">
        <v>850</v>
      </c>
      <c r="B212" s="134" t="s">
        <v>850</v>
      </c>
      <c r="C212" s="134" t="s">
        <v>882</v>
      </c>
      <c r="D212" s="134"/>
      <c r="E212" s="134"/>
      <c r="F212" s="134" t="s">
        <v>160</v>
      </c>
      <c r="G212" s="134" t="s">
        <v>1026</v>
      </c>
      <c r="H212" s="134" t="s">
        <v>793</v>
      </c>
      <c r="I212" s="134">
        <v>7</v>
      </c>
      <c r="J212" s="134">
        <v>0</v>
      </c>
      <c r="K212" s="134">
        <v>8</v>
      </c>
      <c r="L212" s="134" t="s">
        <v>794</v>
      </c>
      <c r="M212" s="134" t="s">
        <v>795</v>
      </c>
      <c r="N212" s="134" t="s">
        <v>976</v>
      </c>
      <c r="O212" s="134"/>
      <c r="P212" s="134"/>
      <c r="Q212" s="134"/>
      <c r="R212" s="134"/>
      <c r="S212" s="134"/>
      <c r="T212" s="134"/>
      <c r="U212" s="134"/>
      <c r="V212" s="134"/>
      <c r="W212" s="134"/>
      <c r="X212" s="134"/>
    </row>
    <row r="213" spans="1:24" s="81" customFormat="1" ht="17.25" customHeight="1">
      <c r="A213" s="134" t="s">
        <v>851</v>
      </c>
      <c r="B213" s="134" t="s">
        <v>851</v>
      </c>
      <c r="C213" s="134" t="s">
        <v>883</v>
      </c>
      <c r="D213" s="134"/>
      <c r="E213" s="134"/>
      <c r="F213" s="134" t="s">
        <v>160</v>
      </c>
      <c r="G213" s="134" t="s">
        <v>1027</v>
      </c>
      <c r="H213" s="134" t="s">
        <v>793</v>
      </c>
      <c r="I213" s="134">
        <v>31</v>
      </c>
      <c r="J213" s="134">
        <v>0</v>
      </c>
      <c r="K213" s="134">
        <v>32</v>
      </c>
      <c r="L213" s="134" t="s">
        <v>794</v>
      </c>
      <c r="M213" s="134" t="s">
        <v>795</v>
      </c>
      <c r="N213" s="134" t="s">
        <v>975</v>
      </c>
      <c r="O213" s="134"/>
      <c r="P213" s="134"/>
      <c r="Q213" s="134"/>
      <c r="R213" s="134"/>
      <c r="S213" s="134"/>
      <c r="T213" s="134"/>
      <c r="U213" s="134"/>
      <c r="V213" s="134"/>
      <c r="W213" s="134"/>
      <c r="X213" s="134"/>
    </row>
    <row r="214" spans="1:24" s="81" customFormat="1" ht="17.25" customHeight="1">
      <c r="A214" s="134" t="s">
        <v>852</v>
      </c>
      <c r="B214" s="134" t="s">
        <v>852</v>
      </c>
      <c r="C214" s="134" t="s">
        <v>884</v>
      </c>
      <c r="D214" s="134"/>
      <c r="E214" s="134"/>
      <c r="F214" s="134" t="s">
        <v>160</v>
      </c>
      <c r="G214" s="134" t="s">
        <v>1028</v>
      </c>
      <c r="H214" s="134" t="s">
        <v>793</v>
      </c>
      <c r="I214" s="134">
        <v>7</v>
      </c>
      <c r="J214" s="134">
        <v>0</v>
      </c>
      <c r="K214" s="134">
        <v>8</v>
      </c>
      <c r="L214" s="134" t="s">
        <v>794</v>
      </c>
      <c r="M214" s="134" t="s">
        <v>795</v>
      </c>
      <c r="N214" s="134" t="s">
        <v>976</v>
      </c>
      <c r="O214" s="134"/>
      <c r="P214" s="134"/>
      <c r="Q214" s="134"/>
      <c r="R214" s="134"/>
      <c r="S214" s="134"/>
      <c r="T214" s="134"/>
      <c r="U214" s="134"/>
      <c r="V214" s="134"/>
      <c r="W214" s="134"/>
      <c r="X214" s="134"/>
    </row>
    <row r="215" spans="1:24" s="81" customFormat="1" ht="17.25" customHeight="1">
      <c r="A215" s="134" t="s">
        <v>853</v>
      </c>
      <c r="B215" s="134" t="s">
        <v>853</v>
      </c>
      <c r="C215" s="134" t="s">
        <v>885</v>
      </c>
      <c r="D215" s="134"/>
      <c r="E215" s="134"/>
      <c r="F215" s="134" t="s">
        <v>160</v>
      </c>
      <c r="G215" s="134" t="s">
        <v>1029</v>
      </c>
      <c r="H215" s="134" t="s">
        <v>793</v>
      </c>
      <c r="I215" s="134">
        <v>31</v>
      </c>
      <c r="J215" s="134">
        <v>0</v>
      </c>
      <c r="K215" s="134">
        <v>32</v>
      </c>
      <c r="L215" s="134" t="s">
        <v>794</v>
      </c>
      <c r="M215" s="134" t="s">
        <v>795</v>
      </c>
      <c r="N215" s="134" t="s">
        <v>975</v>
      </c>
      <c r="O215" s="134"/>
      <c r="P215" s="134"/>
      <c r="Q215" s="134"/>
      <c r="R215" s="134"/>
      <c r="S215" s="134"/>
      <c r="T215" s="134"/>
      <c r="U215" s="134"/>
      <c r="V215" s="134"/>
      <c r="W215" s="134"/>
      <c r="X215" s="134"/>
    </row>
    <row r="216" spans="1:24" s="81" customFormat="1" ht="17.25" customHeight="1">
      <c r="A216" s="134" t="s">
        <v>854</v>
      </c>
      <c r="B216" s="134" t="s">
        <v>854</v>
      </c>
      <c r="C216" s="134" t="s">
        <v>886</v>
      </c>
      <c r="D216" s="134"/>
      <c r="E216" s="134"/>
      <c r="F216" s="134" t="s">
        <v>160</v>
      </c>
      <c r="G216" s="134" t="s">
        <v>1030</v>
      </c>
      <c r="H216" s="134" t="s">
        <v>793</v>
      </c>
      <c r="I216" s="134">
        <v>7</v>
      </c>
      <c r="J216" s="134">
        <v>0</v>
      </c>
      <c r="K216" s="134">
        <v>8</v>
      </c>
      <c r="L216" s="134" t="s">
        <v>794</v>
      </c>
      <c r="M216" s="134" t="s">
        <v>795</v>
      </c>
      <c r="N216" s="134" t="s">
        <v>976</v>
      </c>
      <c r="O216" s="134"/>
      <c r="P216" s="134"/>
      <c r="Q216" s="134"/>
      <c r="R216" s="134"/>
      <c r="S216" s="134"/>
      <c r="T216" s="134"/>
      <c r="U216" s="134"/>
      <c r="V216" s="134"/>
      <c r="W216" s="134"/>
      <c r="X216" s="134"/>
    </row>
    <row r="217" spans="1:24" s="81" customFormat="1" ht="17.25" customHeight="1">
      <c r="A217" s="134" t="s">
        <v>855</v>
      </c>
      <c r="B217" s="134" t="s">
        <v>855</v>
      </c>
      <c r="C217" s="134" t="s">
        <v>887</v>
      </c>
      <c r="D217" s="134"/>
      <c r="E217" s="134"/>
      <c r="F217" s="134" t="s">
        <v>160</v>
      </c>
      <c r="G217" s="134" t="s">
        <v>1031</v>
      </c>
      <c r="H217" s="134" t="s">
        <v>793</v>
      </c>
      <c r="I217" s="134">
        <v>31</v>
      </c>
      <c r="J217" s="134">
        <v>0</v>
      </c>
      <c r="K217" s="134">
        <v>32</v>
      </c>
      <c r="L217" s="134" t="s">
        <v>794</v>
      </c>
      <c r="M217" s="134" t="s">
        <v>795</v>
      </c>
      <c r="N217" s="134" t="s">
        <v>975</v>
      </c>
      <c r="O217" s="134"/>
      <c r="P217" s="134"/>
      <c r="Q217" s="134"/>
      <c r="R217" s="134"/>
      <c r="S217" s="134"/>
      <c r="T217" s="134"/>
      <c r="U217" s="134"/>
      <c r="V217" s="134"/>
      <c r="W217" s="134"/>
      <c r="X217" s="134"/>
    </row>
    <row r="218" spans="1:24" s="81" customFormat="1" ht="17.25" customHeight="1">
      <c r="A218" s="134" t="s">
        <v>856</v>
      </c>
      <c r="B218" s="134" t="s">
        <v>856</v>
      </c>
      <c r="C218" s="134" t="s">
        <v>888</v>
      </c>
      <c r="D218" s="134"/>
      <c r="E218" s="134"/>
      <c r="F218" s="134" t="s">
        <v>160</v>
      </c>
      <c r="G218" s="134" t="s">
        <v>1032</v>
      </c>
      <c r="H218" s="134" t="s">
        <v>793</v>
      </c>
      <c r="I218" s="134">
        <v>7</v>
      </c>
      <c r="J218" s="134">
        <v>0</v>
      </c>
      <c r="K218" s="134">
        <v>8</v>
      </c>
      <c r="L218" s="134" t="s">
        <v>794</v>
      </c>
      <c r="M218" s="134" t="s">
        <v>795</v>
      </c>
      <c r="N218" s="134" t="s">
        <v>976</v>
      </c>
      <c r="O218" s="134"/>
      <c r="P218" s="134"/>
      <c r="Q218" s="134"/>
      <c r="R218" s="134"/>
      <c r="S218" s="134"/>
      <c r="T218" s="134"/>
      <c r="U218" s="134"/>
      <c r="V218" s="134"/>
      <c r="W218" s="134"/>
      <c r="X218" s="134"/>
    </row>
    <row r="219" spans="1:24" s="81" customFormat="1" ht="17.25" customHeight="1">
      <c r="A219" s="134" t="s">
        <v>857</v>
      </c>
      <c r="B219" s="134" t="s">
        <v>857</v>
      </c>
      <c r="C219" s="134" t="s">
        <v>889</v>
      </c>
      <c r="D219" s="134"/>
      <c r="E219" s="134"/>
      <c r="F219" s="134" t="s">
        <v>160</v>
      </c>
      <c r="G219" s="134" t="s">
        <v>1033</v>
      </c>
      <c r="H219" s="134" t="s">
        <v>202</v>
      </c>
      <c r="I219" s="134">
        <v>31</v>
      </c>
      <c r="J219" s="134">
        <v>0</v>
      </c>
      <c r="K219" s="134">
        <v>32</v>
      </c>
      <c r="L219" s="134" t="s">
        <v>794</v>
      </c>
      <c r="M219" s="134" t="s">
        <v>795</v>
      </c>
      <c r="N219" s="134" t="s">
        <v>975</v>
      </c>
      <c r="O219" s="134"/>
      <c r="P219" s="134"/>
      <c r="Q219" s="134"/>
      <c r="R219" s="134"/>
      <c r="S219" s="134"/>
      <c r="T219" s="134"/>
      <c r="U219" s="134"/>
      <c r="V219" s="134"/>
      <c r="W219" s="134"/>
      <c r="X219" s="134"/>
    </row>
    <row r="220" spans="1:24" s="81" customFormat="1" ht="17.25" customHeight="1">
      <c r="A220" s="134" t="s">
        <v>858</v>
      </c>
      <c r="B220" s="134" t="s">
        <v>858</v>
      </c>
      <c r="C220" s="134" t="s">
        <v>890</v>
      </c>
      <c r="D220" s="134"/>
      <c r="E220" s="134"/>
      <c r="F220" s="134" t="s">
        <v>160</v>
      </c>
      <c r="G220" s="134" t="s">
        <v>1034</v>
      </c>
      <c r="H220" s="134" t="s">
        <v>202</v>
      </c>
      <c r="I220" s="134">
        <v>7</v>
      </c>
      <c r="J220" s="134">
        <v>0</v>
      </c>
      <c r="K220" s="134">
        <v>8</v>
      </c>
      <c r="L220" s="134" t="s">
        <v>794</v>
      </c>
      <c r="M220" s="134" t="s">
        <v>795</v>
      </c>
      <c r="N220" s="134" t="s">
        <v>976</v>
      </c>
      <c r="O220" s="134"/>
      <c r="P220" s="134"/>
      <c r="Q220" s="134"/>
      <c r="R220" s="134"/>
      <c r="S220" s="134"/>
      <c r="T220" s="134"/>
      <c r="U220" s="134"/>
      <c r="V220" s="134"/>
      <c r="W220" s="134"/>
      <c r="X220" s="134"/>
    </row>
    <row r="221" spans="1:24" s="81" customFormat="1" ht="17.25" customHeight="1">
      <c r="A221" s="134" t="s">
        <v>859</v>
      </c>
      <c r="B221" s="134" t="s">
        <v>859</v>
      </c>
      <c r="C221" s="134" t="s">
        <v>891</v>
      </c>
      <c r="D221" s="134"/>
      <c r="E221" s="134"/>
      <c r="F221" s="134" t="s">
        <v>160</v>
      </c>
      <c r="G221" s="134" t="s">
        <v>1035</v>
      </c>
      <c r="H221" s="134" t="s">
        <v>202</v>
      </c>
      <c r="I221" s="134">
        <v>31</v>
      </c>
      <c r="J221" s="134">
        <v>0</v>
      </c>
      <c r="K221" s="134">
        <v>32</v>
      </c>
      <c r="L221" s="134" t="s">
        <v>794</v>
      </c>
      <c r="M221" s="134" t="s">
        <v>795</v>
      </c>
      <c r="N221" s="134" t="s">
        <v>975</v>
      </c>
      <c r="O221" s="134"/>
      <c r="P221" s="134"/>
      <c r="Q221" s="134"/>
      <c r="R221" s="134"/>
      <c r="S221" s="134"/>
      <c r="T221" s="134"/>
      <c r="U221" s="134"/>
      <c r="V221" s="134"/>
      <c r="W221" s="134"/>
      <c r="X221" s="134"/>
    </row>
    <row r="222" spans="1:24" s="81" customFormat="1" ht="17.25" customHeight="1">
      <c r="A222" s="134" t="s">
        <v>860</v>
      </c>
      <c r="B222" s="134" t="s">
        <v>860</v>
      </c>
      <c r="C222" s="134" t="s">
        <v>892</v>
      </c>
      <c r="D222" s="134"/>
      <c r="E222" s="134"/>
      <c r="F222" s="134" t="s">
        <v>160</v>
      </c>
      <c r="G222" s="134" t="s">
        <v>1036</v>
      </c>
      <c r="H222" s="134" t="s">
        <v>793</v>
      </c>
      <c r="I222" s="134">
        <v>7</v>
      </c>
      <c r="J222" s="134">
        <v>0</v>
      </c>
      <c r="K222" s="134">
        <v>8</v>
      </c>
      <c r="L222" s="134" t="s">
        <v>794</v>
      </c>
      <c r="M222" s="134" t="s">
        <v>795</v>
      </c>
      <c r="N222" s="134" t="s">
        <v>976</v>
      </c>
      <c r="O222" s="134"/>
      <c r="P222" s="134"/>
      <c r="Q222" s="134"/>
      <c r="R222" s="134"/>
      <c r="S222" s="134"/>
      <c r="T222" s="134"/>
      <c r="U222" s="134"/>
      <c r="V222" s="134"/>
      <c r="W222" s="134"/>
      <c r="X222" s="134"/>
    </row>
    <row r="223" spans="1:24" s="81" customFormat="1" ht="17.25" customHeight="1">
      <c r="A223" s="134" t="s">
        <v>861</v>
      </c>
      <c r="B223" s="134" t="s">
        <v>861</v>
      </c>
      <c r="C223" s="134" t="s">
        <v>893</v>
      </c>
      <c r="D223" s="134"/>
      <c r="E223" s="134"/>
      <c r="F223" s="134" t="s">
        <v>160</v>
      </c>
      <c r="G223" s="134" t="s">
        <v>1037</v>
      </c>
      <c r="H223" s="134" t="s">
        <v>793</v>
      </c>
      <c r="I223" s="134">
        <v>31</v>
      </c>
      <c r="J223" s="134">
        <v>0</v>
      </c>
      <c r="K223" s="134">
        <v>32</v>
      </c>
      <c r="L223" s="134" t="s">
        <v>794</v>
      </c>
      <c r="M223" s="134" t="s">
        <v>795</v>
      </c>
      <c r="N223" s="134" t="s">
        <v>975</v>
      </c>
      <c r="O223" s="134"/>
      <c r="P223" s="134"/>
      <c r="Q223" s="134"/>
      <c r="R223" s="134"/>
      <c r="S223" s="134"/>
      <c r="T223" s="134"/>
      <c r="U223" s="134"/>
      <c r="V223" s="134"/>
      <c r="W223" s="134"/>
      <c r="X223" s="134"/>
    </row>
    <row r="224" spans="1:24" s="81" customFormat="1" ht="17.25" customHeight="1">
      <c r="A224" s="134" t="s">
        <v>862</v>
      </c>
      <c r="B224" s="134" t="s">
        <v>862</v>
      </c>
      <c r="C224" s="134" t="s">
        <v>894</v>
      </c>
      <c r="D224" s="134"/>
      <c r="E224" s="134"/>
      <c r="F224" s="134" t="s">
        <v>160</v>
      </c>
      <c r="G224" s="134" t="s">
        <v>1038</v>
      </c>
      <c r="H224" s="134" t="s">
        <v>793</v>
      </c>
      <c r="I224" s="134">
        <v>7</v>
      </c>
      <c r="J224" s="134">
        <v>0</v>
      </c>
      <c r="K224" s="134">
        <v>8</v>
      </c>
      <c r="L224" s="134" t="s">
        <v>794</v>
      </c>
      <c r="M224" s="134" t="s">
        <v>795</v>
      </c>
      <c r="N224" s="134" t="s">
        <v>976</v>
      </c>
      <c r="O224" s="134"/>
      <c r="P224" s="134"/>
      <c r="Q224" s="134"/>
      <c r="R224" s="134"/>
      <c r="S224" s="134"/>
      <c r="T224" s="134"/>
      <c r="U224" s="134"/>
      <c r="V224" s="134"/>
      <c r="W224" s="134"/>
      <c r="X224" s="134"/>
    </row>
    <row r="225" spans="1:24" s="81" customFormat="1" ht="17.25" customHeight="1">
      <c r="A225" s="134" t="s">
        <v>863</v>
      </c>
      <c r="B225" s="134" t="s">
        <v>863</v>
      </c>
      <c r="C225" s="134" t="s">
        <v>895</v>
      </c>
      <c r="D225" s="134"/>
      <c r="E225" s="134"/>
      <c r="F225" s="134" t="s">
        <v>160</v>
      </c>
      <c r="G225" s="134" t="s">
        <v>1039</v>
      </c>
      <c r="H225" s="134" t="s">
        <v>793</v>
      </c>
      <c r="I225" s="134">
        <v>31</v>
      </c>
      <c r="J225" s="134">
        <v>0</v>
      </c>
      <c r="K225" s="134">
        <v>32</v>
      </c>
      <c r="L225" s="134" t="s">
        <v>794</v>
      </c>
      <c r="M225" s="134" t="s">
        <v>795</v>
      </c>
      <c r="N225" s="134" t="s">
        <v>975</v>
      </c>
      <c r="O225" s="134"/>
      <c r="P225" s="134"/>
      <c r="Q225" s="134"/>
      <c r="R225" s="134"/>
      <c r="S225" s="134"/>
      <c r="T225" s="134"/>
      <c r="U225" s="134"/>
      <c r="V225" s="134"/>
      <c r="W225" s="134"/>
      <c r="X225" s="134"/>
    </row>
    <row r="226" spans="1:24" s="81" customFormat="1" ht="17.25" customHeight="1">
      <c r="A226" s="134" t="s">
        <v>864</v>
      </c>
      <c r="B226" s="134" t="s">
        <v>864</v>
      </c>
      <c r="C226" s="134" t="s">
        <v>896</v>
      </c>
      <c r="D226" s="134"/>
      <c r="E226" s="134"/>
      <c r="F226" s="134" t="s">
        <v>160</v>
      </c>
      <c r="G226" s="134" t="s">
        <v>1040</v>
      </c>
      <c r="H226" s="134" t="s">
        <v>793</v>
      </c>
      <c r="I226" s="134">
        <v>7</v>
      </c>
      <c r="J226" s="134">
        <v>0</v>
      </c>
      <c r="K226" s="134">
        <v>8</v>
      </c>
      <c r="L226" s="134" t="s">
        <v>794</v>
      </c>
      <c r="M226" s="134" t="s">
        <v>795</v>
      </c>
      <c r="N226" s="134" t="s">
        <v>976</v>
      </c>
      <c r="O226" s="134"/>
      <c r="P226" s="134"/>
      <c r="Q226" s="134"/>
      <c r="R226" s="134"/>
      <c r="S226" s="134"/>
      <c r="T226" s="134"/>
      <c r="U226" s="134"/>
      <c r="V226" s="134"/>
      <c r="W226" s="134"/>
      <c r="X226" s="134"/>
    </row>
    <row r="227" spans="1:24" s="81" customFormat="1" ht="17.25" customHeight="1">
      <c r="A227" s="134" t="s">
        <v>865</v>
      </c>
      <c r="B227" s="134" t="s">
        <v>865</v>
      </c>
      <c r="C227" s="134" t="s">
        <v>897</v>
      </c>
      <c r="D227" s="134"/>
      <c r="E227" s="134"/>
      <c r="F227" s="134" t="s">
        <v>160</v>
      </c>
      <c r="G227" s="134" t="s">
        <v>1041</v>
      </c>
      <c r="H227" s="134" t="s">
        <v>793</v>
      </c>
      <c r="I227" s="134">
        <v>31</v>
      </c>
      <c r="J227" s="134">
        <v>0</v>
      </c>
      <c r="K227" s="134">
        <v>32</v>
      </c>
      <c r="L227" s="134" t="s">
        <v>794</v>
      </c>
      <c r="M227" s="134" t="s">
        <v>795</v>
      </c>
      <c r="N227" s="134" t="s">
        <v>975</v>
      </c>
      <c r="O227" s="134"/>
      <c r="P227" s="134"/>
      <c r="Q227" s="134"/>
      <c r="R227" s="134"/>
      <c r="S227" s="134"/>
      <c r="T227" s="134"/>
      <c r="U227" s="134"/>
      <c r="V227" s="134"/>
      <c r="W227" s="134"/>
      <c r="X227" s="134"/>
    </row>
    <row r="228" spans="1:24" s="81" customFormat="1" ht="17.25" customHeight="1">
      <c r="A228" s="134" t="s">
        <v>866</v>
      </c>
      <c r="B228" s="134" t="s">
        <v>866</v>
      </c>
      <c r="C228" s="134" t="s">
        <v>898</v>
      </c>
      <c r="D228" s="134"/>
      <c r="E228" s="134"/>
      <c r="F228" s="134" t="s">
        <v>160</v>
      </c>
      <c r="G228" s="134" t="s">
        <v>1042</v>
      </c>
      <c r="H228" s="134" t="s">
        <v>793</v>
      </c>
      <c r="I228" s="134">
        <v>7</v>
      </c>
      <c r="J228" s="134">
        <v>0</v>
      </c>
      <c r="K228" s="134">
        <v>8</v>
      </c>
      <c r="L228" s="134" t="s">
        <v>794</v>
      </c>
      <c r="M228" s="134" t="s">
        <v>795</v>
      </c>
      <c r="N228" s="134" t="s">
        <v>976</v>
      </c>
      <c r="O228" s="134"/>
      <c r="P228" s="134"/>
      <c r="Q228" s="134"/>
      <c r="R228" s="134"/>
      <c r="S228" s="134"/>
      <c r="T228" s="134"/>
      <c r="U228" s="134"/>
      <c r="V228" s="134"/>
      <c r="W228" s="134"/>
      <c r="X228" s="134"/>
    </row>
    <row r="229" spans="1:24" s="81" customFormat="1" ht="17.25" customHeight="1">
      <c r="A229" s="134" t="s">
        <v>867</v>
      </c>
      <c r="B229" s="134" t="s">
        <v>867</v>
      </c>
      <c r="C229" s="134" t="s">
        <v>899</v>
      </c>
      <c r="D229" s="134"/>
      <c r="E229" s="134"/>
      <c r="F229" s="134" t="s">
        <v>160</v>
      </c>
      <c r="G229" s="134" t="s">
        <v>1043</v>
      </c>
      <c r="H229" s="134" t="s">
        <v>202</v>
      </c>
      <c r="I229" s="134">
        <v>31</v>
      </c>
      <c r="J229" s="134">
        <v>0</v>
      </c>
      <c r="K229" s="134">
        <v>32</v>
      </c>
      <c r="L229" s="134" t="s">
        <v>794</v>
      </c>
      <c r="M229" s="134" t="s">
        <v>795</v>
      </c>
      <c r="N229" s="134" t="s">
        <v>975</v>
      </c>
      <c r="O229" s="134"/>
      <c r="P229" s="134"/>
      <c r="Q229" s="134"/>
      <c r="R229" s="134"/>
      <c r="S229" s="134"/>
      <c r="T229" s="134"/>
      <c r="U229" s="134"/>
      <c r="V229" s="134"/>
      <c r="W229" s="134"/>
      <c r="X229" s="134"/>
    </row>
    <row r="230" spans="1:24" s="81" customFormat="1" ht="17.25" customHeight="1">
      <c r="A230" s="134" t="s">
        <v>868</v>
      </c>
      <c r="B230" s="134" t="s">
        <v>868</v>
      </c>
      <c r="C230" s="134" t="s">
        <v>900</v>
      </c>
      <c r="D230" s="134"/>
      <c r="E230" s="134"/>
      <c r="F230" s="134" t="s">
        <v>160</v>
      </c>
      <c r="G230" s="134" t="s">
        <v>1044</v>
      </c>
      <c r="H230" s="134" t="s">
        <v>202</v>
      </c>
      <c r="I230" s="134">
        <v>7</v>
      </c>
      <c r="J230" s="134">
        <v>0</v>
      </c>
      <c r="K230" s="134">
        <v>8</v>
      </c>
      <c r="L230" s="134" t="s">
        <v>794</v>
      </c>
      <c r="M230" s="134" t="s">
        <v>795</v>
      </c>
      <c r="N230" s="134" t="s">
        <v>976</v>
      </c>
      <c r="O230" s="134"/>
      <c r="P230" s="134"/>
      <c r="Q230" s="134"/>
      <c r="R230" s="134"/>
      <c r="S230" s="134"/>
      <c r="T230" s="134"/>
      <c r="U230" s="134"/>
      <c r="V230" s="134"/>
      <c r="W230" s="134"/>
      <c r="X230" s="134"/>
    </row>
    <row r="231" spans="1:24" s="81" customFormat="1" ht="17.25" customHeight="1">
      <c r="A231" s="134" t="s">
        <v>869</v>
      </c>
      <c r="B231" s="134" t="s">
        <v>869</v>
      </c>
      <c r="C231" s="134" t="s">
        <v>901</v>
      </c>
      <c r="D231" s="134"/>
      <c r="E231" s="134"/>
      <c r="F231" s="134" t="s">
        <v>160</v>
      </c>
      <c r="G231" s="134" t="s">
        <v>1045</v>
      </c>
      <c r="H231" s="134" t="s">
        <v>202</v>
      </c>
      <c r="I231" s="134">
        <v>31</v>
      </c>
      <c r="J231" s="134">
        <v>0</v>
      </c>
      <c r="K231" s="134">
        <v>32</v>
      </c>
      <c r="L231" s="134" t="s">
        <v>794</v>
      </c>
      <c r="M231" s="134" t="s">
        <v>795</v>
      </c>
      <c r="N231" s="134" t="s">
        <v>975</v>
      </c>
      <c r="O231" s="134"/>
      <c r="P231" s="134"/>
      <c r="Q231" s="134"/>
      <c r="R231" s="134"/>
      <c r="S231" s="134"/>
      <c r="T231" s="134"/>
      <c r="U231" s="134"/>
      <c r="V231" s="134"/>
      <c r="W231" s="134"/>
      <c r="X231" s="134"/>
    </row>
    <row r="232" spans="1:24" s="81" customFormat="1" ht="17.25" customHeight="1">
      <c r="A232" s="134" t="s">
        <v>870</v>
      </c>
      <c r="B232" s="134" t="s">
        <v>870</v>
      </c>
      <c r="C232" s="134" t="s">
        <v>902</v>
      </c>
      <c r="D232" s="134"/>
      <c r="E232" s="134"/>
      <c r="F232" s="134" t="s">
        <v>160</v>
      </c>
      <c r="G232" s="134" t="s">
        <v>1046</v>
      </c>
      <c r="H232" s="134" t="s">
        <v>793</v>
      </c>
      <c r="I232" s="134">
        <v>7</v>
      </c>
      <c r="J232" s="134">
        <v>0</v>
      </c>
      <c r="K232" s="134">
        <v>8</v>
      </c>
      <c r="L232" s="134" t="s">
        <v>794</v>
      </c>
      <c r="M232" s="134" t="s">
        <v>795</v>
      </c>
      <c r="N232" s="134" t="s">
        <v>976</v>
      </c>
      <c r="O232" s="134"/>
      <c r="P232" s="134"/>
      <c r="Q232" s="134"/>
      <c r="R232" s="134"/>
      <c r="S232" s="134"/>
      <c r="T232" s="134"/>
      <c r="U232" s="134"/>
      <c r="V232" s="134"/>
      <c r="W232" s="134"/>
      <c r="X232" s="134"/>
    </row>
    <row r="233" spans="1:24" s="81" customFormat="1" ht="17.25" customHeight="1">
      <c r="A233" s="134" t="s">
        <v>871</v>
      </c>
      <c r="B233" s="134" t="s">
        <v>871</v>
      </c>
      <c r="C233" s="134" t="s">
        <v>903</v>
      </c>
      <c r="D233" s="134"/>
      <c r="E233" s="134"/>
      <c r="F233" s="134" t="s">
        <v>160</v>
      </c>
      <c r="G233" s="134" t="s">
        <v>1047</v>
      </c>
      <c r="H233" s="134" t="s">
        <v>793</v>
      </c>
      <c r="I233" s="134">
        <v>31</v>
      </c>
      <c r="J233" s="134">
        <v>0</v>
      </c>
      <c r="K233" s="134">
        <v>32</v>
      </c>
      <c r="L233" s="134" t="s">
        <v>794</v>
      </c>
      <c r="M233" s="134" t="s">
        <v>795</v>
      </c>
      <c r="N233" s="134" t="s">
        <v>975</v>
      </c>
      <c r="O233" s="134"/>
      <c r="P233" s="134"/>
      <c r="Q233" s="134"/>
      <c r="R233" s="134"/>
      <c r="S233" s="134"/>
      <c r="T233" s="134"/>
      <c r="U233" s="134"/>
      <c r="V233" s="134"/>
      <c r="W233" s="134"/>
      <c r="X233" s="134"/>
    </row>
    <row r="234" spans="1:24" s="81" customFormat="1" ht="17.25" customHeight="1">
      <c r="A234" s="134" t="s">
        <v>872</v>
      </c>
      <c r="B234" s="134" t="s">
        <v>872</v>
      </c>
      <c r="C234" s="134" t="s">
        <v>904</v>
      </c>
      <c r="D234" s="134"/>
      <c r="E234" s="134"/>
      <c r="F234" s="134" t="s">
        <v>160</v>
      </c>
      <c r="G234" s="134" t="s">
        <v>1048</v>
      </c>
      <c r="H234" s="134" t="s">
        <v>793</v>
      </c>
      <c r="I234" s="134">
        <v>7</v>
      </c>
      <c r="J234" s="134">
        <v>0</v>
      </c>
      <c r="K234" s="134">
        <v>8</v>
      </c>
      <c r="L234" s="134" t="s">
        <v>794</v>
      </c>
      <c r="M234" s="134" t="s">
        <v>795</v>
      </c>
      <c r="N234" s="134" t="s">
        <v>976</v>
      </c>
      <c r="O234" s="134"/>
      <c r="P234" s="134"/>
      <c r="Q234" s="134"/>
      <c r="R234" s="134"/>
      <c r="S234" s="134"/>
      <c r="T234" s="134"/>
      <c r="U234" s="134"/>
      <c r="V234" s="134"/>
      <c r="W234" s="134"/>
      <c r="X234" s="134"/>
    </row>
    <row r="235" spans="1:24" s="81" customFormat="1" ht="17.25" customHeight="1">
      <c r="A235" s="134" t="s">
        <v>873</v>
      </c>
      <c r="B235" s="134" t="s">
        <v>873</v>
      </c>
      <c r="C235" s="134" t="s">
        <v>905</v>
      </c>
      <c r="D235" s="134"/>
      <c r="E235" s="134"/>
      <c r="F235" s="134" t="s">
        <v>160</v>
      </c>
      <c r="G235" s="134" t="s">
        <v>1049</v>
      </c>
      <c r="H235" s="134" t="s">
        <v>793</v>
      </c>
      <c r="I235" s="134">
        <v>31</v>
      </c>
      <c r="J235" s="134">
        <v>0</v>
      </c>
      <c r="K235" s="134">
        <v>32</v>
      </c>
      <c r="L235" s="134" t="s">
        <v>794</v>
      </c>
      <c r="M235" s="134" t="s">
        <v>795</v>
      </c>
      <c r="N235" s="134" t="s">
        <v>975</v>
      </c>
      <c r="O235" s="134"/>
      <c r="P235" s="134"/>
      <c r="Q235" s="134"/>
      <c r="R235" s="134"/>
      <c r="S235" s="134"/>
      <c r="T235" s="134"/>
      <c r="U235" s="134"/>
      <c r="V235" s="134"/>
      <c r="W235" s="134"/>
      <c r="X235" s="134"/>
    </row>
    <row r="236" spans="1:24" s="81" customFormat="1" ht="17.25" customHeight="1">
      <c r="A236" s="134" t="s">
        <v>874</v>
      </c>
      <c r="B236" s="134" t="s">
        <v>874</v>
      </c>
      <c r="C236" s="134" t="s">
        <v>906</v>
      </c>
      <c r="D236" s="134"/>
      <c r="E236" s="134"/>
      <c r="F236" s="134" t="s">
        <v>160</v>
      </c>
      <c r="G236" s="134" t="s">
        <v>1050</v>
      </c>
      <c r="H236" s="134" t="s">
        <v>793</v>
      </c>
      <c r="I236" s="134">
        <v>7</v>
      </c>
      <c r="J236" s="134">
        <v>0</v>
      </c>
      <c r="K236" s="134">
        <v>8</v>
      </c>
      <c r="L236" s="134" t="s">
        <v>794</v>
      </c>
      <c r="M236" s="134" t="s">
        <v>795</v>
      </c>
      <c r="N236" s="134" t="s">
        <v>976</v>
      </c>
      <c r="O236" s="134"/>
      <c r="P236" s="134"/>
      <c r="Q236" s="134"/>
      <c r="R236" s="134"/>
      <c r="S236" s="134"/>
      <c r="T236" s="134"/>
      <c r="U236" s="134"/>
      <c r="V236" s="134"/>
      <c r="W236" s="134"/>
      <c r="X236" s="134"/>
    </row>
    <row r="237" spans="1:24" s="81" customFormat="1" ht="17.25" customHeight="1">
      <c r="A237" s="134" t="s">
        <v>875</v>
      </c>
      <c r="B237" s="134" t="s">
        <v>875</v>
      </c>
      <c r="C237" s="134" t="s">
        <v>907</v>
      </c>
      <c r="D237" s="134"/>
      <c r="E237" s="134"/>
      <c r="F237" s="134" t="s">
        <v>160</v>
      </c>
      <c r="G237" s="134" t="s">
        <v>1051</v>
      </c>
      <c r="H237" s="134" t="s">
        <v>793</v>
      </c>
      <c r="I237" s="134">
        <v>31</v>
      </c>
      <c r="J237" s="134">
        <v>0</v>
      </c>
      <c r="K237" s="134">
        <v>32</v>
      </c>
      <c r="L237" s="134" t="s">
        <v>794</v>
      </c>
      <c r="M237" s="134" t="s">
        <v>795</v>
      </c>
      <c r="N237" s="134" t="s">
        <v>975</v>
      </c>
      <c r="O237" s="134"/>
      <c r="P237" s="134"/>
      <c r="Q237" s="134"/>
      <c r="R237" s="134"/>
      <c r="S237" s="134"/>
      <c r="T237" s="134"/>
      <c r="U237" s="134"/>
      <c r="V237" s="134"/>
      <c r="W237" s="134"/>
      <c r="X237" s="134"/>
    </row>
    <row r="238" spans="1:24" s="81" customFormat="1" ht="17.25" customHeight="1">
      <c r="A238" s="134" t="s">
        <v>876</v>
      </c>
      <c r="B238" s="134" t="s">
        <v>876</v>
      </c>
      <c r="C238" s="134" t="s">
        <v>908</v>
      </c>
      <c r="D238" s="134"/>
      <c r="E238" s="134"/>
      <c r="F238" s="134" t="s">
        <v>160</v>
      </c>
      <c r="G238" s="134" t="s">
        <v>1052</v>
      </c>
      <c r="H238" s="134" t="s">
        <v>793</v>
      </c>
      <c r="I238" s="134">
        <v>7</v>
      </c>
      <c r="J238" s="134">
        <v>0</v>
      </c>
      <c r="K238" s="134">
        <v>8</v>
      </c>
      <c r="L238" s="134" t="s">
        <v>794</v>
      </c>
      <c r="M238" s="134" t="s">
        <v>795</v>
      </c>
      <c r="N238" s="134" t="s">
        <v>976</v>
      </c>
      <c r="O238" s="134"/>
      <c r="P238" s="134"/>
      <c r="Q238" s="134"/>
      <c r="R238" s="134"/>
      <c r="S238" s="134"/>
      <c r="T238" s="134"/>
      <c r="U238" s="134"/>
      <c r="V238" s="134"/>
      <c r="W238" s="134"/>
      <c r="X238" s="134"/>
    </row>
    <row r="239" spans="1:24" s="81" customFormat="1" ht="17.25" customHeight="1">
      <c r="A239" s="134" t="s">
        <v>877</v>
      </c>
      <c r="B239" s="134" t="s">
        <v>877</v>
      </c>
      <c r="C239" s="134" t="s">
        <v>909</v>
      </c>
      <c r="D239" s="134"/>
      <c r="E239" s="134"/>
      <c r="F239" s="134" t="s">
        <v>160</v>
      </c>
      <c r="G239" s="134" t="s">
        <v>1053</v>
      </c>
      <c r="H239" s="134" t="s">
        <v>202</v>
      </c>
      <c r="I239" s="134">
        <v>31</v>
      </c>
      <c r="J239" s="134">
        <v>0</v>
      </c>
      <c r="K239" s="134">
        <v>32</v>
      </c>
      <c r="L239" s="134" t="s">
        <v>794</v>
      </c>
      <c r="M239" s="134" t="s">
        <v>795</v>
      </c>
      <c r="N239" s="134" t="s">
        <v>975</v>
      </c>
      <c r="O239" s="134"/>
      <c r="P239" s="134"/>
      <c r="Q239" s="134"/>
      <c r="R239" s="134"/>
      <c r="S239" s="134"/>
      <c r="T239" s="134"/>
      <c r="U239" s="134"/>
      <c r="V239" s="134"/>
      <c r="W239" s="134"/>
      <c r="X239" s="134"/>
    </row>
    <row r="240" spans="1:24" s="81" customFormat="1" ht="17.25" customHeight="1">
      <c r="A240" s="134" t="s">
        <v>878</v>
      </c>
      <c r="B240" s="134" t="s">
        <v>878</v>
      </c>
      <c r="C240" s="134" t="s">
        <v>910</v>
      </c>
      <c r="D240" s="134"/>
      <c r="E240" s="134"/>
      <c r="F240" s="134" t="s">
        <v>160</v>
      </c>
      <c r="G240" s="134" t="s">
        <v>1054</v>
      </c>
      <c r="H240" s="134" t="s">
        <v>202</v>
      </c>
      <c r="I240" s="134">
        <v>7</v>
      </c>
      <c r="J240" s="134">
        <v>0</v>
      </c>
      <c r="K240" s="134">
        <v>8</v>
      </c>
      <c r="L240" s="134" t="s">
        <v>794</v>
      </c>
      <c r="M240" s="134" t="s">
        <v>795</v>
      </c>
      <c r="N240" s="134" t="s">
        <v>976</v>
      </c>
      <c r="O240" s="134"/>
      <c r="P240" s="134"/>
      <c r="Q240" s="134"/>
      <c r="R240" s="134"/>
      <c r="S240" s="134"/>
      <c r="T240" s="134"/>
      <c r="U240" s="134"/>
      <c r="V240" s="134"/>
      <c r="W240" s="134"/>
      <c r="X240" s="134"/>
    </row>
    <row r="241" spans="1:24" s="81" customFormat="1" ht="17.25" customHeight="1">
      <c r="A241" s="134" t="s">
        <v>911</v>
      </c>
      <c r="B241" s="134" t="s">
        <v>911</v>
      </c>
      <c r="C241" s="134" t="s">
        <v>943</v>
      </c>
      <c r="D241" s="134"/>
      <c r="E241" s="134"/>
      <c r="F241" s="134" t="s">
        <v>160</v>
      </c>
      <c r="G241" s="134" t="s">
        <v>1055</v>
      </c>
      <c r="H241" s="134" t="s">
        <v>202</v>
      </c>
      <c r="I241" s="134">
        <v>31</v>
      </c>
      <c r="J241" s="134">
        <v>0</v>
      </c>
      <c r="K241" s="134">
        <v>32</v>
      </c>
      <c r="L241" s="134" t="s">
        <v>1171</v>
      </c>
      <c r="M241" s="134" t="s">
        <v>795</v>
      </c>
      <c r="N241" s="134" t="s">
        <v>977</v>
      </c>
      <c r="O241" s="134"/>
      <c r="P241" s="134"/>
      <c r="Q241" s="134"/>
      <c r="R241" s="134"/>
      <c r="S241" s="134"/>
      <c r="T241" s="134"/>
      <c r="U241" s="134"/>
      <c r="V241" s="134"/>
      <c r="W241" s="134"/>
      <c r="X241" s="134"/>
    </row>
    <row r="242" spans="1:24" s="81" customFormat="1" ht="17.25" customHeight="1">
      <c r="A242" s="134" t="s">
        <v>912</v>
      </c>
      <c r="B242" s="134" t="s">
        <v>912</v>
      </c>
      <c r="C242" s="134" t="s">
        <v>944</v>
      </c>
      <c r="D242" s="134"/>
      <c r="E242" s="134"/>
      <c r="F242" s="134" t="s">
        <v>160</v>
      </c>
      <c r="G242" s="134" t="s">
        <v>1056</v>
      </c>
      <c r="H242" s="134" t="s">
        <v>793</v>
      </c>
      <c r="I242" s="134">
        <v>7</v>
      </c>
      <c r="J242" s="134">
        <v>0</v>
      </c>
      <c r="K242" s="134">
        <v>8</v>
      </c>
      <c r="L242" s="134" t="s">
        <v>1183</v>
      </c>
      <c r="M242" s="134" t="s">
        <v>795</v>
      </c>
      <c r="N242" s="134" t="s">
        <v>978</v>
      </c>
      <c r="O242" s="134"/>
      <c r="P242" s="134"/>
      <c r="Q242" s="134"/>
      <c r="R242" s="134"/>
      <c r="S242" s="134"/>
      <c r="T242" s="134"/>
      <c r="U242" s="134"/>
      <c r="V242" s="134"/>
      <c r="W242" s="134"/>
      <c r="X242" s="134"/>
    </row>
    <row r="243" spans="1:24" s="81" customFormat="1" ht="17.25" customHeight="1">
      <c r="A243" s="134" t="s">
        <v>913</v>
      </c>
      <c r="B243" s="134" t="s">
        <v>913</v>
      </c>
      <c r="C243" s="134" t="s">
        <v>945</v>
      </c>
      <c r="D243" s="134"/>
      <c r="E243" s="134"/>
      <c r="F243" s="134" t="s">
        <v>160</v>
      </c>
      <c r="G243" s="134" t="s">
        <v>1057</v>
      </c>
      <c r="H243" s="134" t="s">
        <v>793</v>
      </c>
      <c r="I243" s="134">
        <v>31</v>
      </c>
      <c r="J243" s="134">
        <v>0</v>
      </c>
      <c r="K243" s="134">
        <v>32</v>
      </c>
      <c r="L243" s="134" t="s">
        <v>1171</v>
      </c>
      <c r="M243" s="134" t="s">
        <v>795</v>
      </c>
      <c r="N243" s="134" t="s">
        <v>977</v>
      </c>
      <c r="O243" s="134"/>
      <c r="P243" s="134"/>
      <c r="Q243" s="134"/>
      <c r="R243" s="134"/>
      <c r="S243" s="134"/>
      <c r="T243" s="134"/>
      <c r="U243" s="134"/>
      <c r="V243" s="134"/>
      <c r="W243" s="134"/>
      <c r="X243" s="134"/>
    </row>
    <row r="244" spans="1:24" s="81" customFormat="1" ht="17.25" customHeight="1">
      <c r="A244" s="134" t="s">
        <v>914</v>
      </c>
      <c r="B244" s="134" t="s">
        <v>914</v>
      </c>
      <c r="C244" s="134" t="s">
        <v>946</v>
      </c>
      <c r="D244" s="134"/>
      <c r="E244" s="134"/>
      <c r="F244" s="134" t="s">
        <v>160</v>
      </c>
      <c r="G244" s="134" t="s">
        <v>1058</v>
      </c>
      <c r="H244" s="134" t="s">
        <v>793</v>
      </c>
      <c r="I244" s="134">
        <v>7</v>
      </c>
      <c r="J244" s="134">
        <v>0</v>
      </c>
      <c r="K244" s="134">
        <v>8</v>
      </c>
      <c r="L244" s="134" t="s">
        <v>1183</v>
      </c>
      <c r="M244" s="134" t="s">
        <v>795</v>
      </c>
      <c r="N244" s="134" t="s">
        <v>978</v>
      </c>
      <c r="O244" s="134"/>
      <c r="P244" s="134"/>
      <c r="Q244" s="134"/>
      <c r="R244" s="134"/>
      <c r="S244" s="134"/>
      <c r="T244" s="134"/>
      <c r="U244" s="134"/>
      <c r="V244" s="134"/>
      <c r="W244" s="134"/>
      <c r="X244" s="134"/>
    </row>
    <row r="245" spans="1:24" s="81" customFormat="1" ht="17.25" customHeight="1">
      <c r="A245" s="134" t="s">
        <v>915</v>
      </c>
      <c r="B245" s="134" t="s">
        <v>915</v>
      </c>
      <c r="C245" s="134" t="s">
        <v>947</v>
      </c>
      <c r="D245" s="134"/>
      <c r="E245" s="134"/>
      <c r="F245" s="134" t="s">
        <v>160</v>
      </c>
      <c r="G245" s="134" t="s">
        <v>1059</v>
      </c>
      <c r="H245" s="134" t="s">
        <v>793</v>
      </c>
      <c r="I245" s="134">
        <v>31</v>
      </c>
      <c r="J245" s="134">
        <v>0</v>
      </c>
      <c r="K245" s="134">
        <v>32</v>
      </c>
      <c r="L245" s="134" t="s">
        <v>1171</v>
      </c>
      <c r="M245" s="134" t="s">
        <v>795</v>
      </c>
      <c r="N245" s="134" t="s">
        <v>977</v>
      </c>
      <c r="O245" s="134"/>
      <c r="P245" s="134"/>
      <c r="Q245" s="134"/>
      <c r="R245" s="134"/>
      <c r="S245" s="134"/>
      <c r="T245" s="134"/>
      <c r="U245" s="134"/>
      <c r="V245" s="134"/>
      <c r="W245" s="134"/>
      <c r="X245" s="134"/>
    </row>
    <row r="246" spans="1:24" s="81" customFormat="1" ht="17.25" customHeight="1">
      <c r="A246" s="134" t="s">
        <v>916</v>
      </c>
      <c r="B246" s="134" t="s">
        <v>916</v>
      </c>
      <c r="C246" s="134" t="s">
        <v>948</v>
      </c>
      <c r="D246" s="134"/>
      <c r="E246" s="134"/>
      <c r="F246" s="134" t="s">
        <v>160</v>
      </c>
      <c r="G246" s="134" t="s">
        <v>1060</v>
      </c>
      <c r="H246" s="134" t="s">
        <v>793</v>
      </c>
      <c r="I246" s="134">
        <v>7</v>
      </c>
      <c r="J246" s="134">
        <v>0</v>
      </c>
      <c r="K246" s="134">
        <v>8</v>
      </c>
      <c r="L246" s="134" t="s">
        <v>1183</v>
      </c>
      <c r="M246" s="134" t="s">
        <v>795</v>
      </c>
      <c r="N246" s="134" t="s">
        <v>978</v>
      </c>
      <c r="O246" s="134"/>
      <c r="P246" s="134"/>
      <c r="Q246" s="134"/>
      <c r="R246" s="134"/>
      <c r="S246" s="134"/>
      <c r="T246" s="134"/>
      <c r="U246" s="134"/>
      <c r="V246" s="134"/>
      <c r="W246" s="134"/>
      <c r="X246" s="134"/>
    </row>
    <row r="247" spans="1:24" s="81" customFormat="1" ht="17.25" customHeight="1">
      <c r="A247" s="134" t="s">
        <v>917</v>
      </c>
      <c r="B247" s="134" t="s">
        <v>917</v>
      </c>
      <c r="C247" s="134" t="s">
        <v>949</v>
      </c>
      <c r="D247" s="134"/>
      <c r="E247" s="134"/>
      <c r="F247" s="134" t="s">
        <v>160</v>
      </c>
      <c r="G247" s="134" t="s">
        <v>1061</v>
      </c>
      <c r="H247" s="134" t="s">
        <v>793</v>
      </c>
      <c r="I247" s="134">
        <v>31</v>
      </c>
      <c r="J247" s="134">
        <v>0</v>
      </c>
      <c r="K247" s="134">
        <v>32</v>
      </c>
      <c r="L247" s="134" t="s">
        <v>1171</v>
      </c>
      <c r="M247" s="134" t="s">
        <v>795</v>
      </c>
      <c r="N247" s="134" t="s">
        <v>977</v>
      </c>
      <c r="O247" s="134"/>
      <c r="P247" s="134"/>
      <c r="Q247" s="134"/>
      <c r="R247" s="134"/>
      <c r="S247" s="134"/>
      <c r="T247" s="134"/>
      <c r="U247" s="134"/>
      <c r="V247" s="134"/>
      <c r="W247" s="134"/>
      <c r="X247" s="134"/>
    </row>
    <row r="248" spans="1:24" s="81" customFormat="1" ht="17.25" customHeight="1">
      <c r="A248" s="134" t="s">
        <v>918</v>
      </c>
      <c r="B248" s="134" t="s">
        <v>918</v>
      </c>
      <c r="C248" s="134" t="s">
        <v>950</v>
      </c>
      <c r="D248" s="134"/>
      <c r="E248" s="134"/>
      <c r="F248" s="134" t="s">
        <v>160</v>
      </c>
      <c r="G248" s="134" t="s">
        <v>1062</v>
      </c>
      <c r="H248" s="134" t="s">
        <v>793</v>
      </c>
      <c r="I248" s="134">
        <v>7</v>
      </c>
      <c r="J248" s="134">
        <v>0</v>
      </c>
      <c r="K248" s="134">
        <v>8</v>
      </c>
      <c r="L248" s="134" t="s">
        <v>1183</v>
      </c>
      <c r="M248" s="134" t="s">
        <v>795</v>
      </c>
      <c r="N248" s="134" t="s">
        <v>978</v>
      </c>
      <c r="O248" s="134"/>
      <c r="P248" s="134"/>
      <c r="Q248" s="134"/>
      <c r="R248" s="134"/>
      <c r="S248" s="134"/>
      <c r="T248" s="134"/>
      <c r="U248" s="134"/>
      <c r="V248" s="134"/>
      <c r="W248" s="134"/>
      <c r="X248" s="134"/>
    </row>
    <row r="249" spans="1:24" s="81" customFormat="1" ht="17.25" customHeight="1">
      <c r="A249" s="134" t="s">
        <v>919</v>
      </c>
      <c r="B249" s="134" t="s">
        <v>919</v>
      </c>
      <c r="C249" s="134" t="s">
        <v>951</v>
      </c>
      <c r="D249" s="134"/>
      <c r="E249" s="134"/>
      <c r="F249" s="134" t="s">
        <v>160</v>
      </c>
      <c r="G249" s="134" t="s">
        <v>1063</v>
      </c>
      <c r="H249" s="134" t="s">
        <v>202</v>
      </c>
      <c r="I249" s="134">
        <v>31</v>
      </c>
      <c r="J249" s="134">
        <v>0</v>
      </c>
      <c r="K249" s="134">
        <v>32</v>
      </c>
      <c r="L249" s="134" t="s">
        <v>1171</v>
      </c>
      <c r="M249" s="134" t="s">
        <v>795</v>
      </c>
      <c r="N249" s="134" t="s">
        <v>977</v>
      </c>
      <c r="O249" s="134"/>
      <c r="P249" s="134"/>
      <c r="Q249" s="134"/>
      <c r="R249" s="134"/>
      <c r="S249" s="134"/>
      <c r="T249" s="134"/>
      <c r="U249" s="134"/>
      <c r="V249" s="134"/>
      <c r="W249" s="134"/>
      <c r="X249" s="134"/>
    </row>
    <row r="250" spans="1:24" s="81" customFormat="1" ht="17.25" customHeight="1">
      <c r="A250" s="134" t="s">
        <v>920</v>
      </c>
      <c r="B250" s="134" t="s">
        <v>920</v>
      </c>
      <c r="C250" s="134" t="s">
        <v>952</v>
      </c>
      <c r="D250" s="134"/>
      <c r="E250" s="134"/>
      <c r="F250" s="134" t="s">
        <v>160</v>
      </c>
      <c r="G250" s="134" t="s">
        <v>1064</v>
      </c>
      <c r="H250" s="134" t="s">
        <v>202</v>
      </c>
      <c r="I250" s="134">
        <v>7</v>
      </c>
      <c r="J250" s="134">
        <v>0</v>
      </c>
      <c r="K250" s="134">
        <v>8</v>
      </c>
      <c r="L250" s="134" t="s">
        <v>1183</v>
      </c>
      <c r="M250" s="134" t="s">
        <v>795</v>
      </c>
      <c r="N250" s="134" t="s">
        <v>978</v>
      </c>
      <c r="O250" s="134"/>
      <c r="P250" s="134"/>
      <c r="Q250" s="134"/>
      <c r="R250" s="134"/>
      <c r="S250" s="134"/>
      <c r="T250" s="134"/>
      <c r="U250" s="134"/>
      <c r="V250" s="134"/>
      <c r="W250" s="134"/>
      <c r="X250" s="134"/>
    </row>
    <row r="251" spans="1:24" s="81" customFormat="1" ht="17.25" customHeight="1">
      <c r="A251" s="137" t="s">
        <v>921</v>
      </c>
      <c r="B251" s="137" t="s">
        <v>921</v>
      </c>
      <c r="C251" s="134" t="s">
        <v>953</v>
      </c>
      <c r="D251" s="134"/>
      <c r="E251" s="134"/>
      <c r="F251" s="134" t="s">
        <v>160</v>
      </c>
      <c r="G251" s="134" t="s">
        <v>1065</v>
      </c>
      <c r="H251" s="134" t="s">
        <v>202</v>
      </c>
      <c r="I251" s="134">
        <v>31</v>
      </c>
      <c r="J251" s="134">
        <v>0</v>
      </c>
      <c r="K251" s="134">
        <v>32</v>
      </c>
      <c r="L251" s="134" t="s">
        <v>1171</v>
      </c>
      <c r="M251" s="134" t="s">
        <v>795</v>
      </c>
      <c r="N251" s="134" t="s">
        <v>977</v>
      </c>
      <c r="O251" s="134"/>
      <c r="P251" s="134"/>
      <c r="Q251" s="134"/>
      <c r="R251" s="134"/>
      <c r="S251" s="134"/>
      <c r="T251" s="134"/>
      <c r="U251" s="134"/>
      <c r="V251" s="134"/>
      <c r="W251" s="134"/>
      <c r="X251" s="134"/>
    </row>
    <row r="252" spans="1:24" s="81" customFormat="1" ht="17.25" customHeight="1">
      <c r="A252" s="137" t="s">
        <v>922</v>
      </c>
      <c r="B252" s="137" t="s">
        <v>922</v>
      </c>
      <c r="C252" s="134" t="s">
        <v>954</v>
      </c>
      <c r="D252" s="134"/>
      <c r="E252" s="134"/>
      <c r="F252" s="134" t="s">
        <v>160</v>
      </c>
      <c r="G252" s="134" t="s">
        <v>1066</v>
      </c>
      <c r="H252" s="134" t="s">
        <v>793</v>
      </c>
      <c r="I252" s="134">
        <v>7</v>
      </c>
      <c r="J252" s="134">
        <v>0</v>
      </c>
      <c r="K252" s="134">
        <v>8</v>
      </c>
      <c r="L252" s="134" t="s">
        <v>1183</v>
      </c>
      <c r="M252" s="134" t="s">
        <v>795</v>
      </c>
      <c r="N252" s="134" t="s">
        <v>978</v>
      </c>
      <c r="O252" s="134"/>
      <c r="P252" s="134"/>
      <c r="Q252" s="134"/>
      <c r="R252" s="134"/>
      <c r="S252" s="134"/>
      <c r="T252" s="134"/>
      <c r="U252" s="134"/>
      <c r="V252" s="134"/>
      <c r="W252" s="134"/>
      <c r="X252" s="134"/>
    </row>
    <row r="253" spans="1:24" s="81" customFormat="1" ht="17.25" customHeight="1">
      <c r="A253" s="137" t="s">
        <v>923</v>
      </c>
      <c r="B253" s="137" t="s">
        <v>923</v>
      </c>
      <c r="C253" s="134" t="s">
        <v>955</v>
      </c>
      <c r="D253" s="134"/>
      <c r="E253" s="134"/>
      <c r="F253" s="134" t="s">
        <v>160</v>
      </c>
      <c r="G253" s="134" t="s">
        <v>1067</v>
      </c>
      <c r="H253" s="134" t="s">
        <v>793</v>
      </c>
      <c r="I253" s="134">
        <v>31</v>
      </c>
      <c r="J253" s="134">
        <v>0</v>
      </c>
      <c r="K253" s="134">
        <v>32</v>
      </c>
      <c r="L253" s="134" t="s">
        <v>1171</v>
      </c>
      <c r="M253" s="134" t="s">
        <v>795</v>
      </c>
      <c r="N253" s="134" t="s">
        <v>977</v>
      </c>
      <c r="O253" s="134"/>
      <c r="P253" s="134"/>
      <c r="Q253" s="134"/>
      <c r="R253" s="134"/>
      <c r="S253" s="134"/>
      <c r="T253" s="134"/>
      <c r="U253" s="134"/>
      <c r="V253" s="134"/>
      <c r="W253" s="134"/>
      <c r="X253" s="134"/>
    </row>
    <row r="254" spans="1:24" s="81" customFormat="1" ht="17.25" customHeight="1">
      <c r="A254" s="137" t="s">
        <v>924</v>
      </c>
      <c r="B254" s="137" t="s">
        <v>924</v>
      </c>
      <c r="C254" s="134" t="s">
        <v>956</v>
      </c>
      <c r="D254" s="134"/>
      <c r="E254" s="134"/>
      <c r="F254" s="134" t="s">
        <v>160</v>
      </c>
      <c r="G254" s="134" t="s">
        <v>1068</v>
      </c>
      <c r="H254" s="134" t="s">
        <v>793</v>
      </c>
      <c r="I254" s="134">
        <v>7</v>
      </c>
      <c r="J254" s="134">
        <v>0</v>
      </c>
      <c r="K254" s="134">
        <v>8</v>
      </c>
      <c r="L254" s="134" t="s">
        <v>1183</v>
      </c>
      <c r="M254" s="134" t="s">
        <v>795</v>
      </c>
      <c r="N254" s="134" t="s">
        <v>978</v>
      </c>
      <c r="O254" s="134"/>
      <c r="P254" s="134"/>
      <c r="Q254" s="134"/>
      <c r="R254" s="134"/>
      <c r="S254" s="134"/>
      <c r="T254" s="134"/>
      <c r="U254" s="134"/>
      <c r="V254" s="134"/>
      <c r="W254" s="134"/>
      <c r="X254" s="134"/>
    </row>
    <row r="255" spans="1:24" s="81" customFormat="1" ht="17.25" customHeight="1">
      <c r="A255" s="137" t="s">
        <v>925</v>
      </c>
      <c r="B255" s="137" t="s">
        <v>925</v>
      </c>
      <c r="C255" s="134" t="s">
        <v>957</v>
      </c>
      <c r="D255" s="134"/>
      <c r="E255" s="134"/>
      <c r="F255" s="134" t="s">
        <v>160</v>
      </c>
      <c r="G255" s="134" t="s">
        <v>1069</v>
      </c>
      <c r="H255" s="134" t="s">
        <v>793</v>
      </c>
      <c r="I255" s="134">
        <v>31</v>
      </c>
      <c r="J255" s="134">
        <v>0</v>
      </c>
      <c r="K255" s="134">
        <v>32</v>
      </c>
      <c r="L255" s="134" t="s">
        <v>1171</v>
      </c>
      <c r="M255" s="134" t="s">
        <v>795</v>
      </c>
      <c r="N255" s="134" t="s">
        <v>977</v>
      </c>
      <c r="O255" s="134"/>
      <c r="P255" s="134"/>
      <c r="Q255" s="134"/>
      <c r="R255" s="134"/>
      <c r="S255" s="134"/>
      <c r="T255" s="134"/>
      <c r="U255" s="134"/>
      <c r="V255" s="134"/>
      <c r="W255" s="134"/>
      <c r="X255" s="134"/>
    </row>
    <row r="256" spans="1:24" s="81" customFormat="1" ht="17.25" customHeight="1">
      <c r="A256" s="137" t="s">
        <v>926</v>
      </c>
      <c r="B256" s="137" t="s">
        <v>926</v>
      </c>
      <c r="C256" s="134" t="s">
        <v>958</v>
      </c>
      <c r="D256" s="134"/>
      <c r="E256" s="134"/>
      <c r="F256" s="134" t="s">
        <v>160</v>
      </c>
      <c r="G256" s="134" t="s">
        <v>1070</v>
      </c>
      <c r="H256" s="134" t="s">
        <v>793</v>
      </c>
      <c r="I256" s="134">
        <v>7</v>
      </c>
      <c r="J256" s="134">
        <v>0</v>
      </c>
      <c r="K256" s="134">
        <v>8</v>
      </c>
      <c r="L256" s="134" t="s">
        <v>1183</v>
      </c>
      <c r="M256" s="134" t="s">
        <v>795</v>
      </c>
      <c r="N256" s="134" t="s">
        <v>978</v>
      </c>
      <c r="O256" s="134"/>
      <c r="P256" s="134"/>
      <c r="Q256" s="134"/>
      <c r="R256" s="134"/>
      <c r="S256" s="134"/>
      <c r="T256" s="134"/>
      <c r="U256" s="134"/>
      <c r="V256" s="134"/>
      <c r="W256" s="134"/>
      <c r="X256" s="134"/>
    </row>
    <row r="257" spans="1:24" s="81" customFormat="1" ht="17.25" customHeight="1">
      <c r="A257" s="137" t="s">
        <v>927</v>
      </c>
      <c r="B257" s="137" t="s">
        <v>927</v>
      </c>
      <c r="C257" s="134" t="s">
        <v>959</v>
      </c>
      <c r="D257" s="134"/>
      <c r="E257" s="134"/>
      <c r="F257" s="134" t="s">
        <v>160</v>
      </c>
      <c r="G257" s="134" t="s">
        <v>1071</v>
      </c>
      <c r="H257" s="134" t="s">
        <v>793</v>
      </c>
      <c r="I257" s="134">
        <v>31</v>
      </c>
      <c r="J257" s="134">
        <v>0</v>
      </c>
      <c r="K257" s="134">
        <v>32</v>
      </c>
      <c r="L257" s="134" t="s">
        <v>1171</v>
      </c>
      <c r="M257" s="134" t="s">
        <v>795</v>
      </c>
      <c r="N257" s="134" t="s">
        <v>977</v>
      </c>
      <c r="O257" s="134"/>
      <c r="P257" s="134"/>
      <c r="Q257" s="134"/>
      <c r="R257" s="134"/>
      <c r="S257" s="134"/>
      <c r="T257" s="134"/>
      <c r="U257" s="134"/>
      <c r="V257" s="134"/>
      <c r="W257" s="134"/>
      <c r="X257" s="134"/>
    </row>
    <row r="258" spans="1:24" s="81" customFormat="1" ht="17.25" customHeight="1">
      <c r="A258" s="137" t="s">
        <v>928</v>
      </c>
      <c r="B258" s="137" t="s">
        <v>928</v>
      </c>
      <c r="C258" s="134" t="s">
        <v>960</v>
      </c>
      <c r="D258" s="134"/>
      <c r="E258" s="134"/>
      <c r="F258" s="134" t="s">
        <v>160</v>
      </c>
      <c r="G258" s="134" t="s">
        <v>1072</v>
      </c>
      <c r="H258" s="134" t="s">
        <v>793</v>
      </c>
      <c r="I258" s="134">
        <v>7</v>
      </c>
      <c r="J258" s="134">
        <v>0</v>
      </c>
      <c r="K258" s="134">
        <v>8</v>
      </c>
      <c r="L258" s="134" t="s">
        <v>1183</v>
      </c>
      <c r="M258" s="134" t="s">
        <v>795</v>
      </c>
      <c r="N258" s="134" t="s">
        <v>978</v>
      </c>
      <c r="O258" s="134"/>
      <c r="P258" s="134"/>
      <c r="Q258" s="134"/>
      <c r="R258" s="134"/>
      <c r="S258" s="134"/>
      <c r="T258" s="134"/>
      <c r="U258" s="134"/>
      <c r="V258" s="134"/>
      <c r="W258" s="134"/>
      <c r="X258" s="134"/>
    </row>
    <row r="259" spans="1:24" s="81" customFormat="1" ht="17.25" customHeight="1">
      <c r="A259" s="137" t="s">
        <v>929</v>
      </c>
      <c r="B259" s="137" t="s">
        <v>929</v>
      </c>
      <c r="C259" s="134" t="s">
        <v>961</v>
      </c>
      <c r="D259" s="134"/>
      <c r="E259" s="134"/>
      <c r="F259" s="134" t="s">
        <v>160</v>
      </c>
      <c r="G259" s="134" t="s">
        <v>1073</v>
      </c>
      <c r="H259" s="134" t="s">
        <v>202</v>
      </c>
      <c r="I259" s="134">
        <v>31</v>
      </c>
      <c r="J259" s="134">
        <v>0</v>
      </c>
      <c r="K259" s="134">
        <v>32</v>
      </c>
      <c r="L259" s="134" t="s">
        <v>1171</v>
      </c>
      <c r="M259" s="134" t="s">
        <v>795</v>
      </c>
      <c r="N259" s="134" t="s">
        <v>977</v>
      </c>
      <c r="O259" s="134"/>
      <c r="P259" s="134"/>
      <c r="Q259" s="134"/>
      <c r="R259" s="134"/>
      <c r="S259" s="134"/>
      <c r="T259" s="134"/>
      <c r="U259" s="134"/>
      <c r="V259" s="134"/>
      <c r="W259" s="134"/>
      <c r="X259" s="134"/>
    </row>
    <row r="260" spans="1:24" s="81" customFormat="1" ht="17.25" customHeight="1">
      <c r="A260" s="137" t="s">
        <v>930</v>
      </c>
      <c r="B260" s="137" t="s">
        <v>930</v>
      </c>
      <c r="C260" s="134" t="s">
        <v>962</v>
      </c>
      <c r="D260" s="134"/>
      <c r="E260" s="134"/>
      <c r="F260" s="134" t="s">
        <v>160</v>
      </c>
      <c r="G260" s="134" t="s">
        <v>1074</v>
      </c>
      <c r="H260" s="134" t="s">
        <v>202</v>
      </c>
      <c r="I260" s="134">
        <v>7</v>
      </c>
      <c r="J260" s="134">
        <v>0</v>
      </c>
      <c r="K260" s="134">
        <v>8</v>
      </c>
      <c r="L260" s="134" t="s">
        <v>1183</v>
      </c>
      <c r="M260" s="134" t="s">
        <v>795</v>
      </c>
      <c r="N260" s="134" t="s">
        <v>978</v>
      </c>
      <c r="O260" s="134"/>
      <c r="P260" s="134"/>
      <c r="Q260" s="134"/>
      <c r="R260" s="134"/>
      <c r="S260" s="134"/>
      <c r="T260" s="134"/>
      <c r="U260" s="134"/>
      <c r="V260" s="134"/>
      <c r="W260" s="134"/>
      <c r="X260" s="134"/>
    </row>
    <row r="261" spans="1:24" s="81" customFormat="1" ht="17.25" customHeight="1">
      <c r="A261" s="137" t="s">
        <v>931</v>
      </c>
      <c r="B261" s="137" t="s">
        <v>931</v>
      </c>
      <c r="C261" s="134" t="s">
        <v>963</v>
      </c>
      <c r="D261" s="134"/>
      <c r="E261" s="134"/>
      <c r="F261" s="134" t="s">
        <v>160</v>
      </c>
      <c r="G261" s="134" t="s">
        <v>1075</v>
      </c>
      <c r="H261" s="134" t="s">
        <v>202</v>
      </c>
      <c r="I261" s="134">
        <v>31</v>
      </c>
      <c r="J261" s="134">
        <v>0</v>
      </c>
      <c r="K261" s="134">
        <v>32</v>
      </c>
      <c r="L261" s="134" t="s">
        <v>1171</v>
      </c>
      <c r="M261" s="134" t="s">
        <v>795</v>
      </c>
      <c r="N261" s="134" t="s">
        <v>977</v>
      </c>
      <c r="O261" s="134"/>
      <c r="P261" s="134"/>
      <c r="Q261" s="134"/>
      <c r="R261" s="134"/>
      <c r="S261" s="134"/>
      <c r="T261" s="134"/>
      <c r="U261" s="134"/>
      <c r="V261" s="134"/>
      <c r="W261" s="134"/>
      <c r="X261" s="134"/>
    </row>
    <row r="262" spans="1:24" s="81" customFormat="1" ht="17.25" customHeight="1">
      <c r="A262" s="137" t="s">
        <v>932</v>
      </c>
      <c r="B262" s="137" t="s">
        <v>932</v>
      </c>
      <c r="C262" s="134" t="s">
        <v>964</v>
      </c>
      <c r="D262" s="134"/>
      <c r="E262" s="134"/>
      <c r="F262" s="134" t="s">
        <v>160</v>
      </c>
      <c r="G262" s="134" t="s">
        <v>1076</v>
      </c>
      <c r="H262" s="134" t="s">
        <v>793</v>
      </c>
      <c r="I262" s="134">
        <v>7</v>
      </c>
      <c r="J262" s="134">
        <v>0</v>
      </c>
      <c r="K262" s="134">
        <v>8</v>
      </c>
      <c r="L262" s="134" t="s">
        <v>1183</v>
      </c>
      <c r="M262" s="134" t="s">
        <v>795</v>
      </c>
      <c r="N262" s="134" t="s">
        <v>978</v>
      </c>
      <c r="O262" s="134"/>
      <c r="P262" s="134"/>
      <c r="Q262" s="134"/>
      <c r="R262" s="134"/>
      <c r="S262" s="134"/>
      <c r="T262" s="134"/>
      <c r="U262" s="134"/>
      <c r="V262" s="134"/>
      <c r="W262" s="134"/>
      <c r="X262" s="134"/>
    </row>
    <row r="263" spans="1:24" s="81" customFormat="1" ht="17.25" customHeight="1">
      <c r="A263" s="137" t="s">
        <v>933</v>
      </c>
      <c r="B263" s="137" t="s">
        <v>933</v>
      </c>
      <c r="C263" s="134" t="s">
        <v>965</v>
      </c>
      <c r="D263" s="134"/>
      <c r="E263" s="134"/>
      <c r="F263" s="134" t="s">
        <v>160</v>
      </c>
      <c r="G263" s="134" t="s">
        <v>1077</v>
      </c>
      <c r="H263" s="134" t="s">
        <v>793</v>
      </c>
      <c r="I263" s="134">
        <v>31</v>
      </c>
      <c r="J263" s="134">
        <v>0</v>
      </c>
      <c r="K263" s="134">
        <v>32</v>
      </c>
      <c r="L263" s="134" t="s">
        <v>1171</v>
      </c>
      <c r="M263" s="134" t="s">
        <v>795</v>
      </c>
      <c r="N263" s="134" t="s">
        <v>977</v>
      </c>
      <c r="O263" s="134"/>
      <c r="P263" s="134"/>
      <c r="Q263" s="134"/>
      <c r="R263" s="134"/>
      <c r="S263" s="134"/>
      <c r="T263" s="134"/>
      <c r="U263" s="134"/>
      <c r="V263" s="134"/>
      <c r="W263" s="134"/>
      <c r="X263" s="134"/>
    </row>
    <row r="264" spans="1:24" s="81" customFormat="1" ht="17.25" customHeight="1">
      <c r="A264" s="137" t="s">
        <v>934</v>
      </c>
      <c r="B264" s="137" t="s">
        <v>934</v>
      </c>
      <c r="C264" s="134" t="s">
        <v>966</v>
      </c>
      <c r="D264" s="134"/>
      <c r="E264" s="134"/>
      <c r="F264" s="134" t="s">
        <v>160</v>
      </c>
      <c r="G264" s="134" t="s">
        <v>1078</v>
      </c>
      <c r="H264" s="134" t="s">
        <v>793</v>
      </c>
      <c r="I264" s="134">
        <v>7</v>
      </c>
      <c r="J264" s="134">
        <v>0</v>
      </c>
      <c r="K264" s="134">
        <v>8</v>
      </c>
      <c r="L264" s="134" t="s">
        <v>1183</v>
      </c>
      <c r="M264" s="134" t="s">
        <v>795</v>
      </c>
      <c r="N264" s="134" t="s">
        <v>978</v>
      </c>
      <c r="O264" s="134"/>
      <c r="P264" s="134"/>
      <c r="Q264" s="134"/>
      <c r="R264" s="134"/>
      <c r="S264" s="134"/>
      <c r="T264" s="134"/>
      <c r="U264" s="134"/>
      <c r="V264" s="134"/>
      <c r="W264" s="134"/>
      <c r="X264" s="134"/>
    </row>
    <row r="265" spans="1:24" s="81" customFormat="1" ht="17.25" customHeight="1">
      <c r="A265" s="137" t="s">
        <v>935</v>
      </c>
      <c r="B265" s="137" t="s">
        <v>935</v>
      </c>
      <c r="C265" s="134" t="s">
        <v>967</v>
      </c>
      <c r="D265" s="134"/>
      <c r="E265" s="134"/>
      <c r="F265" s="134" t="s">
        <v>160</v>
      </c>
      <c r="G265" s="134" t="s">
        <v>1079</v>
      </c>
      <c r="H265" s="134" t="s">
        <v>793</v>
      </c>
      <c r="I265" s="134">
        <v>31</v>
      </c>
      <c r="J265" s="134">
        <v>0</v>
      </c>
      <c r="K265" s="134">
        <v>32</v>
      </c>
      <c r="L265" s="134" t="s">
        <v>1171</v>
      </c>
      <c r="M265" s="134" t="s">
        <v>795</v>
      </c>
      <c r="N265" s="134" t="s">
        <v>977</v>
      </c>
      <c r="O265" s="134"/>
      <c r="P265" s="134"/>
      <c r="Q265" s="134"/>
      <c r="R265" s="134"/>
      <c r="S265" s="134"/>
      <c r="T265" s="134"/>
      <c r="U265" s="134"/>
      <c r="V265" s="134"/>
      <c r="W265" s="134"/>
      <c r="X265" s="134"/>
    </row>
    <row r="266" spans="1:24" s="81" customFormat="1" ht="17.25" customHeight="1">
      <c r="A266" s="137" t="s">
        <v>936</v>
      </c>
      <c r="B266" s="137" t="s">
        <v>936</v>
      </c>
      <c r="C266" s="134" t="s">
        <v>968</v>
      </c>
      <c r="D266" s="134"/>
      <c r="E266" s="134"/>
      <c r="F266" s="134" t="s">
        <v>160</v>
      </c>
      <c r="G266" s="134" t="s">
        <v>1080</v>
      </c>
      <c r="H266" s="134" t="s">
        <v>793</v>
      </c>
      <c r="I266" s="134">
        <v>7</v>
      </c>
      <c r="J266" s="134">
        <v>0</v>
      </c>
      <c r="K266" s="134">
        <v>8</v>
      </c>
      <c r="L266" s="134" t="s">
        <v>1183</v>
      </c>
      <c r="M266" s="134" t="s">
        <v>795</v>
      </c>
      <c r="N266" s="134" t="s">
        <v>978</v>
      </c>
      <c r="O266" s="134"/>
      <c r="P266" s="134"/>
      <c r="Q266" s="134"/>
      <c r="R266" s="134"/>
      <c r="S266" s="134"/>
      <c r="T266" s="134"/>
      <c r="U266" s="134"/>
      <c r="V266" s="134"/>
      <c r="W266" s="134"/>
      <c r="X266" s="134"/>
    </row>
    <row r="267" spans="1:24" s="81" customFormat="1" ht="17.25" customHeight="1">
      <c r="A267" s="137" t="s">
        <v>937</v>
      </c>
      <c r="B267" s="137" t="s">
        <v>937</v>
      </c>
      <c r="C267" s="134" t="s">
        <v>969</v>
      </c>
      <c r="D267" s="134"/>
      <c r="E267" s="134"/>
      <c r="F267" s="134" t="s">
        <v>160</v>
      </c>
      <c r="G267" s="134" t="s">
        <v>1081</v>
      </c>
      <c r="H267" s="134" t="s">
        <v>793</v>
      </c>
      <c r="I267" s="134">
        <v>31</v>
      </c>
      <c r="J267" s="134">
        <v>0</v>
      </c>
      <c r="K267" s="134">
        <v>32</v>
      </c>
      <c r="L267" s="134" t="s">
        <v>1171</v>
      </c>
      <c r="M267" s="134" t="s">
        <v>795</v>
      </c>
      <c r="N267" s="134" t="s">
        <v>977</v>
      </c>
      <c r="O267" s="134"/>
      <c r="P267" s="134"/>
      <c r="Q267" s="134"/>
      <c r="R267" s="134"/>
      <c r="S267" s="134"/>
      <c r="T267" s="134"/>
      <c r="U267" s="134"/>
      <c r="V267" s="134"/>
      <c r="W267" s="134"/>
      <c r="X267" s="134"/>
    </row>
    <row r="268" spans="1:24" s="81" customFormat="1" ht="17.25" customHeight="1">
      <c r="A268" s="137" t="s">
        <v>938</v>
      </c>
      <c r="B268" s="137" t="s">
        <v>938</v>
      </c>
      <c r="C268" s="134" t="s">
        <v>970</v>
      </c>
      <c r="D268" s="134"/>
      <c r="E268" s="134"/>
      <c r="F268" s="134" t="s">
        <v>160</v>
      </c>
      <c r="G268" s="134" t="s">
        <v>1082</v>
      </c>
      <c r="H268" s="134" t="s">
        <v>793</v>
      </c>
      <c r="I268" s="134">
        <v>7</v>
      </c>
      <c r="J268" s="134">
        <v>0</v>
      </c>
      <c r="K268" s="134">
        <v>8</v>
      </c>
      <c r="L268" s="134" t="s">
        <v>1183</v>
      </c>
      <c r="M268" s="134" t="s">
        <v>795</v>
      </c>
      <c r="N268" s="134" t="s">
        <v>978</v>
      </c>
      <c r="O268" s="134"/>
      <c r="P268" s="134"/>
      <c r="Q268" s="134"/>
      <c r="R268" s="134"/>
      <c r="S268" s="134"/>
      <c r="T268" s="134"/>
      <c r="U268" s="134"/>
      <c r="V268" s="134"/>
      <c r="W268" s="134"/>
      <c r="X268" s="134"/>
    </row>
    <row r="269" spans="1:24" s="81" customFormat="1" ht="17.25" customHeight="1">
      <c r="A269" s="137" t="s">
        <v>939</v>
      </c>
      <c r="B269" s="137" t="s">
        <v>939</v>
      </c>
      <c r="C269" s="134" t="s">
        <v>971</v>
      </c>
      <c r="D269" s="134"/>
      <c r="E269" s="134"/>
      <c r="F269" s="134" t="s">
        <v>160</v>
      </c>
      <c r="G269" s="134" t="s">
        <v>1083</v>
      </c>
      <c r="H269" s="134" t="s">
        <v>202</v>
      </c>
      <c r="I269" s="134">
        <v>31</v>
      </c>
      <c r="J269" s="134">
        <v>0</v>
      </c>
      <c r="K269" s="134">
        <v>32</v>
      </c>
      <c r="L269" s="134" t="s">
        <v>1171</v>
      </c>
      <c r="M269" s="134" t="s">
        <v>795</v>
      </c>
      <c r="N269" s="134" t="s">
        <v>977</v>
      </c>
      <c r="O269" s="134"/>
      <c r="P269" s="134"/>
      <c r="Q269" s="134"/>
      <c r="R269" s="134"/>
      <c r="S269" s="134"/>
      <c r="T269" s="134"/>
      <c r="U269" s="134"/>
      <c r="V269" s="134"/>
      <c r="W269" s="134"/>
      <c r="X269" s="134"/>
    </row>
    <row r="270" spans="1:24" s="81" customFormat="1" ht="17.25" customHeight="1">
      <c r="A270" s="137" t="s">
        <v>940</v>
      </c>
      <c r="B270" s="137" t="s">
        <v>940</v>
      </c>
      <c r="C270" s="134" t="s">
        <v>972</v>
      </c>
      <c r="D270" s="134"/>
      <c r="E270" s="134"/>
      <c r="F270" s="134" t="s">
        <v>160</v>
      </c>
      <c r="G270" s="134" t="s">
        <v>1084</v>
      </c>
      <c r="H270" s="134" t="s">
        <v>202</v>
      </c>
      <c r="I270" s="134">
        <v>7</v>
      </c>
      <c r="J270" s="134">
        <v>0</v>
      </c>
      <c r="K270" s="134">
        <v>8</v>
      </c>
      <c r="L270" s="134" t="s">
        <v>1183</v>
      </c>
      <c r="M270" s="134" t="s">
        <v>795</v>
      </c>
      <c r="N270" s="134" t="s">
        <v>978</v>
      </c>
      <c r="O270" s="134"/>
      <c r="P270" s="134"/>
      <c r="Q270" s="134"/>
      <c r="R270" s="134"/>
      <c r="S270" s="134"/>
      <c r="T270" s="134"/>
      <c r="U270" s="134"/>
      <c r="V270" s="134"/>
      <c r="W270" s="134"/>
      <c r="X270" s="134"/>
    </row>
    <row r="271" spans="1:24" s="81" customFormat="1" ht="17.25" customHeight="1">
      <c r="A271" s="134" t="s">
        <v>942</v>
      </c>
      <c r="B271" s="134" t="s">
        <v>942</v>
      </c>
      <c r="C271" s="134" t="s">
        <v>973</v>
      </c>
      <c r="D271" s="134"/>
      <c r="E271" s="134"/>
      <c r="F271" s="134" t="s">
        <v>160</v>
      </c>
      <c r="G271" s="134" t="s">
        <v>1085</v>
      </c>
      <c r="H271" s="134" t="s">
        <v>202</v>
      </c>
      <c r="I271" s="134">
        <v>31</v>
      </c>
      <c r="J271" s="134">
        <v>0</v>
      </c>
      <c r="K271" s="134">
        <v>32</v>
      </c>
      <c r="L271" s="134" t="s">
        <v>1171</v>
      </c>
      <c r="M271" s="134" t="s">
        <v>795</v>
      </c>
      <c r="N271" s="134" t="s">
        <v>977</v>
      </c>
      <c r="O271" s="134"/>
      <c r="P271" s="134"/>
      <c r="Q271" s="134"/>
      <c r="R271" s="134"/>
      <c r="S271" s="134"/>
      <c r="T271" s="134"/>
      <c r="U271" s="134"/>
      <c r="V271" s="134"/>
      <c r="W271" s="134"/>
      <c r="X271" s="134"/>
    </row>
    <row r="272" spans="1:24" s="81" customFormat="1" ht="17.25" customHeight="1">
      <c r="A272" s="134" t="s">
        <v>941</v>
      </c>
      <c r="B272" s="134" t="s">
        <v>941</v>
      </c>
      <c r="C272" s="134" t="s">
        <v>974</v>
      </c>
      <c r="D272" s="134"/>
      <c r="E272" s="134"/>
      <c r="F272" s="134" t="s">
        <v>160</v>
      </c>
      <c r="G272" s="134" t="s">
        <v>1086</v>
      </c>
      <c r="H272" s="134" t="s">
        <v>793</v>
      </c>
      <c r="I272" s="134">
        <v>7</v>
      </c>
      <c r="J272" s="134">
        <v>0</v>
      </c>
      <c r="K272" s="134">
        <v>8</v>
      </c>
      <c r="L272" s="134" t="s">
        <v>1183</v>
      </c>
      <c r="M272" s="134" t="s">
        <v>795</v>
      </c>
      <c r="N272" s="134" t="s">
        <v>978</v>
      </c>
      <c r="O272" s="134"/>
      <c r="P272" s="134"/>
      <c r="Q272" s="134"/>
      <c r="R272" s="134"/>
      <c r="S272" s="134"/>
      <c r="T272" s="134"/>
      <c r="U272" s="134"/>
      <c r="V272" s="134"/>
      <c r="W272" s="134"/>
      <c r="X272" s="134"/>
    </row>
    <row r="273" spans="1:24" s="81" customFormat="1" ht="17.25" customHeight="1">
      <c r="A273" s="134" t="s">
        <v>1087</v>
      </c>
      <c r="B273" s="134" t="s">
        <v>1087</v>
      </c>
      <c r="C273" s="134" t="s">
        <v>1088</v>
      </c>
      <c r="D273" s="134"/>
      <c r="E273" s="134"/>
      <c r="F273" s="134" t="s">
        <v>160</v>
      </c>
      <c r="G273" s="134" t="s">
        <v>1089</v>
      </c>
      <c r="H273" s="134" t="s">
        <v>1090</v>
      </c>
      <c r="I273" s="134">
        <v>31</v>
      </c>
      <c r="J273" s="134">
        <v>0</v>
      </c>
      <c r="K273" s="134">
        <v>32</v>
      </c>
      <c r="L273" s="134" t="s">
        <v>794</v>
      </c>
      <c r="M273" s="134" t="s">
        <v>1091</v>
      </c>
      <c r="N273" s="138" t="s">
        <v>1092</v>
      </c>
      <c r="O273" s="138" t="s">
        <v>1191</v>
      </c>
      <c r="P273" s="134"/>
      <c r="Q273" s="134"/>
      <c r="R273" s="134"/>
      <c r="S273" s="134"/>
      <c r="T273" s="134"/>
      <c r="U273" s="134"/>
      <c r="V273" s="134"/>
      <c r="W273" s="134"/>
      <c r="X273" s="134"/>
    </row>
    <row r="274" spans="1:24" s="81" customFormat="1" ht="17.25" customHeight="1">
      <c r="A274" s="134" t="s">
        <v>1093</v>
      </c>
      <c r="B274" s="134" t="s">
        <v>1093</v>
      </c>
      <c r="C274" s="134" t="s">
        <v>1094</v>
      </c>
      <c r="D274" s="134"/>
      <c r="E274" s="134"/>
      <c r="F274" s="134" t="s">
        <v>160</v>
      </c>
      <c r="G274" s="134" t="s">
        <v>1095</v>
      </c>
      <c r="H274" s="134" t="s">
        <v>1090</v>
      </c>
      <c r="I274" s="134">
        <v>31</v>
      </c>
      <c r="J274" s="134">
        <v>0</v>
      </c>
      <c r="K274" s="134">
        <v>32</v>
      </c>
      <c r="L274" s="134" t="s">
        <v>1096</v>
      </c>
      <c r="M274" s="134" t="s">
        <v>1091</v>
      </c>
      <c r="N274" s="138" t="s">
        <v>1097</v>
      </c>
      <c r="O274" s="138" t="s">
        <v>1191</v>
      </c>
      <c r="P274" s="134"/>
      <c r="Q274" s="134"/>
      <c r="R274" s="134"/>
      <c r="S274" s="134"/>
      <c r="T274" s="134"/>
      <c r="U274" s="134"/>
      <c r="V274" s="134"/>
      <c r="W274" s="134"/>
      <c r="X274" s="134"/>
    </row>
    <row r="275" spans="1:24" s="81" customFormat="1">
      <c r="A275" s="134" t="s">
        <v>1110</v>
      </c>
      <c r="B275" s="134" t="s">
        <v>1110</v>
      </c>
      <c r="C275" s="134" t="s">
        <v>1111</v>
      </c>
      <c r="D275" s="134"/>
      <c r="E275" s="134"/>
      <c r="F275" s="134" t="s">
        <v>160</v>
      </c>
      <c r="G275" s="134" t="s">
        <v>1109</v>
      </c>
      <c r="H275" s="134" t="s">
        <v>1112</v>
      </c>
      <c r="I275" s="134">
        <v>31</v>
      </c>
      <c r="J275" s="134">
        <v>0</v>
      </c>
      <c r="K275" s="134">
        <v>32</v>
      </c>
      <c r="L275" s="134" t="s">
        <v>1113</v>
      </c>
      <c r="M275" s="134" t="s">
        <v>1114</v>
      </c>
      <c r="N275" s="135" t="s">
        <v>1115</v>
      </c>
      <c r="O275" s="138" t="s">
        <v>1191</v>
      </c>
      <c r="P275" s="134"/>
      <c r="Q275" s="134"/>
      <c r="R275" s="134"/>
      <c r="S275" s="134"/>
      <c r="T275" s="134"/>
      <c r="U275" s="134"/>
      <c r="V275" s="134"/>
      <c r="W275" s="134"/>
      <c r="X275" s="134"/>
    </row>
    <row r="276" spans="1:24" s="81" customFormat="1">
      <c r="A276" s="134" t="s">
        <v>1125</v>
      </c>
      <c r="B276" s="134" t="s">
        <v>1125</v>
      </c>
      <c r="C276" s="134" t="s">
        <v>1126</v>
      </c>
      <c r="D276" s="134"/>
      <c r="E276" s="134"/>
      <c r="F276" s="134" t="s">
        <v>160</v>
      </c>
      <c r="G276" s="134" t="s">
        <v>1127</v>
      </c>
      <c r="H276" s="134" t="s">
        <v>793</v>
      </c>
      <c r="I276" s="134">
        <v>3</v>
      </c>
      <c r="J276" s="134">
        <v>0</v>
      </c>
      <c r="K276" s="134">
        <v>4</v>
      </c>
      <c r="L276" s="134" t="s">
        <v>1128</v>
      </c>
      <c r="M276" s="134" t="s">
        <v>795</v>
      </c>
      <c r="N276" s="135" t="s">
        <v>1135</v>
      </c>
      <c r="O276" s="135"/>
      <c r="P276" s="134"/>
      <c r="Q276" s="134"/>
      <c r="R276" s="134"/>
      <c r="S276" s="134"/>
      <c r="T276" s="134"/>
      <c r="U276" s="134"/>
      <c r="V276" s="134"/>
      <c r="W276" s="134"/>
      <c r="X276" s="134"/>
    </row>
    <row r="277" spans="1:24" s="81" customFormat="1">
      <c r="A277" s="134"/>
      <c r="B277" s="134"/>
      <c r="C277" s="134"/>
      <c r="D277" s="134"/>
      <c r="E277" s="134"/>
      <c r="F277" s="134" t="s">
        <v>160</v>
      </c>
      <c r="G277" s="134" t="s">
        <v>1129</v>
      </c>
      <c r="H277" s="134" t="s">
        <v>793</v>
      </c>
      <c r="I277" s="134">
        <v>7</v>
      </c>
      <c r="J277" s="134">
        <v>4</v>
      </c>
      <c r="K277" s="134">
        <v>4</v>
      </c>
      <c r="L277" s="134" t="s">
        <v>1128</v>
      </c>
      <c r="M277" s="134" t="s">
        <v>795</v>
      </c>
      <c r="N277" s="135" t="s">
        <v>1134</v>
      </c>
      <c r="O277" s="135"/>
      <c r="P277" s="134"/>
      <c r="Q277" s="134"/>
      <c r="R277" s="134"/>
      <c r="S277" s="134"/>
      <c r="T277" s="134"/>
      <c r="U277" s="134"/>
      <c r="V277" s="134"/>
      <c r="W277" s="134"/>
      <c r="X277" s="134"/>
    </row>
    <row r="278" spans="1:24" s="81" customFormat="1">
      <c r="A278" s="134"/>
      <c r="B278" s="134"/>
      <c r="C278" s="134"/>
      <c r="D278" s="134"/>
      <c r="E278" s="134"/>
      <c r="F278" s="134" t="s">
        <v>160</v>
      </c>
      <c r="G278" s="134" t="s">
        <v>1130</v>
      </c>
      <c r="H278" s="134" t="s">
        <v>793</v>
      </c>
      <c r="I278" s="134">
        <v>8</v>
      </c>
      <c r="J278" s="134">
        <v>8</v>
      </c>
      <c r="K278" s="134">
        <v>1</v>
      </c>
      <c r="L278" s="134" t="s">
        <v>794</v>
      </c>
      <c r="M278" s="134" t="s">
        <v>795</v>
      </c>
      <c r="N278" s="135" t="s">
        <v>1138</v>
      </c>
      <c r="O278" s="135"/>
      <c r="P278" s="134"/>
      <c r="Q278" s="134"/>
      <c r="R278" s="134"/>
      <c r="S278" s="134"/>
      <c r="T278" s="134"/>
      <c r="U278" s="134"/>
      <c r="V278" s="134"/>
      <c r="W278" s="134"/>
      <c r="X278" s="134"/>
    </row>
    <row r="279" spans="1:24" s="81" customFormat="1">
      <c r="A279" s="134"/>
      <c r="B279" s="134"/>
      <c r="C279" s="134"/>
      <c r="D279" s="134"/>
      <c r="E279" s="134"/>
      <c r="F279" s="134" t="s">
        <v>160</v>
      </c>
      <c r="G279" s="134" t="s">
        <v>1131</v>
      </c>
      <c r="H279" s="134" t="s">
        <v>793</v>
      </c>
      <c r="I279" s="134">
        <v>12</v>
      </c>
      <c r="J279" s="134">
        <v>9</v>
      </c>
      <c r="K279" s="134">
        <v>4</v>
      </c>
      <c r="L279" s="134" t="s">
        <v>1128</v>
      </c>
      <c r="M279" s="134" t="s">
        <v>795</v>
      </c>
      <c r="N279" s="135" t="s">
        <v>1136</v>
      </c>
      <c r="O279" s="135"/>
      <c r="P279" s="134"/>
      <c r="Q279" s="134"/>
      <c r="R279" s="134"/>
      <c r="S279" s="134"/>
      <c r="T279" s="134"/>
      <c r="U279" s="134"/>
      <c r="V279" s="134"/>
      <c r="W279" s="134"/>
      <c r="X279" s="134"/>
    </row>
    <row r="280" spans="1:24" s="81" customFormat="1">
      <c r="A280" s="134"/>
      <c r="B280" s="134"/>
      <c r="C280" s="134"/>
      <c r="D280" s="134"/>
      <c r="E280" s="134"/>
      <c r="F280" s="134" t="s">
        <v>160</v>
      </c>
      <c r="G280" s="134" t="s">
        <v>1132</v>
      </c>
      <c r="H280" s="134" t="s">
        <v>793</v>
      </c>
      <c r="I280" s="134">
        <v>13</v>
      </c>
      <c r="J280" s="134">
        <v>13</v>
      </c>
      <c r="K280" s="134">
        <v>1</v>
      </c>
      <c r="L280" s="134" t="s">
        <v>794</v>
      </c>
      <c r="M280" s="134" t="s">
        <v>795</v>
      </c>
      <c r="N280" s="135" t="s">
        <v>1139</v>
      </c>
      <c r="O280" s="135"/>
      <c r="P280" s="134"/>
      <c r="Q280" s="134"/>
      <c r="R280" s="134"/>
      <c r="S280" s="134"/>
      <c r="T280" s="134"/>
      <c r="U280" s="134"/>
      <c r="V280" s="134"/>
      <c r="W280" s="134"/>
      <c r="X280" s="134"/>
    </row>
    <row r="281" spans="1:24" s="81" customFormat="1">
      <c r="A281" s="134"/>
      <c r="B281" s="134"/>
      <c r="C281" s="134"/>
      <c r="D281" s="134"/>
      <c r="E281" s="134"/>
      <c r="F281" s="134" t="s">
        <v>160</v>
      </c>
      <c r="G281" s="134" t="s">
        <v>1133</v>
      </c>
      <c r="H281" s="134" t="s">
        <v>793</v>
      </c>
      <c r="I281" s="134">
        <v>17</v>
      </c>
      <c r="J281" s="134">
        <v>14</v>
      </c>
      <c r="K281" s="134">
        <v>4</v>
      </c>
      <c r="L281" s="134" t="s">
        <v>1128</v>
      </c>
      <c r="M281" s="134" t="s">
        <v>795</v>
      </c>
      <c r="N281" s="135" t="s">
        <v>1137</v>
      </c>
      <c r="O281" s="135"/>
      <c r="P281" s="134"/>
      <c r="Q281" s="134"/>
      <c r="R281" s="134"/>
      <c r="S281" s="134"/>
      <c r="T281" s="134"/>
      <c r="U281" s="134"/>
      <c r="V281" s="134"/>
      <c r="W281" s="134"/>
      <c r="X281" s="134"/>
    </row>
    <row r="282" spans="1:24" s="81" customFormat="1">
      <c r="A282" s="134"/>
      <c r="B282" s="134"/>
      <c r="C282" s="134"/>
      <c r="D282" s="134"/>
      <c r="E282" s="134"/>
      <c r="F282" s="134" t="s">
        <v>160</v>
      </c>
      <c r="G282" s="134" t="s">
        <v>1245</v>
      </c>
      <c r="H282" s="134" t="s">
        <v>1246</v>
      </c>
      <c r="I282" s="134">
        <v>18</v>
      </c>
      <c r="J282" s="134">
        <v>18</v>
      </c>
      <c r="K282" s="134">
        <v>1</v>
      </c>
      <c r="L282" s="134" t="s">
        <v>1247</v>
      </c>
      <c r="M282" s="134" t="s">
        <v>1248</v>
      </c>
      <c r="N282" s="135" t="s">
        <v>1328</v>
      </c>
      <c r="O282" s="135"/>
      <c r="P282" s="134"/>
      <c r="Q282" s="134"/>
      <c r="R282" s="134"/>
      <c r="S282" s="134"/>
      <c r="T282" s="134"/>
      <c r="U282" s="134"/>
      <c r="V282" s="134"/>
      <c r="W282" s="134"/>
      <c r="X282" s="134"/>
    </row>
    <row r="283" spans="1:24" s="81" customFormat="1">
      <c r="A283" s="134"/>
      <c r="B283" s="134"/>
      <c r="C283" s="134"/>
      <c r="D283" s="134"/>
      <c r="E283" s="134"/>
      <c r="F283" s="134" t="s">
        <v>160</v>
      </c>
      <c r="G283" s="134" t="s">
        <v>1249</v>
      </c>
      <c r="H283" s="134" t="s">
        <v>1246</v>
      </c>
      <c r="I283" s="134">
        <v>20</v>
      </c>
      <c r="J283" s="134">
        <v>19</v>
      </c>
      <c r="K283" s="134">
        <v>2</v>
      </c>
      <c r="L283" s="134" t="s">
        <v>1250</v>
      </c>
      <c r="M283" s="134" t="s">
        <v>1248</v>
      </c>
      <c r="N283" s="135" t="s">
        <v>1329</v>
      </c>
      <c r="O283" s="135"/>
      <c r="P283" s="134"/>
      <c r="Q283" s="134"/>
      <c r="R283" s="134"/>
      <c r="S283" s="134"/>
      <c r="T283" s="134"/>
      <c r="U283" s="134"/>
      <c r="V283" s="134"/>
      <c r="W283" s="134"/>
      <c r="X283" s="134"/>
    </row>
    <row r="284" spans="1:24" s="81" customFormat="1">
      <c r="A284" s="134" t="s">
        <v>1145</v>
      </c>
      <c r="B284" s="134" t="s">
        <v>1145</v>
      </c>
      <c r="C284" s="134" t="s">
        <v>1144</v>
      </c>
      <c r="D284" s="134"/>
      <c r="E284" s="134"/>
      <c r="F284" s="134" t="s">
        <v>160</v>
      </c>
      <c r="G284" s="134" t="s">
        <v>1146</v>
      </c>
      <c r="H284" s="134" t="s">
        <v>1151</v>
      </c>
      <c r="I284" s="134">
        <v>0</v>
      </c>
      <c r="J284" s="134">
        <v>0</v>
      </c>
      <c r="K284" s="134">
        <v>1</v>
      </c>
      <c r="L284" s="134" t="s">
        <v>1152</v>
      </c>
      <c r="M284" s="134" t="s">
        <v>795</v>
      </c>
      <c r="N284" s="135"/>
      <c r="O284" s="135"/>
      <c r="P284" s="134"/>
      <c r="Q284" s="134"/>
      <c r="R284" s="134"/>
      <c r="S284" s="134"/>
      <c r="T284" s="134"/>
      <c r="U284" s="134"/>
      <c r="V284" s="134"/>
      <c r="W284" s="134"/>
      <c r="X284" s="134"/>
    </row>
    <row r="285" spans="1:24" s="81" customFormat="1">
      <c r="A285" s="134"/>
      <c r="B285" s="134"/>
      <c r="C285" s="134"/>
      <c r="D285" s="134"/>
      <c r="E285" s="134"/>
      <c r="F285" s="134" t="s">
        <v>160</v>
      </c>
      <c r="G285" s="134" t="s">
        <v>1147</v>
      </c>
      <c r="H285" s="134" t="s">
        <v>1151</v>
      </c>
      <c r="I285" s="134">
        <v>1</v>
      </c>
      <c r="J285" s="134">
        <v>1</v>
      </c>
      <c r="K285" s="134">
        <v>1</v>
      </c>
      <c r="L285" s="134" t="s">
        <v>1152</v>
      </c>
      <c r="M285" s="134" t="s">
        <v>795</v>
      </c>
      <c r="N285" s="135"/>
      <c r="O285" s="135"/>
      <c r="P285" s="134"/>
      <c r="Q285" s="134"/>
      <c r="R285" s="134"/>
      <c r="S285" s="134"/>
      <c r="T285" s="134"/>
      <c r="U285" s="134"/>
      <c r="V285" s="134"/>
      <c r="W285" s="134"/>
      <c r="X285" s="134"/>
    </row>
    <row r="286" spans="1:24" s="81" customFormat="1">
      <c r="A286" s="134"/>
      <c r="B286" s="134"/>
      <c r="C286" s="134"/>
      <c r="D286" s="134"/>
      <c r="E286" s="134"/>
      <c r="F286" s="134" t="s">
        <v>160</v>
      </c>
      <c r="G286" s="134" t="s">
        <v>1148</v>
      </c>
      <c r="H286" s="134" t="s">
        <v>1151</v>
      </c>
      <c r="I286" s="134">
        <v>9</v>
      </c>
      <c r="J286" s="134">
        <v>2</v>
      </c>
      <c r="K286" s="134">
        <v>8</v>
      </c>
      <c r="L286" s="134" t="s">
        <v>1143</v>
      </c>
      <c r="M286" s="134" t="s">
        <v>795</v>
      </c>
      <c r="N286" s="135"/>
      <c r="O286" s="135"/>
      <c r="P286" s="134"/>
      <c r="Q286" s="134"/>
      <c r="R286" s="134"/>
      <c r="S286" s="134"/>
      <c r="T286" s="134"/>
      <c r="U286" s="134"/>
      <c r="V286" s="134"/>
      <c r="W286" s="134"/>
      <c r="X286" s="134"/>
    </row>
    <row r="287" spans="1:24" s="81" customFormat="1">
      <c r="A287" s="134"/>
      <c r="B287" s="134"/>
      <c r="C287" s="134"/>
      <c r="D287" s="134"/>
      <c r="E287" s="134"/>
      <c r="F287" s="134" t="s">
        <v>160</v>
      </c>
      <c r="G287" s="134" t="s">
        <v>1149</v>
      </c>
      <c r="H287" s="134" t="s">
        <v>1151</v>
      </c>
      <c r="I287" s="134">
        <v>17</v>
      </c>
      <c r="J287" s="134">
        <v>10</v>
      </c>
      <c r="K287" s="134">
        <v>8</v>
      </c>
      <c r="L287" s="134" t="s">
        <v>1143</v>
      </c>
      <c r="M287" s="134" t="s">
        <v>795</v>
      </c>
      <c r="N287" s="135"/>
      <c r="O287" s="135"/>
      <c r="P287" s="134"/>
      <c r="Q287" s="134"/>
      <c r="R287" s="134"/>
      <c r="S287" s="134"/>
      <c r="T287" s="134"/>
      <c r="U287" s="134"/>
      <c r="V287" s="134"/>
      <c r="W287" s="134"/>
      <c r="X287" s="134"/>
    </row>
    <row r="288" spans="1:24" s="81" customFormat="1">
      <c r="A288" s="134"/>
      <c r="B288" s="134"/>
      <c r="C288" s="134"/>
      <c r="D288" s="134"/>
      <c r="E288" s="134"/>
      <c r="F288" s="134" t="s">
        <v>160</v>
      </c>
      <c r="G288" s="134" t="s">
        <v>1150</v>
      </c>
      <c r="H288" s="134" t="s">
        <v>1151</v>
      </c>
      <c r="I288" s="134">
        <v>25</v>
      </c>
      <c r="J288" s="134">
        <v>18</v>
      </c>
      <c r="K288" s="134">
        <v>8</v>
      </c>
      <c r="L288" s="134" t="s">
        <v>1143</v>
      </c>
      <c r="M288" s="134" t="s">
        <v>795</v>
      </c>
      <c r="N288" s="135"/>
      <c r="O288" s="135"/>
      <c r="P288" s="134"/>
      <c r="Q288" s="134"/>
      <c r="R288" s="134"/>
      <c r="S288" s="134"/>
      <c r="T288" s="134"/>
      <c r="U288" s="134"/>
      <c r="V288" s="134"/>
      <c r="W288" s="134"/>
      <c r="X288" s="134"/>
    </row>
    <row r="289" spans="1:24" s="81" customFormat="1">
      <c r="A289" s="134" t="s">
        <v>1166</v>
      </c>
      <c r="B289" s="134" t="s">
        <v>1166</v>
      </c>
      <c r="C289" s="134" t="s">
        <v>1164</v>
      </c>
      <c r="D289" s="134"/>
      <c r="E289" s="134"/>
      <c r="F289" s="134" t="s">
        <v>160</v>
      </c>
      <c r="G289" s="134" t="s">
        <v>1169</v>
      </c>
      <c r="H289" s="134" t="s">
        <v>1168</v>
      </c>
      <c r="I289" s="134">
        <v>31</v>
      </c>
      <c r="J289" s="134">
        <v>0</v>
      </c>
      <c r="K289" s="134">
        <v>32</v>
      </c>
      <c r="L289" s="134" t="s">
        <v>1171</v>
      </c>
      <c r="M289" s="134" t="s">
        <v>1172</v>
      </c>
      <c r="N289" s="135" t="s">
        <v>1330</v>
      </c>
      <c r="O289" s="135"/>
      <c r="P289" s="134"/>
      <c r="Q289" s="134"/>
      <c r="R289" s="134"/>
      <c r="S289" s="134"/>
      <c r="T289" s="134"/>
      <c r="U289" s="134"/>
      <c r="V289" s="134"/>
      <c r="W289" s="134"/>
      <c r="X289" s="134"/>
    </row>
    <row r="290" spans="1:24" s="81" customFormat="1">
      <c r="A290" s="134" t="s">
        <v>1167</v>
      </c>
      <c r="B290" s="134" t="s">
        <v>1167</v>
      </c>
      <c r="C290" s="134" t="s">
        <v>1165</v>
      </c>
      <c r="D290" s="134"/>
      <c r="E290" s="134"/>
      <c r="F290" s="134" t="s">
        <v>160</v>
      </c>
      <c r="G290" s="134" t="s">
        <v>1170</v>
      </c>
      <c r="H290" s="134" t="s">
        <v>1168</v>
      </c>
      <c r="I290" s="134">
        <v>31</v>
      </c>
      <c r="J290" s="134">
        <v>0</v>
      </c>
      <c r="K290" s="134">
        <v>32</v>
      </c>
      <c r="L290" s="134" t="s">
        <v>1171</v>
      </c>
      <c r="M290" s="134" t="s">
        <v>1172</v>
      </c>
      <c r="N290" s="135" t="s">
        <v>1331</v>
      </c>
      <c r="O290" s="135" t="s">
        <v>1188</v>
      </c>
      <c r="P290" s="134"/>
      <c r="Q290" s="134"/>
      <c r="R290" s="134"/>
      <c r="S290" s="134"/>
      <c r="T290" s="134"/>
      <c r="U290" s="134"/>
      <c r="V290" s="134"/>
      <c r="W290" s="134"/>
      <c r="X290" s="134"/>
    </row>
    <row r="291" spans="1:24" s="81" customFormat="1">
      <c r="A291" s="134" t="s">
        <v>1227</v>
      </c>
      <c r="B291" s="134" t="s">
        <v>1227</v>
      </c>
      <c r="C291" s="134" t="s">
        <v>1228</v>
      </c>
      <c r="D291" s="134"/>
      <c r="E291" s="134"/>
      <c r="F291" s="134" t="s">
        <v>160</v>
      </c>
      <c r="G291" s="147" t="s">
        <v>1229</v>
      </c>
      <c r="H291" s="134" t="s">
        <v>202</v>
      </c>
      <c r="I291" s="147">
        <v>9</v>
      </c>
      <c r="J291" s="147">
        <v>0</v>
      </c>
      <c r="K291" s="147">
        <v>10</v>
      </c>
      <c r="L291" s="134" t="s">
        <v>192</v>
      </c>
      <c r="M291" s="134" t="s">
        <v>200</v>
      </c>
      <c r="N291" s="134" t="s">
        <v>1226</v>
      </c>
      <c r="O291" s="134" t="s">
        <v>1191</v>
      </c>
      <c r="P291" s="134"/>
      <c r="Q291" s="134"/>
      <c r="R291" s="134"/>
      <c r="S291" s="134"/>
      <c r="T291" s="134"/>
      <c r="U291" s="134"/>
      <c r="V291" s="134"/>
      <c r="W291" s="134"/>
      <c r="X291" s="134"/>
    </row>
    <row r="292" spans="1:24" s="81" customFormat="1">
      <c r="A292" s="134"/>
      <c r="B292" s="134"/>
      <c r="C292" s="134"/>
      <c r="D292" s="134"/>
      <c r="E292" s="134"/>
      <c r="F292" s="134" t="s">
        <v>160</v>
      </c>
      <c r="G292" s="134" t="s">
        <v>1252</v>
      </c>
      <c r="H292" s="134" t="s">
        <v>1253</v>
      </c>
      <c r="I292" s="134">
        <v>31</v>
      </c>
      <c r="J292" s="134">
        <v>16</v>
      </c>
      <c r="K292" s="134">
        <v>16</v>
      </c>
      <c r="L292" s="134" t="s">
        <v>1256</v>
      </c>
      <c r="M292" s="134" t="s">
        <v>1254</v>
      </c>
      <c r="N292" s="134" t="s">
        <v>1332</v>
      </c>
      <c r="O292" s="134"/>
      <c r="P292" s="134"/>
      <c r="Q292" s="134"/>
      <c r="R292" s="134"/>
      <c r="S292" s="134"/>
      <c r="T292" s="134"/>
      <c r="U292" s="134"/>
      <c r="V292" s="134"/>
      <c r="W292" s="134"/>
      <c r="X292" s="134"/>
    </row>
    <row r="293" spans="1:24" s="81" customFormat="1">
      <c r="A293" s="134" t="s">
        <v>1277</v>
      </c>
      <c r="B293" s="134" t="s">
        <v>1277</v>
      </c>
      <c r="C293" s="134" t="s">
        <v>1272</v>
      </c>
      <c r="D293" s="134"/>
      <c r="E293" s="134"/>
      <c r="F293" s="134" t="s">
        <v>160</v>
      </c>
      <c r="G293" s="147" t="s">
        <v>1273</v>
      </c>
      <c r="H293" s="134" t="s">
        <v>202</v>
      </c>
      <c r="I293" s="147">
        <v>9</v>
      </c>
      <c r="J293" s="147">
        <v>0</v>
      </c>
      <c r="K293" s="147">
        <v>10</v>
      </c>
      <c r="L293" s="134" t="s">
        <v>192</v>
      </c>
      <c r="M293" s="134" t="s">
        <v>200</v>
      </c>
      <c r="N293" s="134" t="s">
        <v>1274</v>
      </c>
      <c r="O293" s="134" t="s">
        <v>1191</v>
      </c>
      <c r="P293" s="134"/>
      <c r="Q293" s="134"/>
      <c r="R293" s="134"/>
      <c r="S293" s="134"/>
      <c r="T293" s="134"/>
      <c r="U293" s="134"/>
      <c r="V293" s="134"/>
      <c r="W293" s="134"/>
      <c r="X293" s="134"/>
    </row>
    <row r="294" spans="1:24" s="81" customFormat="1">
      <c r="A294" s="134" t="s">
        <v>1270</v>
      </c>
      <c r="B294" s="134" t="s">
        <v>1270</v>
      </c>
      <c r="C294" s="134" t="s">
        <v>1275</v>
      </c>
      <c r="D294" s="134"/>
      <c r="E294" s="134"/>
      <c r="F294" s="134" t="s">
        <v>160</v>
      </c>
      <c r="G294" s="134" t="s">
        <v>1231</v>
      </c>
      <c r="H294" s="134" t="s">
        <v>202</v>
      </c>
      <c r="I294" s="134">
        <v>31</v>
      </c>
      <c r="J294" s="134">
        <v>0</v>
      </c>
      <c r="K294" s="134">
        <v>32</v>
      </c>
      <c r="L294" s="134" t="s">
        <v>192</v>
      </c>
      <c r="M294" s="134" t="s">
        <v>200</v>
      </c>
      <c r="N294" s="134" t="s">
        <v>1232</v>
      </c>
      <c r="O294" s="134"/>
      <c r="P294" s="134"/>
      <c r="Q294" s="134"/>
      <c r="R294" s="134"/>
      <c r="S294" s="134"/>
      <c r="T294" s="134"/>
      <c r="U294" s="134"/>
      <c r="V294" s="134"/>
      <c r="W294" s="134"/>
      <c r="X294" s="134"/>
    </row>
    <row r="295" spans="1:24" s="81" customFormat="1">
      <c r="A295" s="134" t="s">
        <v>1271</v>
      </c>
      <c r="B295" s="134" t="s">
        <v>1271</v>
      </c>
      <c r="C295" s="134" t="s">
        <v>1276</v>
      </c>
      <c r="D295" s="134"/>
      <c r="E295" s="134"/>
      <c r="F295" s="134" t="s">
        <v>160</v>
      </c>
      <c r="G295" s="134" t="s">
        <v>1233</v>
      </c>
      <c r="H295" s="134" t="s">
        <v>202</v>
      </c>
      <c r="I295" s="134">
        <v>31</v>
      </c>
      <c r="J295" s="134">
        <v>0</v>
      </c>
      <c r="K295" s="134">
        <v>32</v>
      </c>
      <c r="L295" s="134" t="s">
        <v>192</v>
      </c>
      <c r="M295" s="134" t="s">
        <v>209</v>
      </c>
      <c r="N295" s="134" t="s">
        <v>1232</v>
      </c>
      <c r="O295" s="134"/>
      <c r="P295" s="134"/>
      <c r="Q295" s="134"/>
      <c r="R295" s="134"/>
      <c r="S295" s="134"/>
      <c r="T295" s="134"/>
      <c r="U295" s="134"/>
      <c r="V295" s="134"/>
      <c r="W295" s="134"/>
      <c r="X295" s="134"/>
    </row>
    <row r="296" spans="1:24">
      <c r="A296" s="91" t="s">
        <v>531</v>
      </c>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row>
    <row r="297" spans="1:24">
      <c r="A297" s="132"/>
      <c r="B297" s="132"/>
      <c r="C297" s="132"/>
      <c r="D297" s="132"/>
      <c r="E297" s="132"/>
      <c r="F297" s="132"/>
      <c r="G297" s="132"/>
      <c r="H297" s="132"/>
      <c r="I297" s="132"/>
      <c r="J297" s="132"/>
      <c r="K297" s="132"/>
      <c r="L297" s="132"/>
      <c r="M297" s="139" t="s">
        <v>532</v>
      </c>
      <c r="N297" s="139" t="s">
        <v>533</v>
      </c>
      <c r="O297" s="140"/>
      <c r="P297" s="132"/>
      <c r="Q297" s="132"/>
      <c r="R297" s="132"/>
      <c r="S297" s="132"/>
      <c r="T297" s="132"/>
      <c r="U297" s="132"/>
      <c r="V297" s="132"/>
      <c r="W297" s="132"/>
      <c r="X297" s="132"/>
    </row>
    <row r="298" spans="1:24">
      <c r="A298" s="141"/>
      <c r="B298" s="132"/>
      <c r="C298" s="132"/>
      <c r="D298" s="132"/>
      <c r="E298" s="132"/>
      <c r="F298" s="132"/>
      <c r="G298" s="132"/>
      <c r="H298" s="132"/>
      <c r="I298" s="132"/>
      <c r="J298" s="132"/>
      <c r="K298" s="132"/>
      <c r="L298" s="132"/>
      <c r="M298" s="139" t="s">
        <v>209</v>
      </c>
      <c r="N298" s="139" t="s">
        <v>534</v>
      </c>
      <c r="O298" s="140"/>
      <c r="P298" s="132"/>
      <c r="Q298" s="132"/>
      <c r="R298" s="132"/>
      <c r="S298" s="132"/>
      <c r="T298" s="132"/>
      <c r="U298" s="132"/>
      <c r="V298" s="132"/>
      <c r="W298" s="132"/>
      <c r="X298" s="132"/>
    </row>
    <row r="299" spans="1:24">
      <c r="A299" s="141"/>
      <c r="B299" s="132"/>
      <c r="C299" s="132"/>
      <c r="D299" s="132"/>
      <c r="E299" s="132"/>
      <c r="F299" s="132"/>
      <c r="G299" s="132"/>
      <c r="H299" s="132"/>
      <c r="I299" s="132"/>
      <c r="J299" s="132"/>
      <c r="K299" s="132"/>
      <c r="L299" s="132"/>
      <c r="M299" s="139" t="s">
        <v>200</v>
      </c>
      <c r="N299" s="139" t="s">
        <v>535</v>
      </c>
      <c r="O299" s="140"/>
      <c r="P299" s="132"/>
      <c r="Q299" s="132"/>
      <c r="R299" s="132"/>
      <c r="S299" s="132"/>
      <c r="T299" s="132"/>
      <c r="U299" s="132"/>
      <c r="V299" s="132"/>
      <c r="W299" s="132"/>
      <c r="X299" s="132"/>
    </row>
    <row r="300" spans="1:24">
      <c r="A300" s="142" t="s">
        <v>536</v>
      </c>
      <c r="B300" s="143" t="s">
        <v>1333</v>
      </c>
      <c r="C300" s="132"/>
      <c r="D300" s="132"/>
      <c r="E300" s="132"/>
      <c r="F300" s="132"/>
      <c r="G300" s="132"/>
      <c r="H300" s="132"/>
      <c r="I300" s="132"/>
      <c r="J300" s="132"/>
      <c r="K300" s="132"/>
      <c r="L300" s="132"/>
      <c r="M300" s="139" t="s">
        <v>252</v>
      </c>
      <c r="N300" s="139" t="s">
        <v>537</v>
      </c>
      <c r="O300" s="140"/>
      <c r="P300" s="132"/>
      <c r="Q300" s="132"/>
      <c r="R300" s="132"/>
      <c r="S300" s="132"/>
      <c r="T300" s="132"/>
      <c r="U300" s="132"/>
      <c r="V300" s="132"/>
      <c r="W300" s="132"/>
      <c r="X300" s="132"/>
    </row>
    <row r="301" spans="1:24">
      <c r="A301" s="132"/>
      <c r="B301" s="144"/>
      <c r="C301" s="132"/>
      <c r="D301" s="132"/>
      <c r="E301" s="132"/>
      <c r="F301" s="132"/>
      <c r="G301" s="132"/>
      <c r="H301" s="132"/>
      <c r="I301" s="132"/>
      <c r="J301" s="132"/>
      <c r="K301" s="132"/>
      <c r="L301" s="132"/>
      <c r="M301" s="139" t="s">
        <v>195</v>
      </c>
      <c r="N301" s="139" t="s">
        <v>538</v>
      </c>
      <c r="O301" s="140"/>
      <c r="P301" s="132"/>
      <c r="Q301" s="132"/>
      <c r="R301" s="132"/>
      <c r="S301" s="132"/>
      <c r="T301" s="132"/>
      <c r="U301" s="132"/>
      <c r="V301" s="132"/>
      <c r="W301" s="132"/>
      <c r="X301" s="132"/>
    </row>
    <row r="302" spans="1:24">
      <c r="A302" s="82"/>
      <c r="B302" s="82"/>
      <c r="C302" s="132"/>
      <c r="D302" s="132"/>
      <c r="E302" s="132"/>
      <c r="F302" s="132"/>
      <c r="G302" s="132"/>
      <c r="H302" s="132"/>
      <c r="I302" s="132"/>
      <c r="J302" s="132"/>
      <c r="K302" s="132"/>
      <c r="L302" s="132"/>
      <c r="M302" s="139" t="s">
        <v>539</v>
      </c>
      <c r="N302" s="139" t="s">
        <v>540</v>
      </c>
      <c r="O302" s="140"/>
      <c r="P302" s="132"/>
      <c r="Q302" s="132"/>
      <c r="R302" s="132"/>
      <c r="S302" s="132"/>
      <c r="T302" s="132"/>
      <c r="U302" s="132"/>
      <c r="V302" s="132"/>
      <c r="W302" s="132"/>
      <c r="X302" s="132"/>
    </row>
    <row r="303" spans="1:24">
      <c r="A303" s="82"/>
      <c r="B303" s="82"/>
      <c r="C303" s="132"/>
      <c r="D303" s="132"/>
      <c r="E303" s="132"/>
      <c r="F303" s="132"/>
      <c r="G303" s="132"/>
      <c r="H303" s="132"/>
      <c r="I303" s="132"/>
      <c r="J303" s="132"/>
      <c r="K303" s="132"/>
      <c r="L303" s="132"/>
      <c r="M303" s="139" t="s">
        <v>541</v>
      </c>
      <c r="N303" s="145" t="s">
        <v>542</v>
      </c>
      <c r="O303" s="146"/>
      <c r="P303" s="132"/>
      <c r="Q303" s="132"/>
      <c r="R303" s="132"/>
      <c r="S303" s="132"/>
      <c r="T303" s="132"/>
      <c r="U303" s="132"/>
      <c r="V303" s="132"/>
      <c r="W303" s="132"/>
      <c r="X303" s="132"/>
    </row>
    <row r="304" spans="1:24">
      <c r="A304" s="82"/>
      <c r="B304" s="82"/>
      <c r="C304" s="132"/>
      <c r="D304" s="132"/>
      <c r="E304" s="132"/>
      <c r="F304" s="132"/>
      <c r="G304" s="132"/>
      <c r="H304" s="132"/>
      <c r="I304" s="132"/>
      <c r="J304" s="132"/>
      <c r="K304" s="132"/>
      <c r="L304" s="132"/>
      <c r="M304" s="139" t="s">
        <v>198</v>
      </c>
      <c r="N304" s="139" t="s">
        <v>543</v>
      </c>
      <c r="O304" s="140"/>
      <c r="P304" s="132"/>
      <c r="Q304" s="132"/>
      <c r="R304" s="132"/>
      <c r="S304" s="132"/>
      <c r="T304" s="132"/>
      <c r="U304" s="132"/>
      <c r="V304" s="132"/>
      <c r="W304" s="132"/>
      <c r="X304" s="132"/>
    </row>
    <row r="305" spans="1:24">
      <c r="A305" s="82"/>
      <c r="B305" s="82"/>
      <c r="C305" s="132"/>
      <c r="D305" s="132"/>
      <c r="E305" s="132"/>
      <c r="F305" s="132"/>
      <c r="G305" s="132"/>
      <c r="H305" s="132"/>
      <c r="I305" s="132"/>
      <c r="J305" s="132"/>
      <c r="K305" s="132"/>
      <c r="L305" s="132"/>
      <c r="M305" s="139" t="s">
        <v>544</v>
      </c>
      <c r="N305" s="145" t="s">
        <v>542</v>
      </c>
      <c r="O305" s="146"/>
      <c r="P305" s="132"/>
      <c r="Q305" s="132"/>
      <c r="R305" s="132"/>
      <c r="S305" s="132"/>
      <c r="T305" s="132"/>
      <c r="U305" s="132"/>
      <c r="V305" s="132"/>
      <c r="W305" s="132"/>
      <c r="X305" s="132"/>
    </row>
    <row r="306" spans="1:24">
      <c r="A306" s="82"/>
      <c r="B306" s="82"/>
      <c r="C306" s="132"/>
      <c r="D306" s="132"/>
      <c r="E306" s="132"/>
      <c r="F306" s="132"/>
      <c r="G306" s="132"/>
      <c r="H306" s="132"/>
      <c r="I306" s="132"/>
      <c r="J306" s="132"/>
      <c r="K306" s="132"/>
      <c r="L306" s="132"/>
      <c r="M306" s="139" t="s">
        <v>545</v>
      </c>
      <c r="N306" s="145" t="s">
        <v>542</v>
      </c>
      <c r="O306" s="146"/>
      <c r="P306" s="132"/>
      <c r="Q306" s="132"/>
      <c r="R306" s="132"/>
      <c r="S306" s="132"/>
      <c r="T306" s="132"/>
      <c r="U306" s="132"/>
      <c r="V306" s="132"/>
      <c r="W306" s="132"/>
      <c r="X306" s="132"/>
    </row>
    <row r="307" spans="1:24">
      <c r="C307" s="90"/>
      <c r="D307" s="90"/>
      <c r="E307" s="90"/>
      <c r="F307" s="90"/>
      <c r="G307" s="90"/>
      <c r="H307" s="90"/>
      <c r="I307" s="90"/>
      <c r="J307" s="90"/>
      <c r="K307" s="90"/>
      <c r="L307" s="90"/>
      <c r="M307" s="90"/>
      <c r="N307" s="90"/>
      <c r="O307" s="90"/>
      <c r="P307" s="90"/>
      <c r="Q307" s="90"/>
      <c r="R307" s="90"/>
      <c r="S307" s="90"/>
      <c r="T307" s="90"/>
      <c r="U307" s="90"/>
      <c r="V307" s="90"/>
      <c r="W307" s="90"/>
      <c r="X307" s="90"/>
    </row>
    <row r="308" spans="1:24">
      <c r="A308" s="90"/>
      <c r="B308" s="90"/>
      <c r="C308" s="90"/>
      <c r="D308" s="90"/>
      <c r="E308" s="90"/>
      <c r="F308" s="90"/>
      <c r="G308" s="90"/>
      <c r="H308" s="90"/>
      <c r="I308" s="90"/>
      <c r="J308" s="90"/>
      <c r="K308" s="90"/>
      <c r="L308" s="90"/>
      <c r="M308" s="95" t="s">
        <v>546</v>
      </c>
      <c r="N308" s="96"/>
      <c r="O308" s="117"/>
      <c r="P308" s="90"/>
      <c r="Q308" s="90"/>
      <c r="R308" s="90"/>
      <c r="S308" s="90"/>
      <c r="T308" s="90"/>
      <c r="U308" s="90"/>
      <c r="V308" s="90"/>
      <c r="W308" s="90"/>
      <c r="X308" s="90"/>
    </row>
    <row r="309" spans="1:24">
      <c r="A309" s="90"/>
      <c r="B309" s="90"/>
      <c r="C309" s="90"/>
      <c r="D309" s="90"/>
      <c r="E309" s="90"/>
      <c r="F309" s="90"/>
      <c r="G309" s="90"/>
      <c r="H309" s="90"/>
      <c r="I309" s="90"/>
      <c r="J309" s="90"/>
      <c r="K309" s="90"/>
      <c r="L309" s="90"/>
      <c r="M309" s="95" t="s">
        <v>73</v>
      </c>
      <c r="N309" s="97" t="s">
        <v>547</v>
      </c>
      <c r="O309" s="53"/>
      <c r="P309" s="90"/>
      <c r="Q309" s="90"/>
      <c r="R309" s="90"/>
      <c r="S309" s="90"/>
      <c r="T309" s="90"/>
      <c r="U309" s="90"/>
      <c r="V309" s="90"/>
      <c r="W309" s="90"/>
      <c r="X309" s="90"/>
    </row>
    <row r="310" spans="1:24">
      <c r="A310" s="90"/>
      <c r="B310" s="90"/>
      <c r="C310" s="90"/>
      <c r="D310" s="90"/>
      <c r="E310" s="90"/>
      <c r="F310" s="90"/>
      <c r="G310" s="90"/>
      <c r="H310" s="90"/>
      <c r="I310" s="90"/>
      <c r="J310" s="90"/>
      <c r="K310" s="90"/>
      <c r="L310" s="90"/>
      <c r="M310" s="95" t="s">
        <v>88</v>
      </c>
      <c r="N310" s="97" t="s">
        <v>548</v>
      </c>
      <c r="O310" s="53"/>
      <c r="P310" s="90"/>
      <c r="Q310" s="90"/>
      <c r="R310" s="90"/>
      <c r="S310" s="90"/>
      <c r="T310" s="90"/>
      <c r="U310" s="90"/>
      <c r="V310" s="90"/>
      <c r="W310" s="90"/>
      <c r="X310" s="90"/>
    </row>
    <row r="311" spans="1:24">
      <c r="A311" s="90"/>
      <c r="B311" s="90"/>
      <c r="C311" s="90"/>
      <c r="D311" s="90"/>
      <c r="E311" s="90"/>
      <c r="F311" s="90"/>
      <c r="G311" s="90"/>
      <c r="H311" s="90"/>
      <c r="I311" s="90"/>
      <c r="J311" s="90"/>
      <c r="K311" s="90"/>
      <c r="L311" s="90"/>
      <c r="M311" s="95" t="s">
        <v>549</v>
      </c>
      <c r="N311" s="97" t="s">
        <v>550</v>
      </c>
      <c r="O311" s="53"/>
      <c r="P311" s="90"/>
      <c r="Q311" s="90"/>
      <c r="R311" s="90"/>
      <c r="S311" s="90"/>
      <c r="T311" s="90"/>
      <c r="U311" s="90"/>
      <c r="V311" s="90"/>
      <c r="W311" s="90"/>
      <c r="X311" s="90"/>
    </row>
    <row r="312" spans="1:24">
      <c r="A312" s="90"/>
      <c r="B312" s="90"/>
      <c r="C312" s="90"/>
      <c r="D312" s="90"/>
      <c r="E312" s="90"/>
      <c r="F312" s="90"/>
      <c r="G312" s="90"/>
      <c r="H312" s="90"/>
      <c r="I312" s="90"/>
      <c r="J312" s="90"/>
      <c r="K312" s="90"/>
      <c r="L312" s="90"/>
      <c r="M312" s="95" t="s">
        <v>551</v>
      </c>
      <c r="N312" s="97" t="s">
        <v>552</v>
      </c>
      <c r="O312" s="53"/>
      <c r="P312" s="90"/>
      <c r="Q312" s="90"/>
      <c r="R312" s="90"/>
      <c r="S312" s="90"/>
      <c r="T312" s="90"/>
      <c r="U312" s="90"/>
      <c r="V312" s="90"/>
      <c r="W312" s="90"/>
      <c r="X312" s="90"/>
    </row>
    <row r="313" spans="1:24">
      <c r="A313" s="90"/>
      <c r="B313" s="90"/>
      <c r="C313" s="90"/>
      <c r="D313" s="90"/>
      <c r="E313" s="90"/>
      <c r="F313" s="90"/>
      <c r="G313" s="90"/>
      <c r="H313" s="90"/>
      <c r="I313" s="90"/>
      <c r="J313" s="90"/>
      <c r="K313" s="90"/>
      <c r="L313" s="90"/>
      <c r="M313" s="95" t="s">
        <v>553</v>
      </c>
      <c r="N313" s="97" t="s">
        <v>554</v>
      </c>
      <c r="O313" s="53"/>
      <c r="P313" s="90"/>
      <c r="Q313" s="90"/>
      <c r="R313" s="90"/>
      <c r="S313" s="90"/>
      <c r="T313" s="90"/>
      <c r="U313" s="90"/>
      <c r="V313" s="90"/>
      <c r="W313" s="90"/>
      <c r="X313" s="90"/>
    </row>
    <row r="314" spans="1:24">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row>
    <row r="315" spans="1:24">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row>
    <row r="316" spans="1:24">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row>
    <row r="317" spans="1:24">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row>
    <row r="318" spans="1:24">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row>
    <row r="319" spans="1:24">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row>
    <row r="320" spans="1:24">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row>
    <row r="321" spans="1:24">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row>
    <row r="322" spans="1:24">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row>
    <row r="323" spans="1:24">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row>
    <row r="324" spans="1:24">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row>
    <row r="325" spans="1:24">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row>
    <row r="326" spans="1:24">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row>
    <row r="327" spans="1:24">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row>
    <row r="328" spans="1:24">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row>
    <row r="329" spans="1:24">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row>
    <row r="330" spans="1:24">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row>
    <row r="331" spans="1:24">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row>
    <row r="332" spans="1:24">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row>
    <row r="333" spans="1:24">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row>
    <row r="334" spans="1:24">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row>
    <row r="335" spans="1:24">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row>
    <row r="336" spans="1:24">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row>
    <row r="337" spans="1:24">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row>
    <row r="338" spans="1:24">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row>
    <row r="339" spans="1:24">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row>
    <row r="340" spans="1:24">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row>
    <row r="341" spans="1:24">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row>
    <row r="342" spans="1:24">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row>
    <row r="343" spans="1:24">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row>
    <row r="344" spans="1:24">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row>
    <row r="345" spans="1:24">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row>
    <row r="346" spans="1:24">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row>
    <row r="347" spans="1:24">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row>
    <row r="348" spans="1:24">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row>
    <row r="349" spans="1:24">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row>
    <row r="350" spans="1:24">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row>
    <row r="351" spans="1:24">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row>
    <row r="352" spans="1:24">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row>
    <row r="353" spans="1:24">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row>
    <row r="354" spans="1:24">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row>
    <row r="355" spans="1:24">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row>
    <row r="356" spans="1:24">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row>
    <row r="357" spans="1:24">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row>
    <row r="358" spans="1:24">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row>
    <row r="359" spans="1:24">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row>
    <row r="360" spans="1:24">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row>
    <row r="361" spans="1:24">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row>
    <row r="362" spans="1:24">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row>
    <row r="363" spans="1:24">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row>
    <row r="364" spans="1:24">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row>
    <row r="365" spans="1:24">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row>
    <row r="366" spans="1:24">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row>
    <row r="367" spans="1:24">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row>
    <row r="368" spans="1:24">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row>
    <row r="369" spans="1:24">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row>
    <row r="370" spans="1:24">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row>
    <row r="371" spans="1:24">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row>
    <row r="372" spans="1:24">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row>
    <row r="373" spans="1:24">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row>
    <row r="374" spans="1:24">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row>
    <row r="375" spans="1:24">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row>
    <row r="376" spans="1:24">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row>
    <row r="377" spans="1:24">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row>
    <row r="378" spans="1:24">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row>
    <row r="379" spans="1:24">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row>
    <row r="380" spans="1:24">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row>
    <row r="381" spans="1:24">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row>
    <row r="382" spans="1:24">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row>
    <row r="383" spans="1:24">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row>
    <row r="384" spans="1:24">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row>
    <row r="385" spans="1:24">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row>
    <row r="386" spans="1:24">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row>
    <row r="387" spans="1:24">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row>
    <row r="388" spans="1:24">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row>
    <row r="389" spans="1:24">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row>
    <row r="390" spans="1:24">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row>
    <row r="391" spans="1:24">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row>
    <row r="392" spans="1:24">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row>
    <row r="393" spans="1:24">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row>
    <row r="394" spans="1:24">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row>
    <row r="395" spans="1:24">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row>
    <row r="396" spans="1:24">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row>
    <row r="397" spans="1:24">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row>
    <row r="398" spans="1:24">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row>
    <row r="399" spans="1:24">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row>
    <row r="400" spans="1:24">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row>
    <row r="401" spans="1:24">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row>
    <row r="402" spans="1:24">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row>
    <row r="403" spans="1:24">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row>
    <row r="404" spans="1:24">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row>
    <row r="405" spans="1:24">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row>
    <row r="406" spans="1:24">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row>
    <row r="407" spans="1:24">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row>
    <row r="408" spans="1:24">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row>
    <row r="409" spans="1:24">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row>
    <row r="410" spans="1:24">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row>
    <row r="411" spans="1:24">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row>
    <row r="412" spans="1:24">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row>
    <row r="413" spans="1:24">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row>
    <row r="414" spans="1:24">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row>
    <row r="415" spans="1:24">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row>
    <row r="416" spans="1:24">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row>
    <row r="417" spans="1:24">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row>
    <row r="418" spans="1:24">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row>
    <row r="419" spans="1:24">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row>
    <row r="420" spans="1:24">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row>
    <row r="421" spans="1:24">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row>
    <row r="422" spans="1:24">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row>
    <row r="423" spans="1:24">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row>
    <row r="424" spans="1:24">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row>
    <row r="425" spans="1:24">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row>
    <row r="426" spans="1:24">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row>
    <row r="427" spans="1:24">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row>
    <row r="428" spans="1:24">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row>
    <row r="429" spans="1:24">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row>
    <row r="430" spans="1:24">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row>
    <row r="431" spans="1:24">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row>
    <row r="432" spans="1:24">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row>
    <row r="433" spans="1:24">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row>
    <row r="434" spans="1:24">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row>
    <row r="435" spans="1:24">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row>
    <row r="436" spans="1:24">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row>
    <row r="437" spans="1:24">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row>
    <row r="438" spans="1:24">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row>
    <row r="439" spans="1:24">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row>
    <row r="440" spans="1:24">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row>
    <row r="441" spans="1:24">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row>
    <row r="442" spans="1:24">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row>
    <row r="443" spans="1:24">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row>
    <row r="444" spans="1:24">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row>
    <row r="445" spans="1:24">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row>
    <row r="446" spans="1:24">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row>
    <row r="447" spans="1:24">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row>
    <row r="448" spans="1:24">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row>
    <row r="449" spans="1:24">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row>
    <row r="450" spans="1:24">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row>
    <row r="451" spans="1:24">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row>
    <row r="452" spans="1:24">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row>
    <row r="453" spans="1:24">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row>
    <row r="454" spans="1:24">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row>
    <row r="455" spans="1:24">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row>
    <row r="456" spans="1:24">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row>
    <row r="457" spans="1:24">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row>
    <row r="458" spans="1:24">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row>
    <row r="459" spans="1:24">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row>
    <row r="460" spans="1:24">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row>
    <row r="461" spans="1:24">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row>
    <row r="462" spans="1:24">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row>
    <row r="463" spans="1:24">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row>
    <row r="464" spans="1:24">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row>
    <row r="465" spans="1:24">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row>
    <row r="466" spans="1:24">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row>
    <row r="467" spans="1:24">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row>
    <row r="468" spans="1:24">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row>
    <row r="469" spans="1:24">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row>
    <row r="470" spans="1:24">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row>
    <row r="471" spans="1:24">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row>
    <row r="472" spans="1:24">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row>
    <row r="473" spans="1:24">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row>
    <row r="474" spans="1:24">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row>
    <row r="475" spans="1:24">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row>
    <row r="476" spans="1:24">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row>
    <row r="477" spans="1:24">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row>
    <row r="478" spans="1:24">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row>
    <row r="479" spans="1:24">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row>
    <row r="480" spans="1:24">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row>
    <row r="481" spans="1:24">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row>
    <row r="482" spans="1:24">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row>
    <row r="483" spans="1:24">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row>
    <row r="484" spans="1:24">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row>
    <row r="485" spans="1:24">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row>
    <row r="486" spans="1:24">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row>
    <row r="487" spans="1:24">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row>
    <row r="488" spans="1:24">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row>
    <row r="489" spans="1:24">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row>
    <row r="490" spans="1:24">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row>
    <row r="491" spans="1:24">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row>
    <row r="492" spans="1:24">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row>
    <row r="493" spans="1:24">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row>
    <row r="494" spans="1:24">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row>
    <row r="495" spans="1:24">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row>
    <row r="496" spans="1:24">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row>
    <row r="497" spans="1:24">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row>
    <row r="498" spans="1:24">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row>
    <row r="499" spans="1:24">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row>
    <row r="500" spans="1:24">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row>
    <row r="501" spans="1:24">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row>
    <row r="502" spans="1:24">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row>
    <row r="503" spans="1:24">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row>
    <row r="504" spans="1:24">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row>
    <row r="505" spans="1:24">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row>
    <row r="506" spans="1:24">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row>
    <row r="507" spans="1:24">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row>
    <row r="508" spans="1:24">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row>
    <row r="509" spans="1:24">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row>
    <row r="510" spans="1:24">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row>
    <row r="511" spans="1:24">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row>
    <row r="512" spans="1:24">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row>
    <row r="513" spans="1:24">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row>
    <row r="514" spans="1:24">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row>
    <row r="515" spans="1:24">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row>
    <row r="516" spans="1:24">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row>
    <row r="517" spans="1:24">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row>
    <row r="518" spans="1:24">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row>
    <row r="519" spans="1:24">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row>
    <row r="520" spans="1:24">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row>
    <row r="521" spans="1:24">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row>
    <row r="522" spans="1:24">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row>
    <row r="523" spans="1:24">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row>
    <row r="524" spans="1:24">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row>
    <row r="525" spans="1:24">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row>
    <row r="526" spans="1:24">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row>
    <row r="527" spans="1:24">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row>
    <row r="528" spans="1:24">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row>
    <row r="529" spans="1:24">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row>
    <row r="530" spans="1:24">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row>
    <row r="531" spans="1:24">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row>
    <row r="532" spans="1:24">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row>
    <row r="533" spans="1:24">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row>
    <row r="534" spans="1:24">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row>
    <row r="535" spans="1:24">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row>
    <row r="536" spans="1:24">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row>
    <row r="537" spans="1:24">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row>
    <row r="538" spans="1:24">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row>
    <row r="539" spans="1:24">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row>
    <row r="540" spans="1:24">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row>
    <row r="541" spans="1:24">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row>
    <row r="542" spans="1:24">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row>
    <row r="543" spans="1:24">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row>
    <row r="544" spans="1:24">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row>
    <row r="545" spans="1:24">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row>
    <row r="546" spans="1:24">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row>
    <row r="547" spans="1:24">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row>
    <row r="548" spans="1:24">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row>
    <row r="549" spans="1:24">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row>
    <row r="550" spans="1:24">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row>
    <row r="551" spans="1:24">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row>
    <row r="552" spans="1:24">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row>
    <row r="553" spans="1:24">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row>
    <row r="554" spans="1:24">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row>
    <row r="555" spans="1:24">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row>
    <row r="556" spans="1:24">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row>
    <row r="557" spans="1:24">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row>
    <row r="558" spans="1:24">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row>
    <row r="559" spans="1:24">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row>
    <row r="560" spans="1:24">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row>
    <row r="561" spans="1:24">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row>
    <row r="562" spans="1:24">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row>
    <row r="563" spans="1:24">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row>
    <row r="564" spans="1:24">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row>
    <row r="565" spans="1:24">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row>
    <row r="566" spans="1:24">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row>
    <row r="567" spans="1:24">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row>
    <row r="568" spans="1:24">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row>
    <row r="569" spans="1:24">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row>
    <row r="570" spans="1:24">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row>
    <row r="571" spans="1:24">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row>
    <row r="572" spans="1:24">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row>
    <row r="573" spans="1:24">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row>
    <row r="574" spans="1:24">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row>
    <row r="575" spans="1:24">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row>
    <row r="576" spans="1:24">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row>
    <row r="577" spans="1:24">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row>
    <row r="578" spans="1:24">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row>
    <row r="579" spans="1:24">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row>
    <row r="580" spans="1:24">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row>
    <row r="581" spans="1:24">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row>
    <row r="582" spans="1:24">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row>
    <row r="583" spans="1:24">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row>
    <row r="584" spans="1:24">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row>
    <row r="585" spans="1:24">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row>
    <row r="586" spans="1:24">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row>
    <row r="587" spans="1:24">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row>
    <row r="588" spans="1:24">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row>
    <row r="589" spans="1:24">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row>
    <row r="590" spans="1:24">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row>
    <row r="591" spans="1:24">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row>
    <row r="592" spans="1:24">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row>
    <row r="593" spans="1:24">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row>
    <row r="594" spans="1:24">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row>
    <row r="595" spans="1:24">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row>
    <row r="596" spans="1:24">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row>
    <row r="597" spans="1:24">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row>
    <row r="598" spans="1:24">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row>
    <row r="599" spans="1:24">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row>
    <row r="600" spans="1:24">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row>
    <row r="601" spans="1:24">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row>
    <row r="602" spans="1:24">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row>
    <row r="603" spans="1:24">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row>
    <row r="604" spans="1:24">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row>
    <row r="605" spans="1:24">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row>
    <row r="606" spans="1:24">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row>
    <row r="607" spans="1:24">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row>
    <row r="608" spans="1:24">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row>
    <row r="609" spans="1:24">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row>
    <row r="610" spans="1:24">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row>
    <row r="611" spans="1:24">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row>
    <row r="612" spans="1:24">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row>
    <row r="613" spans="1:24">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row>
    <row r="614" spans="1:24">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row>
    <row r="615" spans="1:24">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row>
    <row r="616" spans="1:24">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row>
    <row r="617" spans="1:24">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row>
    <row r="618" spans="1:24">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row>
    <row r="619" spans="1:24">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row>
    <row r="620" spans="1:24">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row>
    <row r="621" spans="1:24">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row>
    <row r="622" spans="1:24">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row>
    <row r="623" spans="1:24">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row>
    <row r="624" spans="1:24">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row>
    <row r="625" spans="1:24">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row>
    <row r="626" spans="1:24">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row>
    <row r="627" spans="1:24">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row>
    <row r="628" spans="1:24">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row>
    <row r="629" spans="1:24">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row>
    <row r="630" spans="1:24">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row>
    <row r="631" spans="1:24">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row>
    <row r="632" spans="1:24">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row>
    <row r="633" spans="1:24">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row>
    <row r="634" spans="1:24">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row>
    <row r="635" spans="1:24">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row>
    <row r="636" spans="1:24">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row>
    <row r="637" spans="1:24">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row>
    <row r="638" spans="1:24">
      <c r="A638" s="90"/>
      <c r="B638" s="90"/>
      <c r="C638" s="90"/>
      <c r="D638" s="90"/>
      <c r="E638" s="90"/>
      <c r="F638" s="90"/>
      <c r="G638" s="90"/>
      <c r="H638" s="90"/>
      <c r="I638" s="90"/>
      <c r="J638" s="90"/>
      <c r="K638" s="90"/>
      <c r="L638" s="90"/>
    </row>
  </sheetData>
  <phoneticPr fontId="3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7"/>
  <sheetViews>
    <sheetView zoomScale="85" zoomScaleNormal="85" workbookViewId="0">
      <pane ySplit="1" topLeftCell="A35" activePane="bottomLeft" state="frozen"/>
      <selection pane="bottomLeft" activeCell="G14" sqref="G14"/>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68.88671875" style="37" customWidth="1"/>
    <col min="10" max="10" width="38.88671875" style="36" customWidth="1"/>
    <col min="11" max="11" width="11.109375" style="36" customWidth="1"/>
    <col min="12" max="12" width="35.88671875" style="36" customWidth="1"/>
    <col min="13" max="16384" width="15.44140625" style="36"/>
  </cols>
  <sheetData>
    <row r="1" spans="1:12">
      <c r="A1" s="38" t="s">
        <v>66</v>
      </c>
      <c r="B1" s="39" t="s">
        <v>67</v>
      </c>
      <c r="C1" s="39" t="s">
        <v>68</v>
      </c>
      <c r="D1" s="39" t="s">
        <v>69</v>
      </c>
      <c r="E1" s="39" t="s">
        <v>70</v>
      </c>
      <c r="F1" s="39" t="s">
        <v>71</v>
      </c>
      <c r="G1" s="39" t="s">
        <v>72</v>
      </c>
      <c r="H1" s="40" t="s">
        <v>73</v>
      </c>
      <c r="I1" s="45" t="s">
        <v>74</v>
      </c>
      <c r="J1" s="148" t="s">
        <v>555</v>
      </c>
    </row>
    <row r="2" spans="1:12">
      <c r="A2" s="41" t="s">
        <v>75</v>
      </c>
      <c r="B2" s="60">
        <v>1</v>
      </c>
      <c r="C2" s="60">
        <f>D2+B2-1</f>
        <v>0</v>
      </c>
      <c r="D2" s="60">
        <v>0</v>
      </c>
      <c r="E2" s="60">
        <f>ROUNDDOWN(C2/32,0)</f>
        <v>0</v>
      </c>
      <c r="F2" s="60">
        <f>C2-E2*32</f>
        <v>0</v>
      </c>
      <c r="G2" s="60">
        <f>D2-E2*32</f>
        <v>0</v>
      </c>
      <c r="H2" s="60" t="s">
        <v>73</v>
      </c>
      <c r="I2" s="155" t="str">
        <f ca="1">CONCATENATE(INDIRECT("template!I2"))</f>
        <v>Interrupt Enable;if this bit is set, CPU COULD get interrupt when the instruction is finished 
0: disable interrupt
1: enable interrupt</v>
      </c>
      <c r="J2" s="118" t="s">
        <v>95</v>
      </c>
      <c r="L2" s="47" t="s">
        <v>556</v>
      </c>
    </row>
    <row r="3" spans="1:12" ht="46.8">
      <c r="A3" s="41" t="s">
        <v>77</v>
      </c>
      <c r="B3" s="60">
        <v>1</v>
      </c>
      <c r="C3" s="60">
        <f t="shared" ref="C3:C13" ca="1" si="0">D3+B3-1</f>
        <v>1</v>
      </c>
      <c r="D3" s="60">
        <f t="shared" ref="D3:D13" ca="1" si="1">INDIRECT(ADDRESS(ROW()-1,COLUMN()-1))+1</f>
        <v>1</v>
      </c>
      <c r="E3" s="60">
        <f t="shared" ref="E3:E13" ca="1" si="2">ROUNDDOWN(C3/32,0)</f>
        <v>0</v>
      </c>
      <c r="F3" s="60">
        <f t="shared" ref="F3:F13" ca="1" si="3">C3-E3*32</f>
        <v>1</v>
      </c>
      <c r="G3" s="60">
        <f ca="1">D3-E3*32</f>
        <v>1</v>
      </c>
      <c r="H3" s="60" t="s">
        <v>73</v>
      </c>
      <c r="I3" s="62" t="str">
        <f ca="1">CONCATENATE(INDIRECT("template!I3"))</f>
        <v>Stride enable
0：No stride for all blob definition
1：Enable stride for all blob definition</v>
      </c>
      <c r="J3" s="118" t="s">
        <v>95</v>
      </c>
      <c r="L3" s="49" t="s">
        <v>557</v>
      </c>
    </row>
    <row r="4" spans="1:12" ht="46.8">
      <c r="A4" s="41" t="s">
        <v>79</v>
      </c>
      <c r="B4" s="60">
        <v>1</v>
      </c>
      <c r="C4" s="60">
        <f t="shared" ca="1" si="0"/>
        <v>2</v>
      </c>
      <c r="D4" s="60">
        <f t="shared" ca="1" si="1"/>
        <v>2</v>
      </c>
      <c r="E4" s="60">
        <f t="shared" ca="1" si="2"/>
        <v>0</v>
      </c>
      <c r="F4" s="60">
        <f t="shared" ca="1" si="3"/>
        <v>2</v>
      </c>
      <c r="G4" s="60">
        <f t="shared" ref="G4:G16" ca="1" si="4">D4-E4*32</f>
        <v>2</v>
      </c>
      <c r="H4" s="60" t="s">
        <v>73</v>
      </c>
      <c r="I4" s="62" t="str">
        <f ca="1">CONCATENATE(INDIRECT("template!I4"))</f>
        <v>NCHW copy bit
0: use separate src and dst NCHW value setting
1: reuse src NCHW value for dst NCHW value</v>
      </c>
      <c r="J4" s="118" t="s">
        <v>95</v>
      </c>
      <c r="L4" s="50" t="s">
        <v>558</v>
      </c>
    </row>
    <row r="5" spans="1:12" ht="31.2">
      <c r="A5" s="41" t="s">
        <v>559</v>
      </c>
      <c r="B5" s="60">
        <v>1</v>
      </c>
      <c r="C5" s="60">
        <f t="shared" ca="1" si="0"/>
        <v>3</v>
      </c>
      <c r="D5" s="60">
        <f t="shared" ca="1" si="1"/>
        <v>3</v>
      </c>
      <c r="E5" s="60">
        <f t="shared" ca="1" si="2"/>
        <v>0</v>
      </c>
      <c r="F5" s="60">
        <f t="shared" ca="1" si="3"/>
        <v>3</v>
      </c>
      <c r="G5" s="60">
        <f t="shared" ca="1" si="4"/>
        <v>3</v>
      </c>
      <c r="H5" s="60" t="s">
        <v>73</v>
      </c>
      <c r="I5" s="62" t="str">
        <f ca="1">CONCATENATE(INDIRECT("template!I5"))</f>
        <v>0:768bit full cmd;
1:128/256/384/512 short cmd</v>
      </c>
      <c r="J5" s="118" t="s">
        <v>95</v>
      </c>
    </row>
    <row r="6" spans="1:12" ht="30.9" customHeight="1">
      <c r="A6" s="43" t="s">
        <v>83</v>
      </c>
      <c r="B6" s="60">
        <v>1</v>
      </c>
      <c r="C6" s="60">
        <f t="shared" ca="1" si="0"/>
        <v>4</v>
      </c>
      <c r="D6" s="60">
        <f t="shared" ca="1" si="1"/>
        <v>4</v>
      </c>
      <c r="E6" s="60">
        <f t="shared" ca="1" si="2"/>
        <v>0</v>
      </c>
      <c r="F6" s="60">
        <f t="shared" ca="1" si="3"/>
        <v>4</v>
      </c>
      <c r="G6" s="60">
        <f t="shared" ca="1" si="4"/>
        <v>4</v>
      </c>
      <c r="H6" s="60" t="s">
        <v>73</v>
      </c>
      <c r="I6" s="62" t="str">
        <f ca="1">CONCATENATE(INDIRECT("template!I6"))</f>
        <v>Read cache enable
0: Read not use cache
1: Read use cache</v>
      </c>
      <c r="J6" s="118" t="s">
        <v>95</v>
      </c>
    </row>
    <row r="7" spans="1:12" ht="59.1" customHeight="1">
      <c r="A7" s="43" t="s">
        <v>85</v>
      </c>
      <c r="B7" s="60">
        <v>1</v>
      </c>
      <c r="C7" s="60">
        <f t="shared" ca="1" si="0"/>
        <v>5</v>
      </c>
      <c r="D7" s="60">
        <f t="shared" ca="1" si="1"/>
        <v>5</v>
      </c>
      <c r="E7" s="60">
        <f t="shared" ca="1" si="2"/>
        <v>0</v>
      </c>
      <c r="F7" s="60">
        <f t="shared" ca="1" si="3"/>
        <v>5</v>
      </c>
      <c r="G7" s="60">
        <f t="shared" ca="1" si="4"/>
        <v>5</v>
      </c>
      <c r="H7" s="60" t="s">
        <v>73</v>
      </c>
      <c r="I7" s="62" t="str">
        <f ca="1">CONCATENATE(INDIRECT("template!I7"))</f>
        <v>Flush cache
0: Not Flush cache
1: Flush cache</v>
      </c>
      <c r="J7" s="118" t="s">
        <v>95</v>
      </c>
    </row>
    <row r="8" spans="1:12">
      <c r="A8" s="41" t="s">
        <v>87</v>
      </c>
      <c r="B8" s="60">
        <v>2</v>
      </c>
      <c r="C8" s="60">
        <f t="shared" ca="1" si="0"/>
        <v>7</v>
      </c>
      <c r="D8" s="60">
        <f t="shared" ca="1" si="1"/>
        <v>6</v>
      </c>
      <c r="E8" s="60">
        <f t="shared" ca="1" si="2"/>
        <v>0</v>
      </c>
      <c r="F8" s="60">
        <f t="shared" ca="1" si="3"/>
        <v>7</v>
      </c>
      <c r="G8" s="60">
        <f t="shared" ca="1" si="4"/>
        <v>6</v>
      </c>
      <c r="H8" s="60" t="s">
        <v>88</v>
      </c>
      <c r="I8" s="62" t="str">
        <f ca="1">CONCATENATE(INDIRECT("template!I8"))</f>
        <v>reserved</v>
      </c>
      <c r="J8" s="149">
        <v>0</v>
      </c>
    </row>
    <row r="9" spans="1:12">
      <c r="A9" s="41" t="s">
        <v>1234</v>
      </c>
      <c r="B9" s="60">
        <v>1</v>
      </c>
      <c r="C9" s="60">
        <f t="shared" si="0"/>
        <v>8</v>
      </c>
      <c r="D9" s="60">
        <v>8</v>
      </c>
      <c r="E9" s="60">
        <v>0</v>
      </c>
      <c r="F9" s="60">
        <v>8</v>
      </c>
      <c r="G9" s="60">
        <v>8</v>
      </c>
      <c r="H9" s="60" t="s">
        <v>1235</v>
      </c>
      <c r="I9" s="62"/>
      <c r="J9" s="118" t="s">
        <v>95</v>
      </c>
    </row>
    <row r="10" spans="1:12" customFormat="1">
      <c r="A10" s="41" t="s">
        <v>1236</v>
      </c>
      <c r="B10" s="60">
        <v>1</v>
      </c>
      <c r="C10" s="60">
        <f t="shared" si="0"/>
        <v>9</v>
      </c>
      <c r="D10" s="60">
        <v>9</v>
      </c>
      <c r="E10" s="60">
        <v>0</v>
      </c>
      <c r="F10" s="60">
        <v>9</v>
      </c>
      <c r="G10" s="60">
        <v>9</v>
      </c>
      <c r="H10" s="60" t="s">
        <v>1235</v>
      </c>
      <c r="I10" s="62"/>
      <c r="J10" s="118" t="s">
        <v>95</v>
      </c>
    </row>
    <row r="11" spans="1:12">
      <c r="A11" s="41" t="s">
        <v>1237</v>
      </c>
      <c r="B11" s="60">
        <v>1</v>
      </c>
      <c r="C11" s="60">
        <f t="shared" si="0"/>
        <v>10</v>
      </c>
      <c r="D11" s="60">
        <v>10</v>
      </c>
      <c r="E11" s="60">
        <v>0</v>
      </c>
      <c r="F11" s="60">
        <v>10</v>
      </c>
      <c r="G11" s="60">
        <v>10</v>
      </c>
      <c r="H11" s="60" t="s">
        <v>1235</v>
      </c>
      <c r="I11" s="62"/>
      <c r="J11" s="118" t="s">
        <v>95</v>
      </c>
    </row>
    <row r="12" spans="1:12">
      <c r="A12" s="41" t="s">
        <v>1240</v>
      </c>
      <c r="B12" s="60">
        <v>1</v>
      </c>
      <c r="C12" s="60">
        <v>11</v>
      </c>
      <c r="D12" s="60">
        <v>11</v>
      </c>
      <c r="E12" s="60">
        <v>0</v>
      </c>
      <c r="F12" s="60">
        <v>11</v>
      </c>
      <c r="G12" s="60">
        <v>11</v>
      </c>
      <c r="H12" s="60" t="s">
        <v>1241</v>
      </c>
      <c r="I12" s="62"/>
      <c r="J12" s="118" t="s">
        <v>95</v>
      </c>
    </row>
    <row r="13" spans="1:12">
      <c r="A13" s="41" t="s">
        <v>89</v>
      </c>
      <c r="B13" s="60">
        <v>20</v>
      </c>
      <c r="C13" s="60">
        <f t="shared" ca="1" si="0"/>
        <v>31</v>
      </c>
      <c r="D13" s="60">
        <f t="shared" ca="1" si="1"/>
        <v>12</v>
      </c>
      <c r="E13" s="60">
        <f t="shared" ca="1" si="2"/>
        <v>0</v>
      </c>
      <c r="F13" s="60">
        <f t="shared" ca="1" si="3"/>
        <v>31</v>
      </c>
      <c r="G13" s="60">
        <f t="shared" ca="1" si="4"/>
        <v>12</v>
      </c>
      <c r="H13" s="60" t="s">
        <v>88</v>
      </c>
      <c r="I13" s="62" t="str">
        <f ca="1">CONCATENATE(INDIRECT("template!I9"))</f>
        <v/>
      </c>
      <c r="J13" s="149">
        <v>0</v>
      </c>
    </row>
    <row r="14" spans="1:12" ht="93.6">
      <c r="A14" s="43" t="s">
        <v>90</v>
      </c>
      <c r="B14" s="60">
        <v>5</v>
      </c>
      <c r="C14" s="60">
        <f t="shared" ref="C14:C19" ca="1" si="5">D14+B14-1</f>
        <v>36</v>
      </c>
      <c r="D14" s="60">
        <f t="shared" ref="D14:D19" ca="1" si="6">INDIRECT(ADDRESS(ROW()-1,COLUMN()-1))+1</f>
        <v>32</v>
      </c>
      <c r="E14" s="60">
        <f t="shared" ref="E14:E19" ca="1" si="7">ROUNDDOWN(C14/32,0)</f>
        <v>1</v>
      </c>
      <c r="F14" s="60">
        <f t="shared" ref="F14:F19" ca="1" si="8">C14-E14*32</f>
        <v>4</v>
      </c>
      <c r="G14" s="60">
        <f t="shared" ca="1" si="4"/>
        <v>0</v>
      </c>
      <c r="H14" s="60" t="s">
        <v>73</v>
      </c>
      <c r="I14" s="62" t="str">
        <f ca="1">CONCATENATE(INDIRECT("template!I14"))</f>
        <v>0x0:GDMA_tensor                     0x1:GDMA_matrix
0x2:GDMA_masked_select       0x3:GDMA_general
                                                   0x5:GDMA_nonzero
0x6:GDMA_sys                           0x7:GDMA_gather
0x8:GDMA_scatter                    0x9:GDMA_reverse
0xc:GDMA_lossy_compress      0xd:GDMA_lossy_decompress</v>
      </c>
      <c r="J14" s="118" t="s">
        <v>95</v>
      </c>
    </row>
    <row r="15" spans="1:12" ht="78">
      <c r="A15" s="43" t="s">
        <v>91</v>
      </c>
      <c r="B15" s="60">
        <v>3</v>
      </c>
      <c r="C15" s="60">
        <f t="shared" ca="1" si="5"/>
        <v>39</v>
      </c>
      <c r="D15" s="60">
        <f t="shared" ca="1" si="6"/>
        <v>37</v>
      </c>
      <c r="E15" s="60">
        <f t="shared" ca="1" si="7"/>
        <v>1</v>
      </c>
      <c r="F15" s="60">
        <f t="shared" ca="1" si="8"/>
        <v>7</v>
      </c>
      <c r="G15" s="60">
        <f t="shared" ca="1" si="4"/>
        <v>5</v>
      </c>
      <c r="H15" s="60" t="s">
        <v>73</v>
      </c>
      <c r="I15" s="62" t="str">
        <f ca="1">CONCATENATE(INDIRECT("template!I15"))</f>
        <v>this field is connected with cmd_type. when cmd_type == DMA_tensor
000: No special function
001: Enable transposition write (For Neuron transposition case, the dest_N= src_C, dest_C=src_N)
011: broadcast：only support C size&lt;=64 and lmem mask invalid
others: reserved</v>
      </c>
      <c r="J15" s="118" t="s">
        <v>95</v>
      </c>
    </row>
    <row r="16" spans="1:12" ht="46.8">
      <c r="A16" s="41" t="s">
        <v>93</v>
      </c>
      <c r="B16" s="60">
        <v>1</v>
      </c>
      <c r="C16" s="60">
        <f t="shared" ca="1" si="5"/>
        <v>40</v>
      </c>
      <c r="D16" s="60">
        <f t="shared" ca="1" si="6"/>
        <v>40</v>
      </c>
      <c r="E16" s="60">
        <f t="shared" ca="1" si="7"/>
        <v>1</v>
      </c>
      <c r="F16" s="60">
        <f t="shared" ca="1" si="8"/>
        <v>8</v>
      </c>
      <c r="G16" s="60">
        <f t="shared" ca="1" si="4"/>
        <v>8</v>
      </c>
      <c r="H16" s="60" t="s">
        <v>73</v>
      </c>
      <c r="I16" s="62" t="s">
        <v>560</v>
      </c>
      <c r="J16" s="118" t="s">
        <v>95</v>
      </c>
    </row>
    <row r="17" spans="1:10" ht="171.6">
      <c r="A17" s="43" t="s">
        <v>96</v>
      </c>
      <c r="B17" s="60">
        <v>4</v>
      </c>
      <c r="C17" s="60">
        <f t="shared" ca="1" si="5"/>
        <v>44</v>
      </c>
      <c r="D17" s="60">
        <f t="shared" ca="1" si="6"/>
        <v>41</v>
      </c>
      <c r="E17" s="60">
        <f t="shared" ca="1" si="7"/>
        <v>1</v>
      </c>
      <c r="F17" s="60">
        <f t="shared" ca="1" si="8"/>
        <v>12</v>
      </c>
      <c r="G17" s="60">
        <f t="shared" ref="G17:G19" ca="1" si="9">D17-E17*32</f>
        <v>9</v>
      </c>
      <c r="H17" s="60" t="s">
        <v>73</v>
      </c>
      <c r="I17" s="62" t="str">
        <f ca="1">CONCATENATE(INDIRECT("template!I17"))</f>
        <v>Source Data Format
0:INT8
1:FP16
2:FP32
3:INT16
4:INT32
5:BFP16
6:FP20
7:FP8 E4M3
8:FP8 E5M2
others：not support</v>
      </c>
      <c r="J17" s="118" t="s">
        <v>95</v>
      </c>
    </row>
    <row r="18" spans="1:10">
      <c r="A18" s="41" t="s">
        <v>87</v>
      </c>
      <c r="B18" s="60">
        <v>3</v>
      </c>
      <c r="C18" s="60">
        <f t="shared" ca="1" si="5"/>
        <v>47</v>
      </c>
      <c r="D18" s="60">
        <f t="shared" ca="1" si="6"/>
        <v>45</v>
      </c>
      <c r="E18" s="60">
        <f t="shared" ca="1" si="7"/>
        <v>1</v>
      </c>
      <c r="F18" s="60">
        <f t="shared" ca="1" si="8"/>
        <v>15</v>
      </c>
      <c r="G18" s="60">
        <f t="shared" ca="1" si="9"/>
        <v>13</v>
      </c>
      <c r="H18" s="60" t="s">
        <v>88</v>
      </c>
      <c r="I18" s="62" t="str">
        <f ca="1">CONCATENATE(INDIRECT("template!I18"))</f>
        <v>reserved</v>
      </c>
      <c r="J18" s="149">
        <v>0</v>
      </c>
    </row>
    <row r="19" spans="1:10">
      <c r="A19" s="43" t="s">
        <v>87</v>
      </c>
      <c r="B19" s="60">
        <v>16</v>
      </c>
      <c r="C19" s="60">
        <f t="shared" ca="1" si="5"/>
        <v>63</v>
      </c>
      <c r="D19" s="60">
        <f t="shared" ca="1" si="6"/>
        <v>48</v>
      </c>
      <c r="E19" s="60">
        <f t="shared" ca="1" si="7"/>
        <v>1</v>
      </c>
      <c r="F19" s="60">
        <f t="shared" ca="1" si="8"/>
        <v>31</v>
      </c>
      <c r="G19" s="60">
        <f t="shared" ca="1" si="9"/>
        <v>16</v>
      </c>
      <c r="H19" s="60" t="s">
        <v>88</v>
      </c>
      <c r="I19" s="130" t="s">
        <v>561</v>
      </c>
      <c r="J19" s="149">
        <v>0</v>
      </c>
    </row>
    <row r="20" spans="1:10" ht="31.2">
      <c r="A20" s="41" t="s">
        <v>97</v>
      </c>
      <c r="B20" s="60">
        <v>21</v>
      </c>
      <c r="C20" s="60">
        <f ca="1">D20+B20-1</f>
        <v>84</v>
      </c>
      <c r="D20" s="60">
        <f t="shared" ref="D20:D50" ca="1" si="10">INDIRECT(ADDRESS(ROW()-1,COLUMN()-1))+1</f>
        <v>64</v>
      </c>
      <c r="E20" s="60">
        <f t="shared" ref="E20:E31" ca="1" si="11">ROUNDDOWN(C20/32,0)</f>
        <v>2</v>
      </c>
      <c r="F20" s="60">
        <f t="shared" ref="F20:F31" ca="1" si="12">C20-E20*32</f>
        <v>20</v>
      </c>
      <c r="G20" s="60">
        <f t="shared" ref="G20:G31" ca="1" si="13">D20-E20*32</f>
        <v>0</v>
      </c>
      <c r="H20" s="60" t="s">
        <v>73</v>
      </c>
      <c r="I20" s="62" t="s">
        <v>1334</v>
      </c>
      <c r="J20" s="118" t="s">
        <v>95</v>
      </c>
    </row>
    <row r="21" spans="1:10" ht="26.1" customHeight="1">
      <c r="A21" s="41" t="s">
        <v>87</v>
      </c>
      <c r="B21" s="60">
        <v>2</v>
      </c>
      <c r="C21" s="60">
        <v>86</v>
      </c>
      <c r="D21" s="60">
        <v>85</v>
      </c>
      <c r="E21" s="60">
        <f t="shared" si="11"/>
        <v>2</v>
      </c>
      <c r="F21" s="60">
        <v>22</v>
      </c>
      <c r="G21" s="60">
        <f t="shared" si="13"/>
        <v>21</v>
      </c>
      <c r="H21" s="60" t="s">
        <v>988</v>
      </c>
      <c r="I21" s="62" t="s">
        <v>87</v>
      </c>
      <c r="J21" s="148"/>
    </row>
    <row r="22" spans="1:10" ht="27" customHeight="1">
      <c r="A22" s="41" t="s">
        <v>979</v>
      </c>
      <c r="B22" s="60">
        <v>1</v>
      </c>
      <c r="C22" s="60">
        <v>87</v>
      </c>
      <c r="D22" s="60">
        <v>87</v>
      </c>
      <c r="E22" s="60">
        <v>2</v>
      </c>
      <c r="F22" s="60">
        <v>23</v>
      </c>
      <c r="G22" s="60">
        <v>23</v>
      </c>
      <c r="H22" s="60" t="s">
        <v>989</v>
      </c>
      <c r="I22" s="62" t="s">
        <v>990</v>
      </c>
      <c r="J22" s="148"/>
    </row>
    <row r="23" spans="1:10">
      <c r="A23" s="41" t="s">
        <v>87</v>
      </c>
      <c r="B23" s="60">
        <v>8</v>
      </c>
      <c r="C23" s="60">
        <f t="shared" ref="C23" ca="1" si="14">D23+B23-1</f>
        <v>95</v>
      </c>
      <c r="D23" s="60">
        <f t="shared" ref="D23" ca="1" si="15">INDIRECT(ADDRESS(ROW()-1,COLUMN()-1))+1</f>
        <v>88</v>
      </c>
      <c r="E23" s="60">
        <f t="shared" ca="1" si="11"/>
        <v>2</v>
      </c>
      <c r="F23" s="60">
        <v>31</v>
      </c>
      <c r="G23" s="60">
        <f t="shared" ca="1" si="13"/>
        <v>24</v>
      </c>
      <c r="H23" s="60" t="s">
        <v>88</v>
      </c>
      <c r="I23" s="62" t="s">
        <v>87</v>
      </c>
      <c r="J23" s="148"/>
    </row>
    <row r="24" spans="1:10" ht="32.4">
      <c r="A24" s="41" t="s">
        <v>98</v>
      </c>
      <c r="B24" s="60">
        <v>32</v>
      </c>
      <c r="C24" s="60">
        <f t="shared" ref="C24:C31" ca="1" si="16">D24+B24-1</f>
        <v>127</v>
      </c>
      <c r="D24" s="60">
        <f t="shared" ca="1" si="10"/>
        <v>96</v>
      </c>
      <c r="E24" s="60">
        <f t="shared" ca="1" si="11"/>
        <v>3</v>
      </c>
      <c r="F24" s="60">
        <f t="shared" ca="1" si="12"/>
        <v>31</v>
      </c>
      <c r="G24" s="60">
        <f t="shared" ca="1" si="13"/>
        <v>0</v>
      </c>
      <c r="H24" s="60" t="s">
        <v>73</v>
      </c>
      <c r="I24" s="62" t="str">
        <f ca="1">CONCATENATE(INDIRECT("template!I24"))</f>
        <v>when cmd_special_function==fill constant, this field means constant value</v>
      </c>
      <c r="J24" s="150" t="s">
        <v>562</v>
      </c>
    </row>
    <row r="25" spans="1:10" ht="32.4">
      <c r="A25" s="41" t="s">
        <v>100</v>
      </c>
      <c r="B25" s="60">
        <v>32</v>
      </c>
      <c r="C25" s="60">
        <f t="shared" ca="1" si="16"/>
        <v>159</v>
      </c>
      <c r="D25" s="60">
        <f t="shared" ca="1" si="10"/>
        <v>128</v>
      </c>
      <c r="E25" s="60">
        <f t="shared" ca="1" si="11"/>
        <v>4</v>
      </c>
      <c r="F25" s="60">
        <f t="shared" ca="1" si="12"/>
        <v>31</v>
      </c>
      <c r="G25" s="60">
        <f t="shared" ca="1" si="13"/>
        <v>0</v>
      </c>
      <c r="H25" s="60" t="s">
        <v>73</v>
      </c>
      <c r="I25" s="62" t="str">
        <f ca="1">CONCATENATE(INDIRECT("template!I25"))</f>
        <v>unsigned number; Source blob N stride</v>
      </c>
      <c r="J25" s="150" t="s">
        <v>563</v>
      </c>
    </row>
    <row r="26" spans="1:10" ht="81">
      <c r="A26" s="41" t="s">
        <v>102</v>
      </c>
      <c r="B26" s="60">
        <v>32</v>
      </c>
      <c r="C26" s="60">
        <f t="shared" ca="1" si="16"/>
        <v>191</v>
      </c>
      <c r="D26" s="60">
        <f t="shared" ca="1" si="10"/>
        <v>160</v>
      </c>
      <c r="E26" s="60">
        <f t="shared" ca="1" si="11"/>
        <v>5</v>
      </c>
      <c r="F26" s="60">
        <f t="shared" ca="1" si="12"/>
        <v>31</v>
      </c>
      <c r="G26" s="60">
        <f t="shared" ca="1" si="13"/>
        <v>0</v>
      </c>
      <c r="H26" s="60" t="s">
        <v>73</v>
      </c>
      <c r="I26" s="62" t="str">
        <f ca="1">CONCATENATE(INDIRECT("template!I26"))</f>
        <v>unsigned number. Source blob C stride</v>
      </c>
      <c r="J26" s="150" t="s">
        <v>564</v>
      </c>
    </row>
    <row r="27" spans="1:10" ht="32.4">
      <c r="A27" s="41" t="s">
        <v>104</v>
      </c>
      <c r="B27" s="60">
        <v>32</v>
      </c>
      <c r="C27" s="60">
        <f t="shared" ca="1" si="16"/>
        <v>223</v>
      </c>
      <c r="D27" s="60">
        <f t="shared" ca="1" si="10"/>
        <v>192</v>
      </c>
      <c r="E27" s="60">
        <f t="shared" ca="1" si="11"/>
        <v>6</v>
      </c>
      <c r="F27" s="60">
        <f t="shared" ca="1" si="12"/>
        <v>31</v>
      </c>
      <c r="G27" s="60">
        <f t="shared" ca="1" si="13"/>
        <v>0</v>
      </c>
      <c r="H27" s="60" t="s">
        <v>73</v>
      </c>
      <c r="I27" s="62" t="str">
        <f ca="1">CONCATENATE(INDIRECT("template!I27"))</f>
        <v>unsigned number; Source blob H stride</v>
      </c>
      <c r="J27" s="150" t="s">
        <v>563</v>
      </c>
    </row>
    <row r="28" spans="1:10" ht="15" customHeight="1">
      <c r="A28" s="41" t="s">
        <v>106</v>
      </c>
      <c r="B28" s="60">
        <v>32</v>
      </c>
      <c r="C28" s="60">
        <f t="shared" ca="1" si="16"/>
        <v>255</v>
      </c>
      <c r="D28" s="60">
        <f t="shared" ca="1" si="10"/>
        <v>224</v>
      </c>
      <c r="E28" s="60">
        <f t="shared" ca="1" si="11"/>
        <v>7</v>
      </c>
      <c r="F28" s="60">
        <f t="shared" ca="1" si="12"/>
        <v>31</v>
      </c>
      <c r="G28" s="60">
        <f t="shared" ca="1" si="13"/>
        <v>0</v>
      </c>
      <c r="H28" s="60" t="s">
        <v>73</v>
      </c>
      <c r="I28" s="62" t="str">
        <f ca="1">CONCATENATE(INDIRECT("template!I28"))</f>
        <v>unsigned number; Source blob W stride</v>
      </c>
      <c r="J28" s="150" t="s">
        <v>565</v>
      </c>
    </row>
    <row r="29" spans="1:10" ht="36.9" customHeight="1">
      <c r="A29" s="41" t="s">
        <v>108</v>
      </c>
      <c r="B29" s="60">
        <v>32</v>
      </c>
      <c r="C29" s="60">
        <f t="shared" ca="1" si="16"/>
        <v>287</v>
      </c>
      <c r="D29" s="60">
        <f t="shared" ca="1" si="10"/>
        <v>256</v>
      </c>
      <c r="E29" s="60">
        <f t="shared" ca="1" si="11"/>
        <v>8</v>
      </c>
      <c r="F29" s="60">
        <f t="shared" ca="1" si="12"/>
        <v>31</v>
      </c>
      <c r="G29" s="60">
        <f t="shared" ca="1" si="13"/>
        <v>0</v>
      </c>
      <c r="H29" s="60" t="s">
        <v>73</v>
      </c>
      <c r="I29" s="62" t="str">
        <f ca="1">CONCATENATE(INDIRECT("template!I29"))</f>
        <v>unsigned number; desitination blob N stride</v>
      </c>
      <c r="J29" s="118" t="s">
        <v>95</v>
      </c>
    </row>
    <row r="30" spans="1:10">
      <c r="A30" s="41" t="s">
        <v>110</v>
      </c>
      <c r="B30" s="60">
        <v>32</v>
      </c>
      <c r="C30" s="60">
        <f t="shared" ca="1" si="16"/>
        <v>319</v>
      </c>
      <c r="D30" s="60">
        <f t="shared" ca="1" si="10"/>
        <v>288</v>
      </c>
      <c r="E30" s="60">
        <f t="shared" ca="1" si="11"/>
        <v>9</v>
      </c>
      <c r="F30" s="60">
        <f t="shared" ca="1" si="12"/>
        <v>31</v>
      </c>
      <c r="G30" s="60">
        <f t="shared" ca="1" si="13"/>
        <v>0</v>
      </c>
      <c r="H30" s="60" t="s">
        <v>73</v>
      </c>
      <c r="I30" s="62" t="str">
        <f ca="1">CONCATENATE(INDIRECT("template!I30"))</f>
        <v>unsigned number.desitination blob C stride</v>
      </c>
      <c r="J30" s="118" t="s">
        <v>95</v>
      </c>
    </row>
    <row r="31" spans="1:10">
      <c r="A31" s="41" t="s">
        <v>112</v>
      </c>
      <c r="B31" s="60">
        <v>32</v>
      </c>
      <c r="C31" s="60">
        <f t="shared" ca="1" si="16"/>
        <v>351</v>
      </c>
      <c r="D31" s="60">
        <f t="shared" ca="1" si="10"/>
        <v>320</v>
      </c>
      <c r="E31" s="60">
        <f t="shared" ca="1" si="11"/>
        <v>10</v>
      </c>
      <c r="F31" s="60">
        <f t="shared" ca="1" si="12"/>
        <v>31</v>
      </c>
      <c r="G31" s="60">
        <f t="shared" ca="1" si="13"/>
        <v>0</v>
      </c>
      <c r="H31" s="60" t="s">
        <v>73</v>
      </c>
      <c r="I31" s="62" t="str">
        <f ca="1">CONCATENATE(INDIRECT("template!I31"))</f>
        <v>unsigned number; desitination blob H stride</v>
      </c>
      <c r="J31" s="118" t="s">
        <v>95</v>
      </c>
    </row>
    <row r="32" spans="1:10" ht="32.4">
      <c r="A32" s="41" t="s">
        <v>114</v>
      </c>
      <c r="B32" s="60">
        <v>32</v>
      </c>
      <c r="C32" s="60">
        <f t="shared" ref="C32:C50" ca="1" si="17">D32+B32-1</f>
        <v>383</v>
      </c>
      <c r="D32" s="60">
        <f t="shared" ca="1" si="10"/>
        <v>352</v>
      </c>
      <c r="E32" s="60">
        <f t="shared" ref="E32:E50" ca="1" si="18">ROUNDDOWN(C32/32,0)</f>
        <v>11</v>
      </c>
      <c r="F32" s="60">
        <f t="shared" ref="F32:F50" ca="1" si="19">C32-E32*32</f>
        <v>31</v>
      </c>
      <c r="G32" s="60">
        <f t="shared" ref="G32:G50" ca="1" si="20">D32-E32*32</f>
        <v>0</v>
      </c>
      <c r="H32" s="60" t="s">
        <v>73</v>
      </c>
      <c r="I32" s="62" t="str">
        <f ca="1">INDIRECT("template!I32")</f>
        <v>unsigned number; desitination blob W stride</v>
      </c>
      <c r="J32" s="150" t="s">
        <v>565</v>
      </c>
    </row>
    <row r="33" spans="1:10" ht="32.4">
      <c r="A33" s="41" t="s">
        <v>116</v>
      </c>
      <c r="B33" s="60">
        <v>16</v>
      </c>
      <c r="C33" s="60">
        <f t="shared" ca="1" si="17"/>
        <v>399</v>
      </c>
      <c r="D33" s="60">
        <f t="shared" ca="1" si="10"/>
        <v>384</v>
      </c>
      <c r="E33" s="60">
        <f t="shared" ca="1" si="18"/>
        <v>12</v>
      </c>
      <c r="F33" s="60">
        <f t="shared" ca="1" si="19"/>
        <v>15</v>
      </c>
      <c r="G33" s="60">
        <f t="shared" ca="1" si="20"/>
        <v>0</v>
      </c>
      <c r="H33" s="60" t="s">
        <v>73</v>
      </c>
      <c r="I33" s="62" t="str">
        <f ca="1">INDIRECT("template!I33")</f>
        <v>Source Blob Number</v>
      </c>
      <c r="J33" s="150" t="s">
        <v>563</v>
      </c>
    </row>
    <row r="34" spans="1:10" ht="48.6">
      <c r="A34" s="41" t="s">
        <v>118</v>
      </c>
      <c r="B34" s="60">
        <v>16</v>
      </c>
      <c r="C34" s="60">
        <f t="shared" ca="1" si="17"/>
        <v>415</v>
      </c>
      <c r="D34" s="60">
        <f t="shared" ca="1" si="10"/>
        <v>400</v>
      </c>
      <c r="E34" s="60">
        <f t="shared" ca="1" si="18"/>
        <v>12</v>
      </c>
      <c r="F34" s="60">
        <f t="shared" ca="1" si="19"/>
        <v>31</v>
      </c>
      <c r="G34" s="60">
        <f t="shared" ca="1" si="20"/>
        <v>16</v>
      </c>
      <c r="H34" s="60" t="s">
        <v>73</v>
      </c>
      <c r="I34" s="62" t="str">
        <f ca="1">INDIRECT("template!I34")</f>
        <v>Source blob C</v>
      </c>
      <c r="J34" s="150" t="s">
        <v>566</v>
      </c>
    </row>
    <row r="35" spans="1:10" ht="32.4">
      <c r="A35" s="41" t="s">
        <v>120</v>
      </c>
      <c r="B35" s="60">
        <v>16</v>
      </c>
      <c r="C35" s="60">
        <f t="shared" ca="1" si="17"/>
        <v>431</v>
      </c>
      <c r="D35" s="60">
        <f t="shared" ca="1" si="10"/>
        <v>416</v>
      </c>
      <c r="E35" s="60">
        <f t="shared" ca="1" si="18"/>
        <v>13</v>
      </c>
      <c r="F35" s="60" t="s">
        <v>567</v>
      </c>
      <c r="G35" s="60">
        <f t="shared" ca="1" si="20"/>
        <v>0</v>
      </c>
      <c r="H35" s="60" t="s">
        <v>73</v>
      </c>
      <c r="I35" s="62" t="str">
        <f ca="1">INDIRECT("template!I35")</f>
        <v xml:space="preserve">Source blob H </v>
      </c>
      <c r="J35" s="150" t="s">
        <v>563</v>
      </c>
    </row>
    <row r="36" spans="1:10" ht="32.4">
      <c r="A36" s="41" t="s">
        <v>122</v>
      </c>
      <c r="B36" s="60">
        <v>16</v>
      </c>
      <c r="C36" s="60">
        <f t="shared" ca="1" si="17"/>
        <v>447</v>
      </c>
      <c r="D36" s="60">
        <f t="shared" ca="1" si="10"/>
        <v>432</v>
      </c>
      <c r="E36" s="60">
        <f t="shared" ca="1" si="18"/>
        <v>13</v>
      </c>
      <c r="F36" s="60">
        <f t="shared" ca="1" si="19"/>
        <v>31</v>
      </c>
      <c r="G36" s="60">
        <f t="shared" ca="1" si="20"/>
        <v>16</v>
      </c>
      <c r="H36" s="60" t="s">
        <v>73</v>
      </c>
      <c r="I36" s="62" t="str">
        <f ca="1">INDIRECT("template!I36")</f>
        <v xml:space="preserve">Source blob W </v>
      </c>
      <c r="J36" s="150" t="s">
        <v>563</v>
      </c>
    </row>
    <row r="37" spans="1:10" s="34" customFormat="1" ht="48.6">
      <c r="A37" s="41" t="s">
        <v>124</v>
      </c>
      <c r="B37" s="60">
        <v>16</v>
      </c>
      <c r="C37" s="60">
        <f t="shared" ca="1" si="17"/>
        <v>463</v>
      </c>
      <c r="D37" s="60">
        <f t="shared" ca="1" si="10"/>
        <v>448</v>
      </c>
      <c r="E37" s="60">
        <f t="shared" ca="1" si="18"/>
        <v>14</v>
      </c>
      <c r="F37" s="60">
        <f t="shared" ca="1" si="19"/>
        <v>15</v>
      </c>
      <c r="G37" s="60">
        <f t="shared" ca="1" si="20"/>
        <v>0</v>
      </c>
      <c r="H37" s="60" t="s">
        <v>73</v>
      </c>
      <c r="I37" s="62" t="str">
        <f ca="1">INDIRECT("template!I37")</f>
        <v xml:space="preserve">Destination Blob Number </v>
      </c>
      <c r="J37" s="150" t="s">
        <v>568</v>
      </c>
    </row>
    <row r="38" spans="1:10" ht="48.6">
      <c r="A38" s="41" t="s">
        <v>126</v>
      </c>
      <c r="B38" s="60">
        <v>16</v>
      </c>
      <c r="C38" s="60">
        <f t="shared" ca="1" si="17"/>
        <v>479</v>
      </c>
      <c r="D38" s="60">
        <f t="shared" ca="1" si="10"/>
        <v>464</v>
      </c>
      <c r="E38" s="60">
        <f t="shared" ca="1" si="18"/>
        <v>14</v>
      </c>
      <c r="F38" s="60">
        <f t="shared" ca="1" si="19"/>
        <v>31</v>
      </c>
      <c r="G38" s="60">
        <f t="shared" ca="1" si="20"/>
        <v>16</v>
      </c>
      <c r="H38" s="60" t="s">
        <v>73</v>
      </c>
      <c r="I38" s="62" t="str">
        <f ca="1">INDIRECT("template!I38")</f>
        <v xml:space="preserve">Destination blob C </v>
      </c>
      <c r="J38" s="150" t="s">
        <v>568</v>
      </c>
    </row>
    <row r="39" spans="1:10" ht="32.4">
      <c r="A39" s="41" t="s">
        <v>128</v>
      </c>
      <c r="B39" s="60">
        <v>16</v>
      </c>
      <c r="C39" s="60">
        <f t="shared" ca="1" si="17"/>
        <v>495</v>
      </c>
      <c r="D39" s="60">
        <f t="shared" ca="1" si="10"/>
        <v>480</v>
      </c>
      <c r="E39" s="60">
        <f t="shared" ca="1" si="18"/>
        <v>15</v>
      </c>
      <c r="F39" s="60">
        <f t="shared" ca="1" si="19"/>
        <v>15</v>
      </c>
      <c r="G39" s="60">
        <f t="shared" ca="1" si="20"/>
        <v>0</v>
      </c>
      <c r="H39" s="60" t="s">
        <v>73</v>
      </c>
      <c r="I39" s="62" t="str">
        <f ca="1">INDIRECT("template!I39")</f>
        <v>Destination blob H</v>
      </c>
      <c r="J39" s="150" t="s">
        <v>569</v>
      </c>
    </row>
    <row r="40" spans="1:10" ht="32.4">
      <c r="A40" s="41" t="s">
        <v>130</v>
      </c>
      <c r="B40" s="60">
        <v>16</v>
      </c>
      <c r="C40" s="60">
        <f t="shared" ca="1" si="17"/>
        <v>511</v>
      </c>
      <c r="D40" s="60">
        <f t="shared" ca="1" si="10"/>
        <v>496</v>
      </c>
      <c r="E40" s="60">
        <f t="shared" ca="1" si="18"/>
        <v>15</v>
      </c>
      <c r="F40" s="60">
        <f t="shared" ca="1" si="19"/>
        <v>31</v>
      </c>
      <c r="G40" s="60">
        <f t="shared" ca="1" si="20"/>
        <v>16</v>
      </c>
      <c r="H40" s="60" t="s">
        <v>73</v>
      </c>
      <c r="I40" s="62" t="str">
        <f ca="1">INDIRECT("template!I40")</f>
        <v xml:space="preserve">Destination blob W </v>
      </c>
      <c r="J40" s="150" t="s">
        <v>569</v>
      </c>
    </row>
    <row r="41" spans="1:10" ht="32.4">
      <c r="A41" s="41" t="s">
        <v>132</v>
      </c>
      <c r="B41" s="60">
        <v>32</v>
      </c>
      <c r="C41" s="60">
        <f t="shared" ca="1" si="17"/>
        <v>543</v>
      </c>
      <c r="D41" s="60">
        <f t="shared" ca="1" si="10"/>
        <v>512</v>
      </c>
      <c r="E41" s="60">
        <f t="shared" ca="1" si="18"/>
        <v>16</v>
      </c>
      <c r="F41" s="60">
        <f t="shared" ca="1" si="19"/>
        <v>31</v>
      </c>
      <c r="G41" s="60">
        <f t="shared" ca="1" si="20"/>
        <v>0</v>
      </c>
      <c r="H41" s="60" t="s">
        <v>73</v>
      </c>
      <c r="I41" s="62" t="s">
        <v>133</v>
      </c>
      <c r="J41" s="150" t="s">
        <v>563</v>
      </c>
    </row>
    <row r="42" spans="1:10" ht="280.8">
      <c r="A42" s="41" t="s">
        <v>134</v>
      </c>
      <c r="B42" s="60">
        <v>13</v>
      </c>
      <c r="C42" s="60">
        <f t="shared" ca="1" si="17"/>
        <v>556</v>
      </c>
      <c r="D42" s="60">
        <f t="shared" ca="1" si="10"/>
        <v>544</v>
      </c>
      <c r="E42" s="60">
        <f t="shared" ca="1" si="18"/>
        <v>17</v>
      </c>
      <c r="F42" s="60">
        <f t="shared" ca="1" si="19"/>
        <v>12</v>
      </c>
      <c r="G42" s="60">
        <f t="shared" ca="1" si="20"/>
        <v>0</v>
      </c>
      <c r="H42" s="60" t="s">
        <v>73</v>
      </c>
      <c r="I42" s="62" t="str">
        <f ca="1">CONCATENATE(INDIRECT("template!I42"))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42" s="150" t="s">
        <v>563</v>
      </c>
    </row>
    <row r="43" spans="1:10">
      <c r="A43" s="41" t="s">
        <v>87</v>
      </c>
      <c r="B43" s="60">
        <v>19</v>
      </c>
      <c r="C43" s="60">
        <f t="shared" ca="1" si="17"/>
        <v>575</v>
      </c>
      <c r="D43" s="60">
        <f t="shared" ca="1" si="10"/>
        <v>557</v>
      </c>
      <c r="E43" s="60">
        <f t="shared" ca="1" si="18"/>
        <v>17</v>
      </c>
      <c r="F43" s="60">
        <f t="shared" ca="1" si="19"/>
        <v>31</v>
      </c>
      <c r="G43" s="60">
        <f t="shared" ca="1" si="20"/>
        <v>13</v>
      </c>
      <c r="H43" s="60" t="s">
        <v>88</v>
      </c>
      <c r="I43" s="62" t="str">
        <f ca="1">INDIRECT("template!I43")</f>
        <v>reserved</v>
      </c>
      <c r="J43" s="149">
        <v>0</v>
      </c>
    </row>
    <row r="44" spans="1:10">
      <c r="A44" s="41" t="s">
        <v>135</v>
      </c>
      <c r="B44" s="60">
        <v>32</v>
      </c>
      <c r="C44" s="60">
        <f t="shared" ca="1" si="17"/>
        <v>607</v>
      </c>
      <c r="D44" s="60">
        <f t="shared" ca="1" si="10"/>
        <v>576</v>
      </c>
      <c r="E44" s="60">
        <f t="shared" ca="1" si="18"/>
        <v>18</v>
      </c>
      <c r="F44" s="60">
        <f t="shared" ca="1" si="19"/>
        <v>31</v>
      </c>
      <c r="G44" s="60">
        <f t="shared" ca="1" si="20"/>
        <v>0</v>
      </c>
      <c r="H44" s="60" t="s">
        <v>73</v>
      </c>
      <c r="I44" s="62" t="s">
        <v>136</v>
      </c>
      <c r="J44" s="118" t="s">
        <v>95</v>
      </c>
    </row>
    <row r="45" spans="1:10" ht="280.8">
      <c r="A45" s="41" t="s">
        <v>137</v>
      </c>
      <c r="B45" s="60">
        <v>13</v>
      </c>
      <c r="C45" s="60">
        <f t="shared" ca="1" si="17"/>
        <v>620</v>
      </c>
      <c r="D45" s="60">
        <f t="shared" ca="1" si="10"/>
        <v>608</v>
      </c>
      <c r="E45" s="60">
        <f t="shared" ca="1" si="18"/>
        <v>19</v>
      </c>
      <c r="F45" s="60">
        <f t="shared" ca="1" si="19"/>
        <v>12</v>
      </c>
      <c r="G45" s="60">
        <f t="shared" ca="1" si="20"/>
        <v>0</v>
      </c>
      <c r="H45" s="60" t="s">
        <v>73</v>
      </c>
      <c r="I45" s="62" t="str">
        <f ca="1">CONCATENATE(INDIRECT("template!I45"))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dst is tiu, otherwise, dst is DTN</v>
      </c>
      <c r="J45" s="150" t="s">
        <v>95</v>
      </c>
    </row>
    <row r="46" spans="1:10">
      <c r="A46" s="41" t="s">
        <v>87</v>
      </c>
      <c r="B46" s="60">
        <v>19</v>
      </c>
      <c r="C46" s="60">
        <f t="shared" ca="1" si="17"/>
        <v>639</v>
      </c>
      <c r="D46" s="60">
        <f t="shared" ca="1" si="10"/>
        <v>621</v>
      </c>
      <c r="E46" s="60">
        <f t="shared" ca="1" si="18"/>
        <v>19</v>
      </c>
      <c r="F46" s="60">
        <f t="shared" ca="1" si="19"/>
        <v>31</v>
      </c>
      <c r="G46" s="60">
        <f t="shared" ca="1" si="20"/>
        <v>13</v>
      </c>
      <c r="H46" s="60" t="s">
        <v>88</v>
      </c>
      <c r="I46" s="62" t="str">
        <f ca="1">INDIRECT("template!I46")</f>
        <v>reserved</v>
      </c>
      <c r="J46" s="149">
        <v>0</v>
      </c>
    </row>
    <row r="47" spans="1:10" ht="93.6">
      <c r="A47" s="41" t="s">
        <v>138</v>
      </c>
      <c r="B47" s="60">
        <v>16</v>
      </c>
      <c r="C47" s="60">
        <f t="shared" ca="1" si="17"/>
        <v>655</v>
      </c>
      <c r="D47" s="60">
        <f t="shared" ca="1" si="10"/>
        <v>640</v>
      </c>
      <c r="E47" s="60">
        <f t="shared" ca="1" si="18"/>
        <v>20</v>
      </c>
      <c r="F47" s="60">
        <f t="shared" ca="1" si="19"/>
        <v>15</v>
      </c>
      <c r="G47" s="60">
        <f t="shared" ca="1" si="20"/>
        <v>0</v>
      </c>
      <c r="H47" s="60" t="s">
        <v>73</v>
      </c>
      <c r="I47" s="156" t="s">
        <v>1335</v>
      </c>
      <c r="J47" s="150" t="s">
        <v>95</v>
      </c>
    </row>
    <row r="48" spans="1:10" s="35" customFormat="1">
      <c r="A48" s="41" t="s">
        <v>89</v>
      </c>
      <c r="B48" s="60">
        <v>16</v>
      </c>
      <c r="C48" s="60">
        <f t="shared" ca="1" si="17"/>
        <v>671</v>
      </c>
      <c r="D48" s="60">
        <f t="shared" ca="1" si="10"/>
        <v>656</v>
      </c>
      <c r="E48" s="60">
        <f t="shared" ca="1" si="18"/>
        <v>20</v>
      </c>
      <c r="F48" s="60">
        <f t="shared" ca="1" si="19"/>
        <v>31</v>
      </c>
      <c r="G48" s="60">
        <f t="shared" ca="1" si="20"/>
        <v>16</v>
      </c>
      <c r="H48" s="60" t="s">
        <v>88</v>
      </c>
      <c r="I48" s="130" t="s">
        <v>1353</v>
      </c>
      <c r="J48" s="149">
        <v>0</v>
      </c>
    </row>
    <row r="49" spans="1:10" s="35" customFormat="1">
      <c r="A49" s="41" t="s">
        <v>89</v>
      </c>
      <c r="B49" s="60">
        <v>16</v>
      </c>
      <c r="C49" s="60">
        <f t="shared" ca="1" si="17"/>
        <v>687</v>
      </c>
      <c r="D49" s="60">
        <f t="shared" ca="1" si="10"/>
        <v>672</v>
      </c>
      <c r="E49" s="60">
        <f t="shared" ca="1" si="18"/>
        <v>21</v>
      </c>
      <c r="F49" s="60">
        <f t="shared" ca="1" si="19"/>
        <v>15</v>
      </c>
      <c r="G49" s="60">
        <f t="shared" ca="1" si="20"/>
        <v>0</v>
      </c>
      <c r="H49" s="60" t="s">
        <v>88</v>
      </c>
      <c r="I49" s="130" t="s">
        <v>1353</v>
      </c>
      <c r="J49" s="149">
        <v>0</v>
      </c>
    </row>
    <row r="50" spans="1:10">
      <c r="A50" s="41" t="s">
        <v>89</v>
      </c>
      <c r="B50" s="60">
        <v>16</v>
      </c>
      <c r="C50" s="60">
        <f t="shared" ca="1" si="17"/>
        <v>703</v>
      </c>
      <c r="D50" s="60">
        <f t="shared" ca="1" si="10"/>
        <v>688</v>
      </c>
      <c r="E50" s="60">
        <f t="shared" ca="1" si="18"/>
        <v>21</v>
      </c>
      <c r="F50" s="60">
        <f t="shared" ca="1" si="19"/>
        <v>31</v>
      </c>
      <c r="G50" s="60">
        <f t="shared" ca="1" si="20"/>
        <v>16</v>
      </c>
      <c r="H50" s="60" t="s">
        <v>88</v>
      </c>
      <c r="I50" s="130" t="s">
        <v>1353</v>
      </c>
      <c r="J50" s="149">
        <v>0</v>
      </c>
    </row>
    <row r="51" spans="1:10" ht="48.6">
      <c r="A51" s="41" t="s">
        <v>139</v>
      </c>
      <c r="B51" s="60">
        <v>32</v>
      </c>
      <c r="C51" s="60">
        <f ca="1">D51+B51-1</f>
        <v>735</v>
      </c>
      <c r="D51" s="60">
        <f ca="1">INDIRECT(ADDRESS(ROW()-1,COLUMN()-1))+1</f>
        <v>704</v>
      </c>
      <c r="E51" s="60">
        <f ca="1">ROUNDDOWN(C51/32,0)</f>
        <v>22</v>
      </c>
      <c r="F51" s="60">
        <f ca="1">C51-E51*32</f>
        <v>31</v>
      </c>
      <c r="G51" s="60">
        <f ca="1">D51-E51*32</f>
        <v>0</v>
      </c>
      <c r="H51" s="60" t="s">
        <v>73</v>
      </c>
      <c r="I51" s="62" t="s">
        <v>140</v>
      </c>
      <c r="J51" s="150" t="s">
        <v>570</v>
      </c>
    </row>
    <row r="52" spans="1:10" ht="48.6">
      <c r="A52" s="41" t="s">
        <v>141</v>
      </c>
      <c r="B52" s="60">
        <v>32</v>
      </c>
      <c r="C52" s="60">
        <f ca="1">D52+B52-1</f>
        <v>767</v>
      </c>
      <c r="D52" s="60">
        <f ca="1">INDIRECT(ADDRESS(ROW()-1,COLUMN()-1))+1</f>
        <v>736</v>
      </c>
      <c r="E52" s="60">
        <f ca="1">ROUNDDOWN(C52/32,0)</f>
        <v>23</v>
      </c>
      <c r="F52" s="60">
        <f ca="1">C52-E52*32</f>
        <v>31</v>
      </c>
      <c r="G52" s="60">
        <f ca="1">D52-E52*32</f>
        <v>0</v>
      </c>
      <c r="H52" s="60" t="s">
        <v>73</v>
      </c>
      <c r="I52" s="62" t="s">
        <v>142</v>
      </c>
      <c r="J52" s="150" t="s">
        <v>570</v>
      </c>
    </row>
    <row r="53" spans="1:10">
      <c r="A53" s="151" t="s">
        <v>571</v>
      </c>
      <c r="B53" s="152"/>
      <c r="C53" s="152"/>
      <c r="D53" s="152"/>
      <c r="E53" s="152"/>
      <c r="F53" s="152"/>
      <c r="G53" s="152"/>
      <c r="H53" s="153"/>
      <c r="I53" s="154"/>
      <c r="J53" s="153"/>
    </row>
    <row r="54" spans="1:10">
      <c r="A54" s="151" t="s">
        <v>144</v>
      </c>
      <c r="B54" s="152"/>
      <c r="C54" s="152"/>
      <c r="D54" s="152"/>
      <c r="E54" s="152"/>
      <c r="F54" s="152"/>
      <c r="G54" s="152"/>
      <c r="H54" s="153"/>
      <c r="I54" s="154"/>
      <c r="J54" s="153"/>
    </row>
    <row r="55" spans="1:10">
      <c r="A55" s="151" t="s">
        <v>145</v>
      </c>
      <c r="B55" s="152"/>
      <c r="C55" s="152"/>
      <c r="D55" s="152"/>
      <c r="E55" s="152"/>
      <c r="F55" s="152"/>
      <c r="G55" s="152"/>
      <c r="H55" s="153"/>
      <c r="I55" s="154"/>
      <c r="J55" s="153"/>
    </row>
    <row r="56" spans="1:10">
      <c r="A56" s="151" t="s">
        <v>146</v>
      </c>
      <c r="B56" s="152"/>
      <c r="C56" s="152"/>
      <c r="D56" s="152"/>
      <c r="E56" s="152"/>
      <c r="F56" s="152"/>
      <c r="G56" s="152"/>
      <c r="H56" s="153"/>
      <c r="I56" s="154"/>
      <c r="J56" s="153"/>
    </row>
    <row r="57" spans="1:10">
      <c r="A57" s="151" t="s">
        <v>147</v>
      </c>
      <c r="B57" s="152"/>
      <c r="C57" s="152"/>
      <c r="D57" s="152"/>
      <c r="E57" s="152"/>
      <c r="F57" s="152"/>
      <c r="G57" s="152"/>
      <c r="H57" s="153"/>
      <c r="I57" s="154"/>
      <c r="J57" s="153"/>
    </row>
  </sheetData>
  <phoneticPr fontId="32" type="noConversion"/>
  <pageMargins left="0.25" right="0.25" top="0.75" bottom="0.75" header="0.3" footer="0.3"/>
  <pageSetup paperSize="9" scale="50"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4"/>
  <sheetViews>
    <sheetView workbookViewId="0">
      <pane ySplit="1" topLeftCell="A32" activePane="bottomLeft" state="frozen"/>
      <selection pane="bottomLeft" activeCell="I65" sqref="I65"/>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51.109375" style="37" customWidth="1"/>
    <col min="10" max="10" width="46.44140625" style="36" customWidth="1"/>
    <col min="11" max="16384" width="15.44140625" style="36"/>
  </cols>
  <sheetData>
    <row r="1" spans="1:10">
      <c r="A1" s="38" t="s">
        <v>66</v>
      </c>
      <c r="B1" s="39" t="s">
        <v>67</v>
      </c>
      <c r="C1" s="39" t="s">
        <v>68</v>
      </c>
      <c r="D1" s="39" t="s">
        <v>69</v>
      </c>
      <c r="E1" s="39" t="s">
        <v>70</v>
      </c>
      <c r="F1" s="39" t="s">
        <v>71</v>
      </c>
      <c r="G1" s="39" t="s">
        <v>72</v>
      </c>
      <c r="H1" s="40" t="s">
        <v>73</v>
      </c>
      <c r="I1" s="45" t="s">
        <v>74</v>
      </c>
      <c r="J1" s="148" t="s">
        <v>555</v>
      </c>
    </row>
    <row r="2" spans="1:10" ht="46.8">
      <c r="A2" s="41" t="s">
        <v>75</v>
      </c>
      <c r="B2" s="60">
        <v>1</v>
      </c>
      <c r="C2" s="60">
        <f>D2+B2-1</f>
        <v>0</v>
      </c>
      <c r="D2" s="60">
        <v>0</v>
      </c>
      <c r="E2" s="60">
        <f>ROUNDDOWN(C2/32,0)</f>
        <v>0</v>
      </c>
      <c r="F2" s="60">
        <f>C2-E2*32</f>
        <v>0</v>
      </c>
      <c r="G2" s="60">
        <f>D2-E2*32</f>
        <v>0</v>
      </c>
      <c r="H2" s="60" t="s">
        <v>73</v>
      </c>
      <c r="I2" s="62" t="str">
        <f ca="1">CONCATENATE(INDIRECT("template!I2"))</f>
        <v>Interrupt Enable;if this bit is set, CPU COULD get interrupt when the instruction is finished 
0: disable interrupt
1: enable interrupt</v>
      </c>
      <c r="J2" s="118" t="s">
        <v>95</v>
      </c>
    </row>
    <row r="3" spans="1:10" ht="46.8">
      <c r="A3" s="41" t="s">
        <v>77</v>
      </c>
      <c r="B3" s="60">
        <v>1</v>
      </c>
      <c r="C3" s="60">
        <f t="shared" ref="C3:C49" ca="1" si="0">D3+B3-1</f>
        <v>1</v>
      </c>
      <c r="D3" s="60">
        <f t="shared" ref="D3:D49" ca="1" si="1">INDIRECT(ADDRESS(ROW()-1,COLUMN()-1))+1</f>
        <v>1</v>
      </c>
      <c r="E3" s="60">
        <f t="shared" ref="E3:E49" ca="1" si="2">ROUNDDOWN(C3/32,0)</f>
        <v>0</v>
      </c>
      <c r="F3" s="60">
        <f t="shared" ref="F3:F49" ca="1" si="3">C3-E3*32</f>
        <v>1</v>
      </c>
      <c r="G3" s="60">
        <f t="shared" ref="G3:G49" ca="1" si="4">D3-E3*32</f>
        <v>1</v>
      </c>
      <c r="H3" s="60" t="s">
        <v>73</v>
      </c>
      <c r="I3" s="62" t="str">
        <f ca="1">CONCATENATE(INDIRECT("template!I3"))</f>
        <v>Stride enable
0：No stride for all blob definition
1：Enable stride for all blob definition</v>
      </c>
      <c r="J3" s="118" t="s">
        <v>95</v>
      </c>
    </row>
    <row r="4" spans="1:10" ht="46.8">
      <c r="A4" s="41" t="s">
        <v>79</v>
      </c>
      <c r="B4" s="60">
        <v>1</v>
      </c>
      <c r="C4" s="60">
        <f t="shared" ca="1" si="0"/>
        <v>2</v>
      </c>
      <c r="D4" s="60">
        <f t="shared" ca="1" si="1"/>
        <v>2</v>
      </c>
      <c r="E4" s="60">
        <f t="shared" ca="1" si="2"/>
        <v>0</v>
      </c>
      <c r="F4" s="60">
        <f t="shared" ca="1" si="3"/>
        <v>2</v>
      </c>
      <c r="G4" s="60">
        <f t="shared" ref="G4:G23" ca="1" si="5">D4-E4*32</f>
        <v>2</v>
      </c>
      <c r="H4" s="60" t="s">
        <v>73</v>
      </c>
      <c r="I4" s="62" t="str">
        <f ca="1">CONCATENATE(INDIRECT("template!I4"))</f>
        <v>NCHW copy bit
0: use separate src and dst NCHW value setting
1: reuse src NCHW value for dst NCHW value</v>
      </c>
      <c r="J4" s="149">
        <v>0</v>
      </c>
    </row>
    <row r="5" spans="1:10" ht="31.2">
      <c r="A5" s="41" t="s">
        <v>559</v>
      </c>
      <c r="B5" s="60">
        <v>1</v>
      </c>
      <c r="C5" s="60">
        <f t="shared" ca="1" si="0"/>
        <v>3</v>
      </c>
      <c r="D5" s="60">
        <f t="shared" ca="1" si="1"/>
        <v>3</v>
      </c>
      <c r="E5" s="60">
        <f t="shared" ca="1" si="2"/>
        <v>0</v>
      </c>
      <c r="F5" s="60">
        <f t="shared" ca="1" si="3"/>
        <v>3</v>
      </c>
      <c r="G5" s="60">
        <f t="shared" ca="1" si="5"/>
        <v>3</v>
      </c>
      <c r="H5" s="60" t="s">
        <v>73</v>
      </c>
      <c r="I5" s="62" t="str">
        <f ca="1">CONCATENATE(INDIRECT("template!I5"))</f>
        <v>0:768bit full cmd;
1:128/256/384/512 short cmd</v>
      </c>
      <c r="J5" s="118" t="s">
        <v>95</v>
      </c>
    </row>
    <row r="6" spans="1:10" ht="30.9" customHeight="1">
      <c r="A6" s="41" t="s">
        <v>83</v>
      </c>
      <c r="B6" s="60">
        <v>1</v>
      </c>
      <c r="C6" s="60">
        <f t="shared" ca="1" si="0"/>
        <v>4</v>
      </c>
      <c r="D6" s="60">
        <f t="shared" ca="1" si="1"/>
        <v>4</v>
      </c>
      <c r="E6" s="60">
        <f t="shared" ca="1" si="2"/>
        <v>0</v>
      </c>
      <c r="F6" s="60">
        <f t="shared" ca="1" si="3"/>
        <v>4</v>
      </c>
      <c r="G6" s="60">
        <f t="shared" ca="1" si="5"/>
        <v>4</v>
      </c>
      <c r="H6" s="60" t="s">
        <v>73</v>
      </c>
      <c r="I6" s="62" t="str">
        <f ca="1">CONCATENATE(INDIRECT("template!I6"))</f>
        <v>Read cache enable
0: Read not use cache
1: Read use cache</v>
      </c>
      <c r="J6" s="118" t="s">
        <v>95</v>
      </c>
    </row>
    <row r="7" spans="1:10" ht="72" customHeight="1">
      <c r="A7" s="41" t="s">
        <v>85</v>
      </c>
      <c r="B7" s="60">
        <v>1</v>
      </c>
      <c r="C7" s="60">
        <f t="shared" ca="1" si="0"/>
        <v>5</v>
      </c>
      <c r="D7" s="60">
        <f t="shared" ca="1" si="1"/>
        <v>5</v>
      </c>
      <c r="E7" s="60">
        <f t="shared" ca="1" si="2"/>
        <v>0</v>
      </c>
      <c r="F7" s="60">
        <f t="shared" ca="1" si="3"/>
        <v>5</v>
      </c>
      <c r="G7" s="60">
        <f t="shared" ca="1" si="5"/>
        <v>5</v>
      </c>
      <c r="H7" s="60" t="s">
        <v>73</v>
      </c>
      <c r="I7" s="62" t="str">
        <f ca="1">CONCATENATE(INDIRECT("template!I7"))</f>
        <v>Flush cache
0: Not Flush cache
1: Flush cache</v>
      </c>
      <c r="J7" s="118" t="s">
        <v>95</v>
      </c>
    </row>
    <row r="8" spans="1:10">
      <c r="A8" s="41" t="s">
        <v>87</v>
      </c>
      <c r="B8" s="60">
        <v>2</v>
      </c>
      <c r="C8" s="60">
        <f t="shared" ca="1" si="0"/>
        <v>7</v>
      </c>
      <c r="D8" s="60">
        <f t="shared" ca="1" si="1"/>
        <v>6</v>
      </c>
      <c r="E8" s="60">
        <f t="shared" ca="1" si="2"/>
        <v>0</v>
      </c>
      <c r="F8" s="60">
        <f t="shared" ca="1" si="3"/>
        <v>7</v>
      </c>
      <c r="G8" s="60">
        <f t="shared" ca="1" si="5"/>
        <v>6</v>
      </c>
      <c r="H8" s="60" t="s">
        <v>88</v>
      </c>
      <c r="I8" s="62" t="str">
        <f ca="1">CONCATENATE(INDIRECT("template!I8"))</f>
        <v>reserved</v>
      </c>
      <c r="J8" s="149">
        <v>0</v>
      </c>
    </row>
    <row r="9" spans="1:10" ht="15.9" customHeight="1">
      <c r="A9" s="41" t="s">
        <v>1234</v>
      </c>
      <c r="B9" s="60">
        <v>1</v>
      </c>
      <c r="C9" s="60">
        <f t="shared" si="0"/>
        <v>8</v>
      </c>
      <c r="D9" s="60">
        <v>8</v>
      </c>
      <c r="E9" s="60">
        <v>0</v>
      </c>
      <c r="F9" s="60">
        <v>8</v>
      </c>
      <c r="G9" s="60">
        <v>8</v>
      </c>
      <c r="H9" s="60" t="s">
        <v>1235</v>
      </c>
      <c r="I9" s="62"/>
      <c r="J9" s="118" t="s">
        <v>95</v>
      </c>
    </row>
    <row r="10" spans="1:10" customFormat="1">
      <c r="A10" s="41" t="s">
        <v>1236</v>
      </c>
      <c r="B10" s="60">
        <v>1</v>
      </c>
      <c r="C10" s="60">
        <f t="shared" si="0"/>
        <v>9</v>
      </c>
      <c r="D10" s="60">
        <v>9</v>
      </c>
      <c r="E10" s="60">
        <v>0</v>
      </c>
      <c r="F10" s="60">
        <v>9</v>
      </c>
      <c r="G10" s="60">
        <v>9</v>
      </c>
      <c r="H10" s="60" t="s">
        <v>1235</v>
      </c>
      <c r="I10" s="62"/>
      <c r="J10" s="118" t="s">
        <v>95</v>
      </c>
    </row>
    <row r="11" spans="1:10">
      <c r="A11" s="41" t="s">
        <v>1237</v>
      </c>
      <c r="B11" s="60">
        <v>1</v>
      </c>
      <c r="C11" s="60">
        <f t="shared" si="0"/>
        <v>10</v>
      </c>
      <c r="D11" s="60">
        <v>10</v>
      </c>
      <c r="E11" s="60">
        <v>0</v>
      </c>
      <c r="F11" s="60">
        <v>10</v>
      </c>
      <c r="G11" s="60">
        <v>10</v>
      </c>
      <c r="H11" s="60" t="s">
        <v>1235</v>
      </c>
      <c r="I11" s="62"/>
      <c r="J11" s="118" t="s">
        <v>95</v>
      </c>
    </row>
    <row r="12" spans="1:10">
      <c r="A12" s="41" t="s">
        <v>1240</v>
      </c>
      <c r="B12" s="60">
        <v>1</v>
      </c>
      <c r="C12" s="60">
        <v>11</v>
      </c>
      <c r="D12" s="60">
        <v>11</v>
      </c>
      <c r="E12" s="60">
        <v>0</v>
      </c>
      <c r="F12" s="60">
        <v>11</v>
      </c>
      <c r="G12" s="60">
        <v>11</v>
      </c>
      <c r="H12" s="60" t="s">
        <v>1241</v>
      </c>
      <c r="I12" s="62"/>
      <c r="J12" s="118" t="s">
        <v>95</v>
      </c>
    </row>
    <row r="13" spans="1:10">
      <c r="A13" s="41" t="s">
        <v>89</v>
      </c>
      <c r="B13" s="60">
        <v>20</v>
      </c>
      <c r="C13" s="60">
        <f t="shared" ca="1" si="0"/>
        <v>31</v>
      </c>
      <c r="D13" s="60">
        <f t="shared" ca="1" si="1"/>
        <v>12</v>
      </c>
      <c r="E13" s="60">
        <f t="shared" ca="1" si="2"/>
        <v>0</v>
      </c>
      <c r="F13" s="60">
        <f t="shared" ca="1" si="3"/>
        <v>31</v>
      </c>
      <c r="G13" s="60">
        <f t="shared" ca="1" si="5"/>
        <v>12</v>
      </c>
      <c r="H13" s="60" t="s">
        <v>88</v>
      </c>
      <c r="I13" s="62" t="str">
        <f ca="1">CONCATENATE(INDIRECT("template!I9"))</f>
        <v/>
      </c>
      <c r="J13" s="149">
        <v>0</v>
      </c>
    </row>
    <row r="14" spans="1:10" ht="93.6">
      <c r="A14" s="41" t="s">
        <v>90</v>
      </c>
      <c r="B14" s="60">
        <v>5</v>
      </c>
      <c r="C14" s="60">
        <f t="shared" ca="1" si="0"/>
        <v>36</v>
      </c>
      <c r="D14" s="60">
        <f t="shared" ca="1" si="1"/>
        <v>32</v>
      </c>
      <c r="E14" s="60">
        <f t="shared" ca="1" si="2"/>
        <v>1</v>
      </c>
      <c r="F14" s="60">
        <f t="shared" ca="1" si="3"/>
        <v>4</v>
      </c>
      <c r="G14" s="60">
        <f t="shared" ca="1" si="5"/>
        <v>0</v>
      </c>
      <c r="H14" s="60" t="s">
        <v>73</v>
      </c>
      <c r="I14" s="62" t="str">
        <f ca="1">CONCATENATE(INDIRECT("template!I14"))</f>
        <v>0x0:GDMA_tensor                     0x1:GDMA_matrix
0x2:GDMA_masked_select       0x3:GDMA_general
                                                   0x5:GDMA_nonzero
0x6:GDMA_sys                           0x7:GDMA_gather
0x8:GDMA_scatter                    0x9:GDMA_reverse
0xc:GDMA_lossy_compress      0xd:GDMA_lossy_decompress</v>
      </c>
      <c r="J14" s="118" t="s">
        <v>95</v>
      </c>
    </row>
    <row r="15" spans="1:10" ht="62.4">
      <c r="A15" s="41" t="s">
        <v>91</v>
      </c>
      <c r="B15" s="60">
        <v>3</v>
      </c>
      <c r="C15" s="60">
        <f t="shared" ca="1" si="0"/>
        <v>39</v>
      </c>
      <c r="D15" s="60">
        <f t="shared" ca="1" si="1"/>
        <v>37</v>
      </c>
      <c r="E15" s="60">
        <f t="shared" ca="1" si="2"/>
        <v>1</v>
      </c>
      <c r="F15" s="60">
        <f t="shared" ca="1" si="3"/>
        <v>7</v>
      </c>
      <c r="G15" s="60">
        <f t="shared" ca="1" si="5"/>
        <v>5</v>
      </c>
      <c r="H15" s="60" t="s">
        <v>73</v>
      </c>
      <c r="I15" s="62" t="s">
        <v>572</v>
      </c>
      <c r="J15" s="118" t="s">
        <v>95</v>
      </c>
    </row>
    <row r="16" spans="1:10">
      <c r="A16" s="41" t="s">
        <v>93</v>
      </c>
      <c r="B16" s="60">
        <v>1</v>
      </c>
      <c r="C16" s="60">
        <f t="shared" ca="1" si="0"/>
        <v>40</v>
      </c>
      <c r="D16" s="60">
        <f t="shared" ca="1" si="1"/>
        <v>40</v>
      </c>
      <c r="E16" s="60">
        <f t="shared" ca="1" si="2"/>
        <v>1</v>
      </c>
      <c r="F16" s="60">
        <f t="shared" ca="1" si="3"/>
        <v>8</v>
      </c>
      <c r="G16" s="60">
        <f t="shared" ca="1" si="5"/>
        <v>8</v>
      </c>
      <c r="H16" s="60" t="s">
        <v>73</v>
      </c>
      <c r="I16" s="62" t="s">
        <v>573</v>
      </c>
      <c r="J16" s="157" t="s">
        <v>574</v>
      </c>
    </row>
    <row r="17" spans="1:10" ht="156">
      <c r="A17" s="41" t="s">
        <v>96</v>
      </c>
      <c r="B17" s="60">
        <v>4</v>
      </c>
      <c r="C17" s="60">
        <f t="shared" ca="1" si="0"/>
        <v>44</v>
      </c>
      <c r="D17" s="60">
        <f t="shared" ca="1" si="1"/>
        <v>41</v>
      </c>
      <c r="E17" s="60">
        <f t="shared" ca="1" si="2"/>
        <v>1</v>
      </c>
      <c r="F17" s="60">
        <f t="shared" ca="1" si="3"/>
        <v>12</v>
      </c>
      <c r="G17" s="60">
        <f t="shared" ca="1" si="5"/>
        <v>9</v>
      </c>
      <c r="H17" s="60" t="s">
        <v>73</v>
      </c>
      <c r="I17" s="62" t="s">
        <v>1336</v>
      </c>
      <c r="J17" s="118" t="s">
        <v>95</v>
      </c>
    </row>
    <row r="18" spans="1:10">
      <c r="A18" s="41" t="s">
        <v>87</v>
      </c>
      <c r="B18" s="60">
        <v>19</v>
      </c>
      <c r="C18" s="60">
        <f t="shared" ca="1" si="0"/>
        <v>63</v>
      </c>
      <c r="D18" s="60">
        <f t="shared" ca="1" si="1"/>
        <v>45</v>
      </c>
      <c r="E18" s="60">
        <f t="shared" ca="1" si="2"/>
        <v>1</v>
      </c>
      <c r="F18" s="60">
        <f t="shared" ca="1" si="3"/>
        <v>31</v>
      </c>
      <c r="G18" s="60">
        <f t="shared" ca="1" si="5"/>
        <v>13</v>
      </c>
      <c r="H18" s="60" t="s">
        <v>88</v>
      </c>
      <c r="I18" s="62" t="str">
        <f ca="1">CONCATENATE(INDIRECT("template!I18"))</f>
        <v>reserved</v>
      </c>
      <c r="J18" s="149">
        <v>0</v>
      </c>
    </row>
    <row r="19" spans="1:10" ht="27" customHeight="1">
      <c r="A19" s="41" t="s">
        <v>97</v>
      </c>
      <c r="B19" s="60">
        <v>21</v>
      </c>
      <c r="C19" s="60">
        <f t="shared" ca="1" si="0"/>
        <v>84</v>
      </c>
      <c r="D19" s="60">
        <f t="shared" ca="1" si="1"/>
        <v>64</v>
      </c>
      <c r="E19" s="60">
        <f t="shared" ca="1" si="2"/>
        <v>2</v>
      </c>
      <c r="F19" s="60">
        <f t="shared" ca="1" si="3"/>
        <v>20</v>
      </c>
      <c r="G19" s="60">
        <f t="shared" ca="1" si="5"/>
        <v>0</v>
      </c>
      <c r="H19" s="60" t="s">
        <v>73</v>
      </c>
      <c r="I19" s="62" t="s">
        <v>1334</v>
      </c>
      <c r="J19" s="118" t="s">
        <v>95</v>
      </c>
    </row>
    <row r="20" spans="1:10">
      <c r="A20" s="41" t="s">
        <v>87</v>
      </c>
      <c r="B20" s="60">
        <v>2</v>
      </c>
      <c r="C20" s="60">
        <v>86</v>
      </c>
      <c r="D20" s="60">
        <v>85</v>
      </c>
      <c r="E20" s="60">
        <f t="shared" si="2"/>
        <v>2</v>
      </c>
      <c r="F20" s="60">
        <v>22</v>
      </c>
      <c r="G20" s="60">
        <f t="shared" si="5"/>
        <v>21</v>
      </c>
      <c r="H20" s="60" t="s">
        <v>988</v>
      </c>
      <c r="I20" s="62" t="s">
        <v>87</v>
      </c>
      <c r="J20" s="148"/>
    </row>
    <row r="21" spans="1:10">
      <c r="A21" s="41" t="s">
        <v>979</v>
      </c>
      <c r="B21" s="60">
        <v>1</v>
      </c>
      <c r="C21" s="60">
        <v>87</v>
      </c>
      <c r="D21" s="60">
        <v>87</v>
      </c>
      <c r="E21" s="60">
        <v>2</v>
      </c>
      <c r="F21" s="60">
        <v>23</v>
      </c>
      <c r="G21" s="60">
        <v>23</v>
      </c>
      <c r="H21" s="60" t="s">
        <v>989</v>
      </c>
      <c r="I21" s="62" t="s">
        <v>990</v>
      </c>
      <c r="J21" s="148"/>
    </row>
    <row r="22" spans="1:10">
      <c r="A22" s="41" t="s">
        <v>87</v>
      </c>
      <c r="B22" s="60">
        <v>8</v>
      </c>
      <c r="C22" s="60">
        <f t="shared" ref="C22" ca="1" si="6">D22+B22-1</f>
        <v>95</v>
      </c>
      <c r="D22" s="60">
        <f t="shared" ref="D22" ca="1" si="7">INDIRECT(ADDRESS(ROW()-1,COLUMN()-1))+1</f>
        <v>88</v>
      </c>
      <c r="E22" s="60">
        <f t="shared" ca="1" si="2"/>
        <v>2</v>
      </c>
      <c r="F22" s="60">
        <v>31</v>
      </c>
      <c r="G22" s="60">
        <f t="shared" ca="1" si="5"/>
        <v>24</v>
      </c>
      <c r="H22" s="60" t="s">
        <v>88</v>
      </c>
      <c r="I22" s="62" t="s">
        <v>87</v>
      </c>
      <c r="J22" s="148"/>
    </row>
    <row r="23" spans="1:10">
      <c r="A23" s="41" t="s">
        <v>98</v>
      </c>
      <c r="B23" s="60">
        <v>32</v>
      </c>
      <c r="C23" s="60">
        <f t="shared" ca="1" si="0"/>
        <v>127</v>
      </c>
      <c r="D23" s="60">
        <f t="shared" ca="1" si="1"/>
        <v>96</v>
      </c>
      <c r="E23" s="60">
        <f t="shared" ca="1" si="2"/>
        <v>3</v>
      </c>
      <c r="F23" s="60">
        <f t="shared" ca="1" si="3"/>
        <v>31</v>
      </c>
      <c r="G23" s="60">
        <f t="shared" ca="1" si="5"/>
        <v>0</v>
      </c>
      <c r="H23" s="60" t="s">
        <v>73</v>
      </c>
      <c r="I23" s="62" t="str">
        <f ca="1">CONCATENATE(INDIRECT("template!I24"))</f>
        <v>when cmd_special_function==fill constant, this field means constant value</v>
      </c>
      <c r="J23" s="149" t="s">
        <v>575</v>
      </c>
    </row>
    <row r="24" spans="1:10" ht="32.4">
      <c r="A24" s="41" t="s">
        <v>100</v>
      </c>
      <c r="B24" s="60">
        <v>32</v>
      </c>
      <c r="C24" s="60">
        <f t="shared" ca="1" si="0"/>
        <v>159</v>
      </c>
      <c r="D24" s="60">
        <f t="shared" ca="1" si="1"/>
        <v>128</v>
      </c>
      <c r="E24" s="60">
        <f t="shared" ca="1" si="2"/>
        <v>4</v>
      </c>
      <c r="F24" s="60">
        <f t="shared" ca="1" si="3"/>
        <v>31</v>
      </c>
      <c r="G24" s="60">
        <f t="shared" ca="1" si="4"/>
        <v>0</v>
      </c>
      <c r="H24" s="60" t="s">
        <v>73</v>
      </c>
      <c r="I24" s="62" t="str">
        <f ca="1">CONCATENATE(INDIRECT("template!I25"))</f>
        <v>unsigned number; Source blob N stride</v>
      </c>
      <c r="J24" s="150" t="s">
        <v>576</v>
      </c>
    </row>
    <row r="25" spans="1:10" ht="32.4">
      <c r="A25" s="41" t="s">
        <v>102</v>
      </c>
      <c r="B25" s="60">
        <v>32</v>
      </c>
      <c r="C25" s="60">
        <f t="shared" ca="1" si="0"/>
        <v>191</v>
      </c>
      <c r="D25" s="60">
        <f t="shared" ca="1" si="1"/>
        <v>160</v>
      </c>
      <c r="E25" s="60">
        <f t="shared" ca="1" si="2"/>
        <v>5</v>
      </c>
      <c r="F25" s="60">
        <f t="shared" ca="1" si="3"/>
        <v>31</v>
      </c>
      <c r="G25" s="60">
        <f t="shared" ca="1" si="4"/>
        <v>0</v>
      </c>
      <c r="H25" s="60" t="s">
        <v>73</v>
      </c>
      <c r="I25" s="62" t="str">
        <f ca="1">CONCATENATE(INDIRECT("template!I26"))</f>
        <v>unsigned number. Source blob C stride</v>
      </c>
      <c r="J25" s="150" t="s">
        <v>576</v>
      </c>
    </row>
    <row r="26" spans="1:10" ht="32.4">
      <c r="A26" s="41" t="s">
        <v>104</v>
      </c>
      <c r="B26" s="60">
        <v>32</v>
      </c>
      <c r="C26" s="60">
        <f t="shared" ca="1" si="0"/>
        <v>223</v>
      </c>
      <c r="D26" s="60">
        <f t="shared" ca="1" si="1"/>
        <v>192</v>
      </c>
      <c r="E26" s="60">
        <f t="shared" ca="1" si="2"/>
        <v>6</v>
      </c>
      <c r="F26" s="60">
        <f t="shared" ca="1" si="3"/>
        <v>31</v>
      </c>
      <c r="G26" s="60">
        <f t="shared" ca="1" si="4"/>
        <v>0</v>
      </c>
      <c r="H26" s="60" t="s">
        <v>73</v>
      </c>
      <c r="I26" s="62" t="str">
        <f ca="1">CONCATENATE(INDIRECT("template!I27"))</f>
        <v>unsigned number; Source blob H stride</v>
      </c>
      <c r="J26" s="150" t="s">
        <v>577</v>
      </c>
    </row>
    <row r="27" spans="1:10">
      <c r="A27" s="41" t="s">
        <v>106</v>
      </c>
      <c r="B27" s="60">
        <v>32</v>
      </c>
      <c r="C27" s="60">
        <f t="shared" ca="1" si="0"/>
        <v>255</v>
      </c>
      <c r="D27" s="60">
        <f t="shared" ca="1" si="1"/>
        <v>224</v>
      </c>
      <c r="E27" s="60">
        <f t="shared" ca="1" si="2"/>
        <v>7</v>
      </c>
      <c r="F27" s="60">
        <f t="shared" ca="1" si="3"/>
        <v>31</v>
      </c>
      <c r="G27" s="60">
        <f t="shared" ca="1" si="4"/>
        <v>0</v>
      </c>
      <c r="H27" s="60" t="s">
        <v>73</v>
      </c>
      <c r="I27" s="62" t="str">
        <f ca="1">CONCATENATE(INDIRECT("template!I28"))</f>
        <v>unsigned number; Source blob W stride</v>
      </c>
      <c r="J27" s="157" t="s">
        <v>574</v>
      </c>
    </row>
    <row r="28" spans="1:10" ht="32.4">
      <c r="A28" s="41" t="s">
        <v>108</v>
      </c>
      <c r="B28" s="60">
        <v>32</v>
      </c>
      <c r="C28" s="60">
        <f t="shared" ca="1" si="0"/>
        <v>287</v>
      </c>
      <c r="D28" s="60">
        <f t="shared" ca="1" si="1"/>
        <v>256</v>
      </c>
      <c r="E28" s="60">
        <f t="shared" ca="1" si="2"/>
        <v>8</v>
      </c>
      <c r="F28" s="60">
        <f t="shared" ca="1" si="3"/>
        <v>31</v>
      </c>
      <c r="G28" s="60">
        <f t="shared" ca="1" si="4"/>
        <v>0</v>
      </c>
      <c r="H28" s="60" t="s">
        <v>73</v>
      </c>
      <c r="I28" s="62" t="str">
        <f ca="1">CONCATENATE(INDIRECT("template!I29"))</f>
        <v>unsigned number; desitination blob N stride</v>
      </c>
      <c r="J28" s="150" t="s">
        <v>577</v>
      </c>
    </row>
    <row r="29" spans="1:10" ht="32.4">
      <c r="A29" s="41" t="s">
        <v>110</v>
      </c>
      <c r="B29" s="60">
        <v>32</v>
      </c>
      <c r="C29" s="60">
        <f t="shared" ca="1" si="0"/>
        <v>319</v>
      </c>
      <c r="D29" s="60">
        <f t="shared" ca="1" si="1"/>
        <v>288</v>
      </c>
      <c r="E29" s="60">
        <f t="shared" ca="1" si="2"/>
        <v>9</v>
      </c>
      <c r="F29" s="60">
        <f t="shared" ca="1" si="3"/>
        <v>31</v>
      </c>
      <c r="G29" s="60">
        <f t="shared" ca="1" si="4"/>
        <v>0</v>
      </c>
      <c r="H29" s="60" t="s">
        <v>73</v>
      </c>
      <c r="I29" s="62" t="str">
        <f ca="1">CONCATENATE(INDIRECT("template!I30"))</f>
        <v>unsigned number.desitination blob C stride</v>
      </c>
      <c r="J29" s="150" t="s">
        <v>577</v>
      </c>
    </row>
    <row r="30" spans="1:10" ht="32.4">
      <c r="A30" s="41" t="s">
        <v>112</v>
      </c>
      <c r="B30" s="60">
        <v>32</v>
      </c>
      <c r="C30" s="60">
        <f t="shared" ca="1" si="0"/>
        <v>351</v>
      </c>
      <c r="D30" s="60">
        <f t="shared" ca="1" si="1"/>
        <v>320</v>
      </c>
      <c r="E30" s="60">
        <f t="shared" ca="1" si="2"/>
        <v>10</v>
      </c>
      <c r="F30" s="60">
        <f t="shared" ca="1" si="3"/>
        <v>31</v>
      </c>
      <c r="G30" s="60">
        <f t="shared" ca="1" si="4"/>
        <v>0</v>
      </c>
      <c r="H30" s="60" t="s">
        <v>73</v>
      </c>
      <c r="I30" s="62" t="str">
        <f ca="1">CONCATENATE(INDIRECT("template!I31"))</f>
        <v>unsigned number; desitination blob H stride</v>
      </c>
      <c r="J30" s="150" t="s">
        <v>576</v>
      </c>
    </row>
    <row r="31" spans="1:10" ht="20.100000000000001" customHeight="1">
      <c r="A31" s="41" t="s">
        <v>114</v>
      </c>
      <c r="B31" s="60">
        <v>32</v>
      </c>
      <c r="C31" s="60">
        <f t="shared" ca="1" si="0"/>
        <v>383</v>
      </c>
      <c r="D31" s="60">
        <f t="shared" ca="1" si="1"/>
        <v>352</v>
      </c>
      <c r="E31" s="60">
        <f t="shared" ca="1" si="2"/>
        <v>11</v>
      </c>
      <c r="F31" s="60">
        <f t="shared" ca="1" si="3"/>
        <v>31</v>
      </c>
      <c r="G31" s="60">
        <f t="shared" ca="1" si="4"/>
        <v>0</v>
      </c>
      <c r="H31" s="60" t="s">
        <v>73</v>
      </c>
      <c r="I31" s="62" t="str">
        <f ca="1">INDIRECT("template!I32")</f>
        <v>unsigned number; desitination blob W stride</v>
      </c>
      <c r="J31" s="158" t="s">
        <v>574</v>
      </c>
    </row>
    <row r="32" spans="1:10" s="37" customFormat="1" ht="56.1" customHeight="1">
      <c r="A32" s="41" t="s">
        <v>116</v>
      </c>
      <c r="B32" s="60">
        <v>16</v>
      </c>
      <c r="C32" s="60">
        <f t="shared" ca="1" si="0"/>
        <v>399</v>
      </c>
      <c r="D32" s="60">
        <f t="shared" ca="1" si="1"/>
        <v>384</v>
      </c>
      <c r="E32" s="60">
        <f t="shared" ca="1" si="2"/>
        <v>12</v>
      </c>
      <c r="F32" s="60">
        <f t="shared" ca="1" si="3"/>
        <v>15</v>
      </c>
      <c r="G32" s="60">
        <f t="shared" ca="1" si="4"/>
        <v>0</v>
      </c>
      <c r="H32" s="60" t="s">
        <v>73</v>
      </c>
      <c r="I32" s="62" t="str">
        <f ca="1">INDIRECT("template!I33")</f>
        <v>Source Blob Number</v>
      </c>
      <c r="J32" s="150" t="s">
        <v>576</v>
      </c>
    </row>
    <row r="33" spans="1:10" ht="32.4">
      <c r="A33" s="41" t="s">
        <v>118</v>
      </c>
      <c r="B33" s="60">
        <v>16</v>
      </c>
      <c r="C33" s="60">
        <f t="shared" ca="1" si="0"/>
        <v>415</v>
      </c>
      <c r="D33" s="60">
        <f t="shared" ca="1" si="1"/>
        <v>400</v>
      </c>
      <c r="E33" s="60">
        <f t="shared" ca="1" si="2"/>
        <v>12</v>
      </c>
      <c r="F33" s="60">
        <f t="shared" ca="1" si="3"/>
        <v>31</v>
      </c>
      <c r="G33" s="60">
        <f t="shared" ca="1" si="4"/>
        <v>16</v>
      </c>
      <c r="H33" s="60" t="s">
        <v>73</v>
      </c>
      <c r="I33" s="62" t="str">
        <f ca="1">INDIRECT("template!I34")</f>
        <v>Source blob C</v>
      </c>
      <c r="J33" s="150" t="s">
        <v>576</v>
      </c>
    </row>
    <row r="34" spans="1:10" ht="32.4">
      <c r="A34" s="41" t="s">
        <v>120</v>
      </c>
      <c r="B34" s="60">
        <v>16</v>
      </c>
      <c r="C34" s="60">
        <f t="shared" ca="1" si="0"/>
        <v>431</v>
      </c>
      <c r="D34" s="60">
        <f t="shared" ca="1" si="1"/>
        <v>416</v>
      </c>
      <c r="E34" s="60">
        <f t="shared" ca="1" si="2"/>
        <v>13</v>
      </c>
      <c r="F34" s="60">
        <f t="shared" ca="1" si="3"/>
        <v>15</v>
      </c>
      <c r="G34" s="60">
        <f t="shared" ca="1" si="4"/>
        <v>0</v>
      </c>
      <c r="H34" s="60" t="s">
        <v>73</v>
      </c>
      <c r="I34" s="62" t="str">
        <f ca="1">INDIRECT("template!I35")</f>
        <v xml:space="preserve">Source blob H </v>
      </c>
      <c r="J34" s="150" t="s">
        <v>577</v>
      </c>
    </row>
    <row r="35" spans="1:10">
      <c r="A35" s="41" t="s">
        <v>122</v>
      </c>
      <c r="B35" s="60">
        <v>16</v>
      </c>
      <c r="C35" s="60">
        <f t="shared" ca="1" si="0"/>
        <v>447</v>
      </c>
      <c r="D35" s="60">
        <f t="shared" ca="1" si="1"/>
        <v>432</v>
      </c>
      <c r="E35" s="60">
        <f t="shared" ca="1" si="2"/>
        <v>13</v>
      </c>
      <c r="F35" s="60">
        <f t="shared" ca="1" si="3"/>
        <v>31</v>
      </c>
      <c r="G35" s="60">
        <f t="shared" ca="1" si="4"/>
        <v>16</v>
      </c>
      <c r="H35" s="60" t="s">
        <v>73</v>
      </c>
      <c r="I35" s="62" t="str">
        <f ca="1">INDIRECT("template!I36")</f>
        <v xml:space="preserve">Source blob W </v>
      </c>
      <c r="J35" s="118" t="s">
        <v>95</v>
      </c>
    </row>
    <row r="36" spans="1:10">
      <c r="A36" s="65" t="s">
        <v>124</v>
      </c>
      <c r="B36" s="160">
        <v>16</v>
      </c>
      <c r="C36" s="160">
        <f t="shared" ca="1" si="0"/>
        <v>463</v>
      </c>
      <c r="D36" s="160">
        <f t="shared" ca="1" si="1"/>
        <v>448</v>
      </c>
      <c r="E36" s="160">
        <f t="shared" ca="1" si="2"/>
        <v>14</v>
      </c>
      <c r="F36" s="160">
        <f t="shared" ca="1" si="3"/>
        <v>15</v>
      </c>
      <c r="G36" s="160">
        <f t="shared" ca="1" si="4"/>
        <v>0</v>
      </c>
      <c r="H36" s="60" t="s">
        <v>73</v>
      </c>
      <c r="I36" s="62" t="str">
        <f ca="1">INDIRECT("template!I37")</f>
        <v xml:space="preserve">Destination Blob Number </v>
      </c>
      <c r="J36" s="150" t="s">
        <v>574</v>
      </c>
    </row>
    <row r="37" spans="1:10" ht="32.4">
      <c r="A37" s="41" t="s">
        <v>126</v>
      </c>
      <c r="B37" s="60">
        <v>16</v>
      </c>
      <c r="C37" s="60">
        <f t="shared" ca="1" si="0"/>
        <v>479</v>
      </c>
      <c r="D37" s="60">
        <f t="shared" ca="1" si="1"/>
        <v>464</v>
      </c>
      <c r="E37" s="60">
        <f t="shared" ca="1" si="2"/>
        <v>14</v>
      </c>
      <c r="F37" s="60">
        <f t="shared" ca="1" si="3"/>
        <v>31</v>
      </c>
      <c r="G37" s="60">
        <f t="shared" ca="1" si="4"/>
        <v>16</v>
      </c>
      <c r="H37" s="60" t="s">
        <v>73</v>
      </c>
      <c r="I37" s="62" t="str">
        <f ca="1">INDIRECT("template!I38")</f>
        <v xml:space="preserve">Destination blob C </v>
      </c>
      <c r="J37" s="150" t="s">
        <v>577</v>
      </c>
    </row>
    <row r="38" spans="1:10" ht="32.4">
      <c r="A38" s="41" t="s">
        <v>128</v>
      </c>
      <c r="B38" s="60">
        <v>16</v>
      </c>
      <c r="C38" s="60">
        <f t="shared" ca="1" si="0"/>
        <v>495</v>
      </c>
      <c r="D38" s="60">
        <f t="shared" ca="1" si="1"/>
        <v>480</v>
      </c>
      <c r="E38" s="60">
        <f t="shared" ca="1" si="2"/>
        <v>15</v>
      </c>
      <c r="F38" s="60">
        <f t="shared" ca="1" si="3"/>
        <v>15</v>
      </c>
      <c r="G38" s="60">
        <f t="shared" ca="1" si="4"/>
        <v>0</v>
      </c>
      <c r="H38" s="60" t="s">
        <v>73</v>
      </c>
      <c r="I38" s="62" t="str">
        <f ca="1">INDIRECT("template!I39")</f>
        <v>Destination blob H</v>
      </c>
      <c r="J38" s="150" t="s">
        <v>576</v>
      </c>
    </row>
    <row r="39" spans="1:10">
      <c r="A39" s="41" t="s">
        <v>130</v>
      </c>
      <c r="B39" s="60">
        <v>16</v>
      </c>
      <c r="C39" s="60">
        <f t="shared" ca="1" si="0"/>
        <v>511</v>
      </c>
      <c r="D39" s="60">
        <f t="shared" ca="1" si="1"/>
        <v>496</v>
      </c>
      <c r="E39" s="60">
        <f t="shared" ca="1" si="2"/>
        <v>15</v>
      </c>
      <c r="F39" s="60">
        <f t="shared" ca="1" si="3"/>
        <v>31</v>
      </c>
      <c r="G39" s="60">
        <f t="shared" ca="1" si="4"/>
        <v>16</v>
      </c>
      <c r="H39" s="60" t="s">
        <v>73</v>
      </c>
      <c r="I39" s="62" t="str">
        <f ca="1">INDIRECT("template!I40")</f>
        <v xml:space="preserve">Destination blob W </v>
      </c>
      <c r="J39" s="150" t="s">
        <v>95</v>
      </c>
    </row>
    <row r="40" spans="1:10">
      <c r="A40" s="41" t="s">
        <v>132</v>
      </c>
      <c r="B40" s="60">
        <v>32</v>
      </c>
      <c r="C40" s="60">
        <f t="shared" ca="1" si="0"/>
        <v>543</v>
      </c>
      <c r="D40" s="60">
        <f t="shared" ca="1" si="1"/>
        <v>512</v>
      </c>
      <c r="E40" s="60">
        <f t="shared" ca="1" si="2"/>
        <v>16</v>
      </c>
      <c r="F40" s="60">
        <f t="shared" ca="1" si="3"/>
        <v>31</v>
      </c>
      <c r="G40" s="60">
        <f t="shared" ca="1" si="4"/>
        <v>0</v>
      </c>
      <c r="H40" s="60" t="s">
        <v>73</v>
      </c>
      <c r="I40" s="62" t="str">
        <f ca="1">INDIRECT("template!I41")</f>
        <v>source blob start address[31:0]</v>
      </c>
      <c r="J40" s="118" t="s">
        <v>95</v>
      </c>
    </row>
    <row r="41" spans="1:10" ht="280.8">
      <c r="A41" s="41" t="s">
        <v>134</v>
      </c>
      <c r="B41" s="60">
        <v>13</v>
      </c>
      <c r="C41" s="60">
        <f t="shared" ca="1" si="0"/>
        <v>556</v>
      </c>
      <c r="D41" s="60">
        <f t="shared" ca="1" si="1"/>
        <v>544</v>
      </c>
      <c r="E41" s="60">
        <f t="shared" ca="1" si="2"/>
        <v>17</v>
      </c>
      <c r="F41" s="60">
        <f t="shared" ca="1" si="3"/>
        <v>12</v>
      </c>
      <c r="G41" s="60">
        <f t="shared" ca="1" si="4"/>
        <v>0</v>
      </c>
      <c r="H41" s="60" t="s">
        <v>73</v>
      </c>
      <c r="I41" s="62"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41" s="150" t="s">
        <v>95</v>
      </c>
    </row>
    <row r="42" spans="1:10" s="34" customFormat="1">
      <c r="A42" s="41" t="s">
        <v>87</v>
      </c>
      <c r="B42" s="60">
        <v>19</v>
      </c>
      <c r="C42" s="60">
        <f t="shared" ca="1" si="0"/>
        <v>575</v>
      </c>
      <c r="D42" s="60">
        <f t="shared" ca="1" si="1"/>
        <v>557</v>
      </c>
      <c r="E42" s="60">
        <f t="shared" ca="1" si="2"/>
        <v>17</v>
      </c>
      <c r="F42" s="60">
        <f t="shared" ca="1" si="3"/>
        <v>31</v>
      </c>
      <c r="G42" s="60">
        <f t="shared" ca="1" si="4"/>
        <v>13</v>
      </c>
      <c r="H42" s="60" t="s">
        <v>88</v>
      </c>
      <c r="I42" s="62" t="str">
        <f ca="1">INDIRECT("template!I43")</f>
        <v>reserved</v>
      </c>
      <c r="J42" s="149">
        <v>0</v>
      </c>
    </row>
    <row r="43" spans="1:10">
      <c r="A43" s="41" t="s">
        <v>135</v>
      </c>
      <c r="B43" s="60">
        <v>32</v>
      </c>
      <c r="C43" s="60">
        <f t="shared" ca="1" si="0"/>
        <v>607</v>
      </c>
      <c r="D43" s="60">
        <f t="shared" ca="1" si="1"/>
        <v>576</v>
      </c>
      <c r="E43" s="60">
        <f t="shared" ca="1" si="2"/>
        <v>18</v>
      </c>
      <c r="F43" s="60">
        <f t="shared" ca="1" si="3"/>
        <v>31</v>
      </c>
      <c r="G43" s="60">
        <f t="shared" ca="1" si="4"/>
        <v>0</v>
      </c>
      <c r="H43" s="60" t="s">
        <v>73</v>
      </c>
      <c r="I43" s="62" t="str">
        <f ca="1">INDIRECT("template!I44")</f>
        <v>destination blob start address[31:0]</v>
      </c>
      <c r="J43" s="118" t="s">
        <v>95</v>
      </c>
    </row>
    <row r="44" spans="1:10" ht="280.8">
      <c r="A44" s="41" t="s">
        <v>137</v>
      </c>
      <c r="B44" s="60">
        <v>13</v>
      </c>
      <c r="C44" s="60">
        <f t="shared" ca="1" si="0"/>
        <v>620</v>
      </c>
      <c r="D44" s="60">
        <f t="shared" ca="1" si="1"/>
        <v>608</v>
      </c>
      <c r="E44" s="60">
        <f t="shared" ca="1" si="2"/>
        <v>19</v>
      </c>
      <c r="F44" s="60">
        <f t="shared" ca="1" si="3"/>
        <v>12</v>
      </c>
      <c r="G44" s="60">
        <f t="shared" ca="1" si="4"/>
        <v>0</v>
      </c>
      <c r="H44" s="60" t="s">
        <v>73</v>
      </c>
      <c r="I44" s="62" t="str">
        <f ca="1">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dst is tiu, otherwise, dst is DTN</v>
      </c>
      <c r="J44" s="118" t="s">
        <v>95</v>
      </c>
    </row>
    <row r="45" spans="1:10">
      <c r="A45" s="41" t="s">
        <v>87</v>
      </c>
      <c r="B45" s="60">
        <v>19</v>
      </c>
      <c r="C45" s="60">
        <f t="shared" ca="1" si="0"/>
        <v>639</v>
      </c>
      <c r="D45" s="60">
        <f t="shared" ca="1" si="1"/>
        <v>621</v>
      </c>
      <c r="E45" s="60">
        <f t="shared" ca="1" si="2"/>
        <v>19</v>
      </c>
      <c r="F45" s="60">
        <f t="shared" ca="1" si="3"/>
        <v>31</v>
      </c>
      <c r="G45" s="60">
        <f t="shared" ca="1" si="4"/>
        <v>13</v>
      </c>
      <c r="H45" s="60" t="s">
        <v>88</v>
      </c>
      <c r="I45" s="62" t="str">
        <f ca="1">INDIRECT("template!I46")</f>
        <v>reserved</v>
      </c>
      <c r="J45" s="149">
        <v>0</v>
      </c>
    </row>
    <row r="46" spans="1:10" s="35" customFormat="1" ht="280.8">
      <c r="A46" s="41" t="s">
        <v>89</v>
      </c>
      <c r="B46" s="60">
        <v>32</v>
      </c>
      <c r="C46" s="60">
        <f t="shared" ca="1" si="0"/>
        <v>671</v>
      </c>
      <c r="D46" s="60">
        <f t="shared" ca="1" si="1"/>
        <v>640</v>
      </c>
      <c r="E46" s="60">
        <f t="shared" ca="1" si="2"/>
        <v>20</v>
      </c>
      <c r="F46" s="60">
        <f t="shared" ca="1" si="3"/>
        <v>31</v>
      </c>
      <c r="G46" s="60">
        <f t="shared" ca="1" si="4"/>
        <v>0</v>
      </c>
      <c r="H46" s="60" t="s">
        <v>88</v>
      </c>
      <c r="I46" s="62" t="str">
        <f ca="1">INDIRECT("template!I48")</f>
        <v>bit[7:0]=mask/index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mask/index is tiu, otherwise, mask/index is DTN</v>
      </c>
      <c r="J46" s="149">
        <v>0</v>
      </c>
    </row>
    <row r="47" spans="1:10" s="35" customFormat="1">
      <c r="A47" s="41" t="s">
        <v>89</v>
      </c>
      <c r="B47" s="60">
        <v>32</v>
      </c>
      <c r="C47" s="60">
        <f t="shared" ca="1" si="0"/>
        <v>703</v>
      </c>
      <c r="D47" s="60">
        <f t="shared" ca="1" si="1"/>
        <v>672</v>
      </c>
      <c r="E47" s="60">
        <f t="shared" ca="1" si="2"/>
        <v>21</v>
      </c>
      <c r="F47" s="60">
        <f t="shared" ca="1" si="3"/>
        <v>31</v>
      </c>
      <c r="G47" s="60">
        <f t="shared" ca="1" si="4"/>
        <v>0</v>
      </c>
      <c r="H47" s="60" t="s">
        <v>88</v>
      </c>
      <c r="I47" s="62" t="str">
        <f ca="1">INDIRECT("template!I49")</f>
        <v>reserved</v>
      </c>
      <c r="J47" s="149">
        <v>0</v>
      </c>
    </row>
    <row r="48" spans="1:10" s="35" customFormat="1">
      <c r="A48" s="41" t="s">
        <v>139</v>
      </c>
      <c r="B48" s="60">
        <v>32</v>
      </c>
      <c r="C48" s="60">
        <f t="shared" ca="1" si="0"/>
        <v>735</v>
      </c>
      <c r="D48" s="60">
        <f t="shared" ca="1" si="1"/>
        <v>704</v>
      </c>
      <c r="E48" s="60">
        <f t="shared" ca="1" si="2"/>
        <v>22</v>
      </c>
      <c r="F48" s="60">
        <f t="shared" ca="1" si="3"/>
        <v>31</v>
      </c>
      <c r="G48" s="60">
        <f t="shared" ca="1" si="4"/>
        <v>0</v>
      </c>
      <c r="H48" s="60" t="s">
        <v>73</v>
      </c>
      <c r="I48" s="62" t="str">
        <f ca="1">INDIRECT("template!I51")</f>
        <v>used to announce is the local memory mask or not, 1 means enable access, 0 means disable access (bit 0 corresponds local memory index32)</v>
      </c>
      <c r="J48" s="118" t="s">
        <v>95</v>
      </c>
    </row>
    <row r="49" spans="1:10" s="35" customFormat="1">
      <c r="A49" s="41" t="s">
        <v>141</v>
      </c>
      <c r="B49" s="60">
        <v>32</v>
      </c>
      <c r="C49" s="60">
        <f t="shared" ca="1" si="0"/>
        <v>767</v>
      </c>
      <c r="D49" s="60">
        <f t="shared" ca="1" si="1"/>
        <v>736</v>
      </c>
      <c r="E49" s="60">
        <f t="shared" ca="1" si="2"/>
        <v>23</v>
      </c>
      <c r="F49" s="60">
        <f t="shared" ca="1" si="3"/>
        <v>31</v>
      </c>
      <c r="G49" s="60">
        <f t="shared" ca="1" si="4"/>
        <v>0</v>
      </c>
      <c r="H49" s="60" t="s">
        <v>73</v>
      </c>
      <c r="I49" s="62">
        <f ca="1">INDIRECT("template!I52")</f>
        <v>0</v>
      </c>
      <c r="J49" s="118" t="s">
        <v>95</v>
      </c>
    </row>
    <row r="50" spans="1:10" s="35" customFormat="1">
      <c r="A50" s="159" t="s">
        <v>571</v>
      </c>
      <c r="B50" s="152"/>
      <c r="C50" s="152"/>
      <c r="D50" s="152"/>
      <c r="E50" s="152"/>
      <c r="F50" s="152"/>
      <c r="G50" s="152"/>
      <c r="H50" s="153"/>
      <c r="I50" s="154"/>
      <c r="J50" s="153"/>
    </row>
    <row r="51" spans="1:10">
      <c r="A51" s="159" t="s">
        <v>144</v>
      </c>
      <c r="B51" s="152"/>
      <c r="C51" s="152"/>
      <c r="D51" s="152"/>
      <c r="E51" s="152"/>
      <c r="F51" s="152"/>
      <c r="G51" s="152"/>
      <c r="H51" s="153"/>
      <c r="I51" s="154"/>
      <c r="J51" s="153"/>
    </row>
    <row r="52" spans="1:10">
      <c r="A52" s="159" t="s">
        <v>145</v>
      </c>
      <c r="B52" s="152"/>
      <c r="C52" s="152"/>
      <c r="D52" s="152"/>
      <c r="E52" s="152"/>
      <c r="F52" s="152"/>
      <c r="G52" s="152"/>
      <c r="H52" s="153"/>
      <c r="I52" s="154"/>
      <c r="J52" s="153"/>
    </row>
    <row r="53" spans="1:10">
      <c r="A53" s="159" t="s">
        <v>146</v>
      </c>
      <c r="B53" s="152"/>
      <c r="C53" s="152"/>
      <c r="D53" s="152"/>
      <c r="E53" s="152"/>
      <c r="F53" s="152"/>
      <c r="G53" s="152"/>
      <c r="H53" s="153"/>
      <c r="I53" s="154"/>
      <c r="J53" s="153"/>
    </row>
    <row r="54" spans="1:10">
      <c r="A54" s="159" t="s">
        <v>147</v>
      </c>
      <c r="B54" s="152"/>
      <c r="C54" s="152"/>
      <c r="D54" s="152"/>
      <c r="E54" s="152"/>
      <c r="F54" s="152"/>
      <c r="G54" s="152"/>
      <c r="H54" s="153"/>
      <c r="I54" s="154"/>
      <c r="J54" s="153"/>
    </row>
  </sheetData>
  <phoneticPr fontId="32" type="noConversion"/>
  <pageMargins left="0.25" right="0.25" top="0.75" bottom="0.75" header="0.3" footer="0.3"/>
  <pageSetup paperSize="9" scale="50"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9"/>
  <sheetViews>
    <sheetView zoomScale="136" zoomScaleNormal="136" workbookViewId="0">
      <pane ySplit="1" topLeftCell="A2" activePane="bottomLeft" state="frozen"/>
      <selection pane="bottomLeft" activeCell="B15" sqref="B15:B16"/>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21.44140625" style="37" customWidth="1"/>
    <col min="10" max="10" width="46.44140625" style="36" customWidth="1"/>
    <col min="11" max="16384" width="15.44140625" style="36"/>
  </cols>
  <sheetData>
    <row r="1" spans="1:10">
      <c r="A1" s="38" t="s">
        <v>66</v>
      </c>
      <c r="B1" s="39" t="s">
        <v>67</v>
      </c>
      <c r="C1" s="39" t="s">
        <v>68</v>
      </c>
      <c r="D1" s="39" t="s">
        <v>69</v>
      </c>
      <c r="E1" s="39" t="s">
        <v>70</v>
      </c>
      <c r="F1" s="39" t="s">
        <v>71</v>
      </c>
      <c r="G1" s="39" t="s">
        <v>72</v>
      </c>
      <c r="H1" s="40" t="s">
        <v>73</v>
      </c>
      <c r="I1" s="45" t="s">
        <v>74</v>
      </c>
      <c r="J1" s="46" t="s">
        <v>555</v>
      </c>
    </row>
    <row r="2" spans="1:10" ht="46.8">
      <c r="A2" s="41" t="s">
        <v>75</v>
      </c>
      <c r="B2" s="42">
        <v>1</v>
      </c>
      <c r="C2" s="42">
        <f t="shared" ref="C2:C9" si="0">D2+B2-1</f>
        <v>0</v>
      </c>
      <c r="D2" s="42">
        <v>0</v>
      </c>
      <c r="E2" s="42">
        <f t="shared" ref="E2:E9" si="1">ROUNDDOWN(C2/32,0)</f>
        <v>0</v>
      </c>
      <c r="F2" s="42">
        <f t="shared" ref="F2:F9" si="2">C2-E2*32</f>
        <v>0</v>
      </c>
      <c r="G2" s="42">
        <f t="shared" ref="G2:G9" si="3">D2-E2*32</f>
        <v>0</v>
      </c>
      <c r="H2" s="42" t="s">
        <v>73</v>
      </c>
      <c r="I2" s="48" t="str">
        <f ca="1">CONCATENATE(INDIRECT("template!I2"))</f>
        <v>Interrupt Enable;if this bit is set, CPU COULD get interrupt when the instruction is finished 
0: disable interrupt
1: enable interrupt</v>
      </c>
      <c r="J2" s="47" t="s">
        <v>95</v>
      </c>
    </row>
    <row r="3" spans="1:10" ht="46.8">
      <c r="A3" s="41" t="s">
        <v>77</v>
      </c>
      <c r="B3" s="42">
        <v>1</v>
      </c>
      <c r="C3" s="42">
        <f t="shared" ca="1" si="0"/>
        <v>1</v>
      </c>
      <c r="D3" s="42">
        <f t="shared" ref="D3:D9" ca="1" si="4">INDIRECT(ADDRESS(ROW()-1,COLUMN()-1))+1</f>
        <v>1</v>
      </c>
      <c r="E3" s="42">
        <f t="shared" ca="1" si="1"/>
        <v>0</v>
      </c>
      <c r="F3" s="42">
        <f t="shared" ca="1" si="2"/>
        <v>1</v>
      </c>
      <c r="G3" s="42">
        <f t="shared" ca="1" si="3"/>
        <v>1</v>
      </c>
      <c r="H3" s="42" t="s">
        <v>73</v>
      </c>
      <c r="I3" s="48" t="str">
        <f ca="1">CONCATENATE(INDIRECT("template!I3"))</f>
        <v>Stride enable
0：No stride for all blob definition
1：Enable stride for all blob definition</v>
      </c>
      <c r="J3" s="47" t="s">
        <v>95</v>
      </c>
    </row>
    <row r="4" spans="1:10" ht="46.8">
      <c r="A4" s="41" t="s">
        <v>79</v>
      </c>
      <c r="B4" s="42">
        <v>1</v>
      </c>
      <c r="C4" s="42">
        <f t="shared" ca="1" si="0"/>
        <v>2</v>
      </c>
      <c r="D4" s="42">
        <f t="shared" ca="1" si="4"/>
        <v>2</v>
      </c>
      <c r="E4" s="42">
        <f t="shared" ca="1" si="1"/>
        <v>0</v>
      </c>
      <c r="F4" s="42">
        <f t="shared" ca="1" si="2"/>
        <v>2</v>
      </c>
      <c r="G4" s="42">
        <f t="shared" ca="1" si="3"/>
        <v>2</v>
      </c>
      <c r="H4" s="42" t="s">
        <v>73</v>
      </c>
      <c r="I4" s="48" t="str">
        <f ca="1">CONCATENATE(INDIRECT("template!I4"))</f>
        <v>NCHW copy bit
0: use separate src and dst NCHW value setting
1: reuse src NCHW value for dst NCHW value</v>
      </c>
      <c r="J4" s="51">
        <v>0</v>
      </c>
    </row>
    <row r="5" spans="1:10" ht="31.2">
      <c r="A5" s="41" t="s">
        <v>559</v>
      </c>
      <c r="B5" s="42">
        <v>1</v>
      </c>
      <c r="C5" s="42">
        <f t="shared" ca="1" si="0"/>
        <v>3</v>
      </c>
      <c r="D5" s="42">
        <f t="shared" ca="1" si="4"/>
        <v>3</v>
      </c>
      <c r="E5" s="42">
        <f t="shared" ca="1" si="1"/>
        <v>0</v>
      </c>
      <c r="F5" s="42">
        <f t="shared" ca="1" si="2"/>
        <v>3</v>
      </c>
      <c r="G5" s="42">
        <f t="shared" ca="1" si="3"/>
        <v>3</v>
      </c>
      <c r="H5" s="42" t="s">
        <v>73</v>
      </c>
      <c r="I5" s="48" t="str">
        <f ca="1">CONCATENATE(INDIRECT("template!I5"))</f>
        <v>0:768bit full cmd;
1:128/256/384/512 short cmd</v>
      </c>
      <c r="J5" s="47" t="s">
        <v>95</v>
      </c>
    </row>
    <row r="6" spans="1:10" ht="30.9" customHeight="1">
      <c r="A6" s="41" t="s">
        <v>87</v>
      </c>
      <c r="B6" s="42">
        <v>1</v>
      </c>
      <c r="C6" s="42">
        <f t="shared" ca="1" si="0"/>
        <v>4</v>
      </c>
      <c r="D6" s="42">
        <f t="shared" ca="1" si="4"/>
        <v>4</v>
      </c>
      <c r="E6" s="42">
        <f t="shared" ca="1" si="1"/>
        <v>0</v>
      </c>
      <c r="F6" s="42">
        <f t="shared" ca="1" si="2"/>
        <v>4</v>
      </c>
      <c r="G6" s="42">
        <f t="shared" ca="1" si="3"/>
        <v>4</v>
      </c>
      <c r="H6" s="42" t="s">
        <v>88</v>
      </c>
      <c r="I6" s="48" t="str">
        <f ca="1">CONCATENATE(INDIRECT("template!I6"))</f>
        <v>Read cache enable
0: Read not use cache
1: Read use cache</v>
      </c>
      <c r="J6" s="51">
        <v>0</v>
      </c>
    </row>
    <row r="7" spans="1:10" ht="53.1" customHeight="1">
      <c r="A7" s="41" t="s">
        <v>87</v>
      </c>
      <c r="B7" s="42">
        <v>4</v>
      </c>
      <c r="C7" s="42">
        <f t="shared" ca="1" si="0"/>
        <v>8</v>
      </c>
      <c r="D7" s="42">
        <f t="shared" ca="1" si="4"/>
        <v>5</v>
      </c>
      <c r="E7" s="42">
        <f t="shared" ca="1" si="1"/>
        <v>0</v>
      </c>
      <c r="F7" s="42">
        <f t="shared" ca="1" si="2"/>
        <v>8</v>
      </c>
      <c r="G7" s="42">
        <f t="shared" ca="1" si="3"/>
        <v>5</v>
      </c>
      <c r="H7" s="42" t="s">
        <v>88</v>
      </c>
      <c r="I7" s="48" t="str">
        <f ca="1">CONCATENATE(INDIRECT("template!I7"))</f>
        <v>Flush cache
0: Not Flush cache
1: Flush cache</v>
      </c>
      <c r="J7" s="51">
        <v>0</v>
      </c>
    </row>
    <row r="8" spans="1:10" ht="27.9" customHeight="1">
      <c r="A8" s="41" t="s">
        <v>87</v>
      </c>
      <c r="B8" s="42">
        <v>20</v>
      </c>
      <c r="C8" s="42">
        <f t="shared" ca="1" si="0"/>
        <v>28</v>
      </c>
      <c r="D8" s="42">
        <f t="shared" ca="1" si="4"/>
        <v>9</v>
      </c>
      <c r="E8" s="42">
        <f t="shared" ca="1" si="1"/>
        <v>0</v>
      </c>
      <c r="F8" s="42">
        <f t="shared" ca="1" si="2"/>
        <v>28</v>
      </c>
      <c r="G8" s="42">
        <f t="shared" ca="1" si="3"/>
        <v>9</v>
      </c>
      <c r="H8" s="42" t="s">
        <v>88</v>
      </c>
      <c r="I8" s="48" t="str">
        <f ca="1">CONCATENATE(INDIRECT("template!I8"))</f>
        <v>reserved</v>
      </c>
      <c r="J8" s="51">
        <v>0</v>
      </c>
    </row>
    <row r="9" spans="1:10">
      <c r="A9" s="41" t="s">
        <v>89</v>
      </c>
      <c r="B9" s="42">
        <v>3</v>
      </c>
      <c r="C9" s="42">
        <f t="shared" ca="1" si="0"/>
        <v>31</v>
      </c>
      <c r="D9" s="42">
        <f t="shared" ca="1" si="4"/>
        <v>29</v>
      </c>
      <c r="E9" s="42">
        <f t="shared" ca="1" si="1"/>
        <v>0</v>
      </c>
      <c r="F9" s="42">
        <f t="shared" ca="1" si="2"/>
        <v>31</v>
      </c>
      <c r="G9" s="42">
        <f t="shared" ca="1" si="3"/>
        <v>29</v>
      </c>
      <c r="H9" s="42" t="s">
        <v>88</v>
      </c>
      <c r="I9" s="48" t="str">
        <f ca="1">CONCATENATE(INDIRECT("template!I9"))</f>
        <v/>
      </c>
      <c r="J9" s="51">
        <v>0</v>
      </c>
    </row>
    <row r="10" spans="1:10" customFormat="1">
      <c r="A10" s="41" t="s">
        <v>90</v>
      </c>
      <c r="B10" s="42">
        <v>4</v>
      </c>
      <c r="C10" s="42">
        <f t="shared" ref="C10:C34" ca="1" si="5">D10+B10-1</f>
        <v>35</v>
      </c>
      <c r="D10" s="42">
        <f t="shared" ref="D10:D34" ca="1" si="6">INDIRECT(ADDRESS(ROW()-1,COLUMN()-1))+1</f>
        <v>32</v>
      </c>
      <c r="E10" s="42">
        <f t="shared" ref="E10:E34" ca="1" si="7">ROUNDDOWN(C10/32,0)</f>
        <v>1</v>
      </c>
      <c r="F10" s="42">
        <f t="shared" ref="F10:F34" ca="1" si="8">C10-E10*32</f>
        <v>3</v>
      </c>
      <c r="G10" s="42">
        <f t="shared" ref="G10:G34" ca="1" si="9">D10-E10*32</f>
        <v>0</v>
      </c>
      <c r="H10" s="42" t="s">
        <v>73</v>
      </c>
      <c r="I10" s="48" t="str">
        <f ca="1">CONCATENATE(INDIRECT("template!I10"))</f>
        <v/>
      </c>
      <c r="J10" s="47" t="s">
        <v>95</v>
      </c>
    </row>
    <row r="11" spans="1:10">
      <c r="A11" s="43" t="s">
        <v>91</v>
      </c>
      <c r="B11" s="42">
        <v>3</v>
      </c>
      <c r="C11" s="42">
        <f t="shared" ca="1" si="5"/>
        <v>38</v>
      </c>
      <c r="D11" s="42">
        <f t="shared" ca="1" si="6"/>
        <v>36</v>
      </c>
      <c r="E11" s="42">
        <f t="shared" ca="1" si="7"/>
        <v>1</v>
      </c>
      <c r="F11" s="42">
        <f t="shared" ca="1" si="8"/>
        <v>6</v>
      </c>
      <c r="G11" s="42">
        <f t="shared" ca="1" si="9"/>
        <v>4</v>
      </c>
      <c r="H11" s="42" t="s">
        <v>73</v>
      </c>
      <c r="I11" s="48" t="str">
        <f ca="1">CONCATENATE(INDIRECT("DMA_matrix!I11"))</f>
        <v/>
      </c>
      <c r="J11" s="47" t="s">
        <v>95</v>
      </c>
    </row>
    <row r="12" spans="1:10">
      <c r="A12" s="43" t="s">
        <v>93</v>
      </c>
      <c r="B12" s="42">
        <v>1</v>
      </c>
      <c r="C12" s="42">
        <f t="shared" ca="1" si="5"/>
        <v>39</v>
      </c>
      <c r="D12" s="42">
        <f t="shared" ca="1" si="6"/>
        <v>39</v>
      </c>
      <c r="E12" s="42">
        <f t="shared" ca="1" si="7"/>
        <v>1</v>
      </c>
      <c r="F12" s="42">
        <f t="shared" ca="1" si="8"/>
        <v>7</v>
      </c>
      <c r="G12" s="42">
        <f t="shared" ca="1" si="9"/>
        <v>7</v>
      </c>
      <c r="H12" s="42" t="s">
        <v>73</v>
      </c>
      <c r="I12" s="48" t="str">
        <f ca="1">CONCATENATE(INDIRECT("DMA_matrix!I12"))</f>
        <v/>
      </c>
      <c r="J12" s="50" t="s">
        <v>574</v>
      </c>
    </row>
    <row r="13" spans="1:10">
      <c r="A13" s="41" t="s">
        <v>96</v>
      </c>
      <c r="B13" s="42">
        <v>3</v>
      </c>
      <c r="C13" s="42">
        <f t="shared" ca="1" si="5"/>
        <v>42</v>
      </c>
      <c r="D13" s="42">
        <f t="shared" ca="1" si="6"/>
        <v>40</v>
      </c>
      <c r="E13" s="42">
        <f t="shared" ca="1" si="7"/>
        <v>1</v>
      </c>
      <c r="F13" s="42">
        <f t="shared" ca="1" si="8"/>
        <v>10</v>
      </c>
      <c r="G13" s="42">
        <f t="shared" ca="1" si="9"/>
        <v>8</v>
      </c>
      <c r="H13" s="42" t="s">
        <v>73</v>
      </c>
      <c r="I13" s="48" t="str">
        <f ca="1">CONCATENATE(INDIRECT("template!I13"))</f>
        <v>reserved</v>
      </c>
      <c r="J13" s="47" t="s">
        <v>95</v>
      </c>
    </row>
    <row r="14" spans="1:10" ht="93.6">
      <c r="A14" s="41" t="s">
        <v>87</v>
      </c>
      <c r="B14" s="42">
        <v>21</v>
      </c>
      <c r="C14" s="42">
        <f t="shared" ca="1" si="5"/>
        <v>63</v>
      </c>
      <c r="D14" s="42">
        <f t="shared" ca="1" si="6"/>
        <v>43</v>
      </c>
      <c r="E14" s="42">
        <f t="shared" ca="1" si="7"/>
        <v>1</v>
      </c>
      <c r="F14" s="42">
        <f t="shared" ca="1" si="8"/>
        <v>31</v>
      </c>
      <c r="G14" s="42">
        <f t="shared" ca="1" si="9"/>
        <v>11</v>
      </c>
      <c r="H14" s="42" t="s">
        <v>88</v>
      </c>
      <c r="I14" s="48" t="str">
        <f ca="1">CONCATENATE(INDIRECT("template!I14"))</f>
        <v>0x0:GDMA_tensor                     0x1:GDMA_matrix
0x2:GDMA_masked_select       0x3:GDMA_general
                                                   0x5:GDMA_nonzero
0x6:GDMA_sys                           0x7:GDMA_gather
0x8:GDMA_scatter                    0x9:GDMA_reverse
0xc:GDMA_lossy_compress      0xd:GDMA_lossy_decompress</v>
      </c>
      <c r="J14" s="51">
        <v>0</v>
      </c>
    </row>
    <row r="15" spans="1:10" ht="78">
      <c r="A15" s="41" t="s">
        <v>97</v>
      </c>
      <c r="B15" s="42">
        <v>24</v>
      </c>
      <c r="C15" s="42">
        <f t="shared" ca="1" si="5"/>
        <v>87</v>
      </c>
      <c r="D15" s="42">
        <f t="shared" ca="1" si="6"/>
        <v>64</v>
      </c>
      <c r="E15" s="42">
        <f t="shared" ca="1" si="7"/>
        <v>2</v>
      </c>
      <c r="F15" s="42">
        <f t="shared" ca="1" si="8"/>
        <v>23</v>
      </c>
      <c r="G15" s="42">
        <f t="shared" ca="1" si="9"/>
        <v>0</v>
      </c>
      <c r="H15" s="42" t="s">
        <v>73</v>
      </c>
      <c r="I15" s="48" t="str">
        <f ca="1">CONCATENATE(INDIRECT("template!I15"))</f>
        <v>this field is connected with cmd_type. when cmd_type == DMA_tensor
000: No special function
001: Enable transposition write (For Neuron transposition case, the dest_N= src_C, dest_C=src_N)
011: broadcast：only support C size&lt;=64 and lmem mask invalid
others: reserved</v>
      </c>
      <c r="J15" s="47" t="s">
        <v>95</v>
      </c>
    </row>
    <row r="16" spans="1:10" ht="31.2">
      <c r="A16" s="41" t="s">
        <v>87</v>
      </c>
      <c r="B16" s="42">
        <v>8</v>
      </c>
      <c r="C16" s="42">
        <f t="shared" ca="1" si="5"/>
        <v>95</v>
      </c>
      <c r="D16" s="42">
        <f t="shared" ca="1" si="6"/>
        <v>88</v>
      </c>
      <c r="E16" s="42">
        <f t="shared" ca="1" si="7"/>
        <v>2</v>
      </c>
      <c r="F16" s="42">
        <f t="shared" ca="1" si="8"/>
        <v>31</v>
      </c>
      <c r="G16" s="42">
        <f t="shared" ca="1" si="9"/>
        <v>24</v>
      </c>
      <c r="H16" s="42" t="s">
        <v>88</v>
      </c>
      <c r="I16" s="48" t="str">
        <f ca="1">CONCATENATE(INDIRECT("template!I16"))</f>
        <v>0: no fill constant
1: fill constant enable</v>
      </c>
      <c r="J16" s="47" t="s">
        <v>95</v>
      </c>
    </row>
    <row r="17" spans="1:10">
      <c r="A17" s="43" t="s">
        <v>578</v>
      </c>
      <c r="B17" s="42">
        <v>32</v>
      </c>
      <c r="C17" s="42">
        <f t="shared" ca="1" si="5"/>
        <v>127</v>
      </c>
      <c r="D17" s="42">
        <f t="shared" ca="1" si="6"/>
        <v>96</v>
      </c>
      <c r="E17" s="42">
        <f t="shared" ca="1" si="7"/>
        <v>3</v>
      </c>
      <c r="F17" s="42">
        <f t="shared" ca="1" si="8"/>
        <v>31</v>
      </c>
      <c r="G17" s="42">
        <f t="shared" ca="1" si="9"/>
        <v>0</v>
      </c>
      <c r="H17" s="42" t="s">
        <v>73</v>
      </c>
      <c r="I17" s="48" t="s">
        <v>579</v>
      </c>
      <c r="J17" s="47" t="s">
        <v>95</v>
      </c>
    </row>
    <row r="18" spans="1:10">
      <c r="A18" s="43" t="s">
        <v>580</v>
      </c>
      <c r="B18" s="42">
        <v>32</v>
      </c>
      <c r="C18" s="42">
        <f t="shared" ca="1" si="5"/>
        <v>159</v>
      </c>
      <c r="D18" s="42">
        <f t="shared" ca="1" si="6"/>
        <v>128</v>
      </c>
      <c r="E18" s="42">
        <f t="shared" ca="1" si="7"/>
        <v>4</v>
      </c>
      <c r="F18" s="42">
        <f t="shared" ca="1" si="8"/>
        <v>31</v>
      </c>
      <c r="G18" s="42">
        <f t="shared" ca="1" si="9"/>
        <v>0</v>
      </c>
      <c r="H18" s="42" t="s">
        <v>73</v>
      </c>
      <c r="I18" s="48" t="s">
        <v>581</v>
      </c>
      <c r="J18" s="47" t="s">
        <v>95</v>
      </c>
    </row>
    <row r="19" spans="1:10">
      <c r="A19" s="43" t="s">
        <v>582</v>
      </c>
      <c r="B19" s="42">
        <v>32</v>
      </c>
      <c r="C19" s="42">
        <f t="shared" ca="1" si="5"/>
        <v>191</v>
      </c>
      <c r="D19" s="42">
        <f t="shared" ca="1" si="6"/>
        <v>160</v>
      </c>
      <c r="E19" s="42">
        <f t="shared" ca="1" si="7"/>
        <v>5</v>
      </c>
      <c r="F19" s="42">
        <f t="shared" ca="1" si="8"/>
        <v>31</v>
      </c>
      <c r="G19" s="42">
        <f t="shared" ca="1" si="9"/>
        <v>0</v>
      </c>
      <c r="H19" s="42" t="s">
        <v>73</v>
      </c>
      <c r="I19" s="48" t="s">
        <v>583</v>
      </c>
      <c r="J19" s="47" t="s">
        <v>95</v>
      </c>
    </row>
    <row r="20" spans="1:10" ht="20.100000000000001" customHeight="1">
      <c r="A20" s="43" t="s">
        <v>584</v>
      </c>
      <c r="B20" s="42">
        <v>16</v>
      </c>
      <c r="C20" s="42">
        <f t="shared" ca="1" si="5"/>
        <v>207</v>
      </c>
      <c r="D20" s="42">
        <f t="shared" ca="1" si="6"/>
        <v>192</v>
      </c>
      <c r="E20" s="42">
        <f t="shared" ca="1" si="7"/>
        <v>6</v>
      </c>
      <c r="F20" s="42">
        <f t="shared" ca="1" si="8"/>
        <v>15</v>
      </c>
      <c r="G20" s="42">
        <f t="shared" ca="1" si="9"/>
        <v>0</v>
      </c>
      <c r="H20" s="42" t="s">
        <v>73</v>
      </c>
      <c r="I20" s="48" t="s">
        <v>585</v>
      </c>
      <c r="J20" s="47" t="s">
        <v>95</v>
      </c>
    </row>
    <row r="21" spans="1:10" s="37" customFormat="1" ht="56.1" customHeight="1">
      <c r="A21" s="85" t="s">
        <v>586</v>
      </c>
      <c r="B21" s="86">
        <v>16</v>
      </c>
      <c r="C21" s="86">
        <f t="shared" ca="1" si="5"/>
        <v>223</v>
      </c>
      <c r="D21" s="86">
        <f t="shared" ca="1" si="6"/>
        <v>208</v>
      </c>
      <c r="E21" s="86">
        <f t="shared" ca="1" si="7"/>
        <v>6</v>
      </c>
      <c r="F21" s="86">
        <f t="shared" ca="1" si="8"/>
        <v>31</v>
      </c>
      <c r="G21" s="86">
        <f t="shared" ca="1" si="9"/>
        <v>16</v>
      </c>
      <c r="H21" s="42" t="s">
        <v>73</v>
      </c>
      <c r="I21" s="48" t="s">
        <v>587</v>
      </c>
      <c r="J21" s="47" t="s">
        <v>95</v>
      </c>
    </row>
    <row r="22" spans="1:10">
      <c r="A22" s="43" t="s">
        <v>588</v>
      </c>
      <c r="B22" s="42">
        <v>16</v>
      </c>
      <c r="C22" s="42">
        <f t="shared" ca="1" si="5"/>
        <v>239</v>
      </c>
      <c r="D22" s="42">
        <f t="shared" ca="1" si="6"/>
        <v>224</v>
      </c>
      <c r="E22" s="42">
        <f t="shared" ca="1" si="7"/>
        <v>7</v>
      </c>
      <c r="F22" s="42">
        <f t="shared" ca="1" si="8"/>
        <v>15</v>
      </c>
      <c r="G22" s="42">
        <f t="shared" ca="1" si="9"/>
        <v>0</v>
      </c>
      <c r="H22" s="42" t="s">
        <v>73</v>
      </c>
      <c r="I22" s="48" t="s">
        <v>589</v>
      </c>
      <c r="J22" s="47" t="s">
        <v>95</v>
      </c>
    </row>
    <row r="23" spans="1:10">
      <c r="A23" s="43" t="s">
        <v>590</v>
      </c>
      <c r="B23" s="42">
        <v>16</v>
      </c>
      <c r="C23" s="42">
        <f t="shared" ca="1" si="5"/>
        <v>255</v>
      </c>
      <c r="D23" s="42">
        <f t="shared" ca="1" si="6"/>
        <v>240</v>
      </c>
      <c r="E23" s="42">
        <f t="shared" ca="1" si="7"/>
        <v>7</v>
      </c>
      <c r="F23" s="42">
        <f t="shared" ca="1" si="8"/>
        <v>31</v>
      </c>
      <c r="G23" s="42">
        <f t="shared" ca="1" si="9"/>
        <v>16</v>
      </c>
      <c r="H23" s="42" t="s">
        <v>73</v>
      </c>
      <c r="I23" s="48" t="s">
        <v>591</v>
      </c>
      <c r="J23" s="47" t="s">
        <v>95</v>
      </c>
    </row>
    <row r="24" spans="1:10">
      <c r="A24" s="43" t="s">
        <v>592</v>
      </c>
      <c r="B24" s="42">
        <v>16</v>
      </c>
      <c r="C24" s="42">
        <f t="shared" ca="1" si="5"/>
        <v>271</v>
      </c>
      <c r="D24" s="42">
        <f t="shared" ca="1" si="6"/>
        <v>256</v>
      </c>
      <c r="E24" s="42">
        <f t="shared" ca="1" si="7"/>
        <v>8</v>
      </c>
      <c r="F24" s="42">
        <f t="shared" ca="1" si="8"/>
        <v>15</v>
      </c>
      <c r="G24" s="42">
        <f t="shared" ca="1" si="9"/>
        <v>0</v>
      </c>
      <c r="H24" s="42" t="s">
        <v>73</v>
      </c>
      <c r="I24" s="48" t="s">
        <v>593</v>
      </c>
      <c r="J24" s="47" t="s">
        <v>95</v>
      </c>
    </row>
    <row r="25" spans="1:10">
      <c r="A25" s="41" t="s">
        <v>87</v>
      </c>
      <c r="B25" s="42">
        <v>16</v>
      </c>
      <c r="C25" s="42">
        <f t="shared" ca="1" si="5"/>
        <v>287</v>
      </c>
      <c r="D25" s="42">
        <f t="shared" ca="1" si="6"/>
        <v>272</v>
      </c>
      <c r="E25" s="42">
        <f t="shared" ca="1" si="7"/>
        <v>8</v>
      </c>
      <c r="F25" s="42">
        <f t="shared" ca="1" si="8"/>
        <v>31</v>
      </c>
      <c r="G25" s="42">
        <f t="shared" ca="1" si="9"/>
        <v>16</v>
      </c>
      <c r="H25" s="42" t="s">
        <v>88</v>
      </c>
      <c r="I25" s="48" t="s">
        <v>87</v>
      </c>
      <c r="J25" s="51">
        <v>0</v>
      </c>
    </row>
    <row r="26" spans="1:10">
      <c r="A26" s="41" t="s">
        <v>132</v>
      </c>
      <c r="B26" s="42">
        <v>32</v>
      </c>
      <c r="C26" s="42">
        <f t="shared" ca="1" si="5"/>
        <v>319</v>
      </c>
      <c r="D26" s="42">
        <f t="shared" ca="1" si="6"/>
        <v>288</v>
      </c>
      <c r="E26" s="42">
        <f t="shared" ca="1" si="7"/>
        <v>9</v>
      </c>
      <c r="F26" s="42">
        <f t="shared" ca="1" si="8"/>
        <v>31</v>
      </c>
      <c r="G26" s="42">
        <f t="shared" ca="1" si="9"/>
        <v>0</v>
      </c>
      <c r="H26" s="42" t="s">
        <v>73</v>
      </c>
      <c r="I26" s="48" t="str">
        <f ca="1">INDIRECT("template!I34")</f>
        <v>Source blob C</v>
      </c>
      <c r="J26" s="47" t="s">
        <v>95</v>
      </c>
    </row>
    <row r="27" spans="1:10">
      <c r="A27" s="41" t="s">
        <v>594</v>
      </c>
      <c r="B27" s="42">
        <v>8</v>
      </c>
      <c r="C27" s="42">
        <f t="shared" ca="1" si="5"/>
        <v>327</v>
      </c>
      <c r="D27" s="42">
        <f t="shared" ca="1" si="6"/>
        <v>320</v>
      </c>
      <c r="E27" s="42">
        <f t="shared" ca="1" si="7"/>
        <v>10</v>
      </c>
      <c r="F27" s="42">
        <f t="shared" ca="1" si="8"/>
        <v>7</v>
      </c>
      <c r="G27" s="42">
        <f t="shared" ca="1" si="9"/>
        <v>0</v>
      </c>
      <c r="H27" s="42" t="s">
        <v>73</v>
      </c>
      <c r="I27" s="48" t="str">
        <f ca="1">INDIRECT("template!I35")</f>
        <v xml:space="preserve">Source blob H </v>
      </c>
      <c r="J27" s="47" t="s">
        <v>95</v>
      </c>
    </row>
    <row r="28" spans="1:10">
      <c r="A28" s="41" t="s">
        <v>87</v>
      </c>
      <c r="B28" s="42">
        <v>24</v>
      </c>
      <c r="C28" s="42">
        <f t="shared" ca="1" si="5"/>
        <v>351</v>
      </c>
      <c r="D28" s="42">
        <f t="shared" ca="1" si="6"/>
        <v>328</v>
      </c>
      <c r="E28" s="42">
        <f t="shared" ca="1" si="7"/>
        <v>10</v>
      </c>
      <c r="F28" s="42">
        <f t="shared" ca="1" si="8"/>
        <v>31</v>
      </c>
      <c r="G28" s="42">
        <f t="shared" ca="1" si="9"/>
        <v>8</v>
      </c>
      <c r="H28" s="42" t="s">
        <v>88</v>
      </c>
      <c r="I28" s="48" t="str">
        <f ca="1">INDIRECT("template!I36")</f>
        <v xml:space="preserve">Source blob W </v>
      </c>
      <c r="J28" s="51">
        <v>0</v>
      </c>
    </row>
    <row r="29" spans="1:10">
      <c r="A29" s="41" t="s">
        <v>135</v>
      </c>
      <c r="B29" s="42">
        <v>32</v>
      </c>
      <c r="C29" s="42">
        <f t="shared" ca="1" si="5"/>
        <v>383</v>
      </c>
      <c r="D29" s="42">
        <f t="shared" ca="1" si="6"/>
        <v>352</v>
      </c>
      <c r="E29" s="42">
        <f t="shared" ca="1" si="7"/>
        <v>11</v>
      </c>
      <c r="F29" s="42">
        <f t="shared" ca="1" si="8"/>
        <v>31</v>
      </c>
      <c r="G29" s="42">
        <f t="shared" ca="1" si="9"/>
        <v>0</v>
      </c>
      <c r="H29" s="42" t="s">
        <v>73</v>
      </c>
      <c r="I29" s="48" t="str">
        <f ca="1">INDIRECT("template!I37")</f>
        <v xml:space="preserve">Destination Blob Number </v>
      </c>
      <c r="J29" s="47" t="s">
        <v>95</v>
      </c>
    </row>
    <row r="30" spans="1:10">
      <c r="A30" s="41" t="s">
        <v>595</v>
      </c>
      <c r="B30" s="42">
        <v>8</v>
      </c>
      <c r="C30" s="42">
        <f t="shared" ca="1" si="5"/>
        <v>391</v>
      </c>
      <c r="D30" s="42">
        <f t="shared" ca="1" si="6"/>
        <v>384</v>
      </c>
      <c r="E30" s="42">
        <f t="shared" ca="1" si="7"/>
        <v>12</v>
      </c>
      <c r="F30" s="42">
        <f t="shared" ca="1" si="8"/>
        <v>7</v>
      </c>
      <c r="G30" s="42">
        <f t="shared" ca="1" si="9"/>
        <v>0</v>
      </c>
      <c r="H30" s="42" t="s">
        <v>73</v>
      </c>
      <c r="I30" s="48" t="str">
        <f ca="1">INDIRECT("template!I38")</f>
        <v xml:space="preserve">Destination blob C </v>
      </c>
      <c r="J30" s="47" t="s">
        <v>95</v>
      </c>
    </row>
    <row r="31" spans="1:10">
      <c r="A31" s="41" t="s">
        <v>87</v>
      </c>
      <c r="B31" s="42">
        <v>24</v>
      </c>
      <c r="C31" s="42">
        <f t="shared" ca="1" si="5"/>
        <v>415</v>
      </c>
      <c r="D31" s="42">
        <f t="shared" ca="1" si="6"/>
        <v>392</v>
      </c>
      <c r="E31" s="42">
        <f t="shared" ca="1" si="7"/>
        <v>12</v>
      </c>
      <c r="F31" s="42">
        <f t="shared" ca="1" si="8"/>
        <v>31</v>
      </c>
      <c r="G31" s="42">
        <f t="shared" ca="1" si="9"/>
        <v>8</v>
      </c>
      <c r="H31" s="42" t="s">
        <v>88</v>
      </c>
      <c r="I31" s="48" t="str">
        <f ca="1">INDIRECT("template!I39")</f>
        <v>Destination blob H</v>
      </c>
      <c r="J31" s="51">
        <v>0</v>
      </c>
    </row>
    <row r="32" spans="1:10">
      <c r="A32" s="41" t="s">
        <v>87</v>
      </c>
      <c r="B32" s="42">
        <v>32</v>
      </c>
      <c r="C32" s="42">
        <f t="shared" ca="1" si="5"/>
        <v>447</v>
      </c>
      <c r="D32" s="42">
        <f t="shared" ca="1" si="6"/>
        <v>416</v>
      </c>
      <c r="E32" s="42">
        <f t="shared" ca="1" si="7"/>
        <v>13</v>
      </c>
      <c r="F32" s="42">
        <f t="shared" ca="1" si="8"/>
        <v>31</v>
      </c>
      <c r="G32" s="42">
        <f t="shared" ca="1" si="9"/>
        <v>0</v>
      </c>
      <c r="H32" s="42" t="s">
        <v>88</v>
      </c>
      <c r="I32" s="48" t="s">
        <v>87</v>
      </c>
      <c r="J32" s="51">
        <v>0</v>
      </c>
    </row>
    <row r="33" spans="1:10" ht="409.6">
      <c r="A33" s="41" t="s">
        <v>139</v>
      </c>
      <c r="B33" s="42">
        <v>32</v>
      </c>
      <c r="C33" s="42">
        <f t="shared" ca="1" si="5"/>
        <v>479</v>
      </c>
      <c r="D33" s="42">
        <f t="shared" ca="1" si="6"/>
        <v>448</v>
      </c>
      <c r="E33" s="42">
        <f t="shared" ca="1" si="7"/>
        <v>14</v>
      </c>
      <c r="F33" s="42">
        <f t="shared" ca="1" si="8"/>
        <v>31</v>
      </c>
      <c r="G33" s="42">
        <f t="shared" ca="1" si="9"/>
        <v>0</v>
      </c>
      <c r="H33" s="42" t="s">
        <v>73</v>
      </c>
      <c r="I33" s="48"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33" s="47" t="s">
        <v>95</v>
      </c>
    </row>
    <row r="34" spans="1:10">
      <c r="A34" s="41" t="s">
        <v>141</v>
      </c>
      <c r="B34" s="42">
        <v>32</v>
      </c>
      <c r="C34" s="42">
        <f t="shared" ca="1" si="5"/>
        <v>511</v>
      </c>
      <c r="D34" s="42">
        <f t="shared" ca="1" si="6"/>
        <v>480</v>
      </c>
      <c r="E34" s="42">
        <f t="shared" ca="1" si="7"/>
        <v>15</v>
      </c>
      <c r="F34" s="42">
        <f t="shared" ca="1" si="8"/>
        <v>31</v>
      </c>
      <c r="G34" s="42">
        <f t="shared" ca="1" si="9"/>
        <v>0</v>
      </c>
      <c r="H34" s="42" t="s">
        <v>73</v>
      </c>
      <c r="I34" s="48" t="str">
        <f ca="1">INDIRECT("template!I43")</f>
        <v>reserved</v>
      </c>
      <c r="J34" s="47" t="s">
        <v>95</v>
      </c>
    </row>
    <row r="35" spans="1:10" s="35" customFormat="1">
      <c r="A35" s="53" t="s">
        <v>571</v>
      </c>
      <c r="H35" s="36"/>
      <c r="I35" s="37"/>
      <c r="J35" s="36"/>
    </row>
    <row r="36" spans="1:10" s="35" customFormat="1">
      <c r="A36" s="53" t="s">
        <v>144</v>
      </c>
      <c r="H36" s="36"/>
      <c r="I36" s="37"/>
      <c r="J36" s="36"/>
    </row>
    <row r="37" spans="1:10" s="35" customFormat="1">
      <c r="A37" s="53" t="s">
        <v>145</v>
      </c>
      <c r="H37" s="36"/>
      <c r="I37" s="37"/>
      <c r="J37" s="36"/>
    </row>
    <row r="38" spans="1:10" s="35" customFormat="1">
      <c r="A38" s="53" t="s">
        <v>146</v>
      </c>
      <c r="H38" s="36"/>
      <c r="I38" s="37"/>
      <c r="J38" s="36"/>
    </row>
    <row r="39" spans="1:10" s="35" customFormat="1">
      <c r="A39" s="53" t="s">
        <v>147</v>
      </c>
      <c r="H39" s="36"/>
      <c r="I39" s="37"/>
      <c r="J39" s="36"/>
    </row>
  </sheetData>
  <phoneticPr fontId="32" type="noConversion"/>
  <pageMargins left="0.25" right="0.25" top="0.75" bottom="0.75" header="0.3" footer="0.3"/>
  <pageSetup paperSize="9" scale="5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6"/>
  <sheetViews>
    <sheetView zoomScale="85" zoomScaleNormal="85" workbookViewId="0">
      <pane ySplit="1" topLeftCell="A41" activePane="bottomLeft" state="frozen"/>
      <selection pane="bottomLeft" activeCell="H42" sqref="H42"/>
    </sheetView>
  </sheetViews>
  <sheetFormatPr defaultColWidth="15.44140625" defaultRowHeight="16.2"/>
  <cols>
    <col min="1" max="1" width="36"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72.44140625" style="37" customWidth="1"/>
    <col min="10" max="10" width="56.109375" style="36" customWidth="1"/>
    <col min="11" max="16384" width="15.44140625" style="36"/>
  </cols>
  <sheetData>
    <row r="1" spans="1:10">
      <c r="A1" s="38" t="s">
        <v>66</v>
      </c>
      <c r="B1" s="39" t="s">
        <v>67</v>
      </c>
      <c r="C1" s="39" t="s">
        <v>68</v>
      </c>
      <c r="D1" s="39" t="s">
        <v>69</v>
      </c>
      <c r="E1" s="39" t="s">
        <v>70</v>
      </c>
      <c r="F1" s="39" t="s">
        <v>71</v>
      </c>
      <c r="G1" s="39" t="s">
        <v>72</v>
      </c>
      <c r="H1" s="40" t="s">
        <v>73</v>
      </c>
      <c r="I1" s="45" t="s">
        <v>74</v>
      </c>
      <c r="J1" s="148" t="s">
        <v>555</v>
      </c>
    </row>
    <row r="2" spans="1:10" ht="46.8">
      <c r="A2" s="41" t="s">
        <v>75</v>
      </c>
      <c r="B2" s="60">
        <v>1</v>
      </c>
      <c r="C2" s="60">
        <f>D2+B2-1</f>
        <v>0</v>
      </c>
      <c r="D2" s="60">
        <v>0</v>
      </c>
      <c r="E2" s="60">
        <f>ROUNDDOWN(C2/32,0)</f>
        <v>0</v>
      </c>
      <c r="F2" s="60">
        <f>C2-E2*32</f>
        <v>0</v>
      </c>
      <c r="G2" s="60">
        <f>D2-E2*32</f>
        <v>0</v>
      </c>
      <c r="H2" s="60" t="s">
        <v>73</v>
      </c>
      <c r="I2" s="62" t="str">
        <f ca="1">CONCATENATE(INDIRECT("template!I2"))</f>
        <v>Interrupt Enable;if this bit is set, CPU COULD get interrupt when the instruction is finished 
0: disable interrupt
1: enable interrupt</v>
      </c>
      <c r="J2" s="118" t="s">
        <v>95</v>
      </c>
    </row>
    <row r="3" spans="1:10" ht="46.8">
      <c r="A3" s="41" t="s">
        <v>77</v>
      </c>
      <c r="B3" s="60">
        <v>1</v>
      </c>
      <c r="C3" s="60">
        <f t="shared" ref="C3:C44" ca="1" si="0">D3+B3-1</f>
        <v>1</v>
      </c>
      <c r="D3" s="60">
        <f t="shared" ref="D3:D51" ca="1" si="1">INDIRECT(ADDRESS(ROW()-1,COLUMN()-1))+1</f>
        <v>1</v>
      </c>
      <c r="E3" s="60">
        <f t="shared" ref="E3:E44" ca="1" si="2">ROUNDDOWN(C3/32,0)</f>
        <v>0</v>
      </c>
      <c r="F3" s="60">
        <f t="shared" ref="F3:F44" ca="1" si="3">C3-E3*32</f>
        <v>1</v>
      </c>
      <c r="G3" s="60">
        <f t="shared" ref="G3:G44" ca="1" si="4">D3-E3*32</f>
        <v>1</v>
      </c>
      <c r="H3" s="60" t="s">
        <v>73</v>
      </c>
      <c r="I3" s="62" t="str">
        <f ca="1">CONCATENATE(INDIRECT("template!I3"))</f>
        <v>Stride enable
0：No stride for all blob definition
1：Enable stride for all blob definition</v>
      </c>
      <c r="J3" s="149">
        <v>0</v>
      </c>
    </row>
    <row r="4" spans="1:10" ht="46.8">
      <c r="A4" s="41" t="s">
        <v>79</v>
      </c>
      <c r="B4" s="60">
        <v>1</v>
      </c>
      <c r="C4" s="60">
        <f t="shared" ca="1" si="0"/>
        <v>2</v>
      </c>
      <c r="D4" s="60">
        <f t="shared" ca="1" si="1"/>
        <v>2</v>
      </c>
      <c r="E4" s="60">
        <f t="shared" ca="1" si="2"/>
        <v>0</v>
      </c>
      <c r="F4" s="60">
        <f t="shared" ca="1" si="3"/>
        <v>2</v>
      </c>
      <c r="G4" s="60">
        <f t="shared" ca="1" si="4"/>
        <v>2</v>
      </c>
      <c r="H4" s="60" t="s">
        <v>73</v>
      </c>
      <c r="I4" s="62" t="str">
        <f ca="1">CONCATENATE(INDIRECT("template!I4"))</f>
        <v>NCHW copy bit
0: use separate src and dst NCHW value setting
1: reuse src NCHW value for dst NCHW value</v>
      </c>
      <c r="J4" s="149">
        <v>1</v>
      </c>
    </row>
    <row r="5" spans="1:10" ht="31.2">
      <c r="A5" s="41" t="s">
        <v>559</v>
      </c>
      <c r="B5" s="60">
        <v>1</v>
      </c>
      <c r="C5" s="60">
        <f t="shared" ca="1" si="0"/>
        <v>3</v>
      </c>
      <c r="D5" s="60">
        <f t="shared" ca="1" si="1"/>
        <v>3</v>
      </c>
      <c r="E5" s="60">
        <f t="shared" ca="1" si="2"/>
        <v>0</v>
      </c>
      <c r="F5" s="60">
        <f t="shared" ca="1" si="3"/>
        <v>3</v>
      </c>
      <c r="G5" s="60">
        <f t="shared" ca="1" si="4"/>
        <v>3</v>
      </c>
      <c r="H5" s="60" t="s">
        <v>73</v>
      </c>
      <c r="I5" s="62" t="str">
        <f ca="1">CONCATENATE(INDIRECT("template!I5"))</f>
        <v>0:768bit full cmd;
1:128/256/384/512 short cmd</v>
      </c>
      <c r="J5" s="118" t="s">
        <v>95</v>
      </c>
    </row>
    <row r="6" spans="1:10" ht="30.9" customHeight="1">
      <c r="A6" s="41" t="s">
        <v>83</v>
      </c>
      <c r="B6" s="60">
        <v>1</v>
      </c>
      <c r="C6" s="60">
        <f t="shared" ca="1" si="0"/>
        <v>4</v>
      </c>
      <c r="D6" s="60">
        <f t="shared" ca="1" si="1"/>
        <v>4</v>
      </c>
      <c r="E6" s="60">
        <f t="shared" ca="1" si="2"/>
        <v>0</v>
      </c>
      <c r="F6" s="60">
        <f t="shared" ca="1" si="3"/>
        <v>4</v>
      </c>
      <c r="G6" s="60">
        <f t="shared" ca="1" si="4"/>
        <v>4</v>
      </c>
      <c r="H6" s="60" t="s">
        <v>73</v>
      </c>
      <c r="I6" s="62" t="str">
        <f ca="1">CONCATENATE(INDIRECT("template!I6"))</f>
        <v>Read cache enable
0: Read not use cache
1: Read use cache</v>
      </c>
      <c r="J6" s="118" t="s">
        <v>95</v>
      </c>
    </row>
    <row r="7" spans="1:10" ht="69" customHeight="1">
      <c r="A7" s="41" t="s">
        <v>85</v>
      </c>
      <c r="B7" s="60">
        <v>1</v>
      </c>
      <c r="C7" s="60">
        <f t="shared" ca="1" si="0"/>
        <v>5</v>
      </c>
      <c r="D7" s="60">
        <f t="shared" ca="1" si="1"/>
        <v>5</v>
      </c>
      <c r="E7" s="60">
        <f t="shared" ca="1" si="2"/>
        <v>0</v>
      </c>
      <c r="F7" s="60">
        <f t="shared" ca="1" si="3"/>
        <v>5</v>
      </c>
      <c r="G7" s="60">
        <f t="shared" ca="1" si="4"/>
        <v>5</v>
      </c>
      <c r="H7" s="60" t="s">
        <v>73</v>
      </c>
      <c r="I7" s="62" t="str">
        <f ca="1">CONCATENATE(INDIRECT("template!I7"))</f>
        <v>Flush cache
0: Not Flush cache
1: Flush cache</v>
      </c>
      <c r="J7" s="118" t="s">
        <v>95</v>
      </c>
    </row>
    <row r="8" spans="1:10">
      <c r="A8" s="41" t="s">
        <v>87</v>
      </c>
      <c r="B8" s="60">
        <v>2</v>
      </c>
      <c r="C8" s="60">
        <f t="shared" ca="1" si="0"/>
        <v>7</v>
      </c>
      <c r="D8" s="60">
        <f t="shared" ca="1" si="1"/>
        <v>6</v>
      </c>
      <c r="E8" s="60">
        <f t="shared" ca="1" si="2"/>
        <v>0</v>
      </c>
      <c r="F8" s="60">
        <f t="shared" ca="1" si="3"/>
        <v>7</v>
      </c>
      <c r="G8" s="60">
        <f t="shared" ca="1" si="4"/>
        <v>6</v>
      </c>
      <c r="H8" s="60" t="s">
        <v>88</v>
      </c>
      <c r="I8" s="62" t="str">
        <f ca="1">CONCATENATE(INDIRECT("template!I8"))</f>
        <v>reserved</v>
      </c>
      <c r="J8" s="149">
        <v>0</v>
      </c>
    </row>
    <row r="9" spans="1:10" ht="15.9" customHeight="1">
      <c r="A9" s="41" t="s">
        <v>1234</v>
      </c>
      <c r="B9" s="60">
        <v>1</v>
      </c>
      <c r="C9" s="60">
        <f t="shared" si="0"/>
        <v>8</v>
      </c>
      <c r="D9" s="60">
        <v>8</v>
      </c>
      <c r="E9" s="60">
        <v>0</v>
      </c>
      <c r="F9" s="60">
        <v>8</v>
      </c>
      <c r="G9" s="60">
        <v>8</v>
      </c>
      <c r="H9" s="60" t="s">
        <v>1235</v>
      </c>
      <c r="I9" s="62"/>
      <c r="J9" s="118" t="s">
        <v>95</v>
      </c>
    </row>
    <row r="10" spans="1:10" customFormat="1">
      <c r="A10" s="41" t="s">
        <v>1236</v>
      </c>
      <c r="B10" s="60">
        <v>1</v>
      </c>
      <c r="C10" s="60">
        <f t="shared" si="0"/>
        <v>9</v>
      </c>
      <c r="D10" s="60">
        <v>9</v>
      </c>
      <c r="E10" s="60">
        <v>0</v>
      </c>
      <c r="F10" s="60">
        <v>9</v>
      </c>
      <c r="G10" s="60">
        <v>9</v>
      </c>
      <c r="H10" s="60" t="s">
        <v>1235</v>
      </c>
      <c r="I10" s="62"/>
      <c r="J10" s="118" t="s">
        <v>95</v>
      </c>
    </row>
    <row r="11" spans="1:10">
      <c r="A11" s="41" t="s">
        <v>1237</v>
      </c>
      <c r="B11" s="60">
        <v>1</v>
      </c>
      <c r="C11" s="60">
        <f t="shared" si="0"/>
        <v>10</v>
      </c>
      <c r="D11" s="60">
        <v>10</v>
      </c>
      <c r="E11" s="60">
        <v>0</v>
      </c>
      <c r="F11" s="60">
        <v>10</v>
      </c>
      <c r="G11" s="60">
        <v>10</v>
      </c>
      <c r="H11" s="60" t="s">
        <v>1235</v>
      </c>
      <c r="I11" s="62"/>
      <c r="J11" s="118" t="s">
        <v>95</v>
      </c>
    </row>
    <row r="12" spans="1:10">
      <c r="A12" s="41" t="s">
        <v>1240</v>
      </c>
      <c r="B12" s="60">
        <v>1</v>
      </c>
      <c r="C12" s="60">
        <v>11</v>
      </c>
      <c r="D12" s="60">
        <v>11</v>
      </c>
      <c r="E12" s="60">
        <v>0</v>
      </c>
      <c r="F12" s="60">
        <v>11</v>
      </c>
      <c r="G12" s="60">
        <v>11</v>
      </c>
      <c r="H12" s="60" t="s">
        <v>1241</v>
      </c>
      <c r="I12" s="62"/>
      <c r="J12" s="118" t="s">
        <v>95</v>
      </c>
    </row>
    <row r="13" spans="1:10">
      <c r="A13" s="41" t="s">
        <v>89</v>
      </c>
      <c r="B13" s="60">
        <v>20</v>
      </c>
      <c r="C13" s="60">
        <f t="shared" ca="1" si="0"/>
        <v>31</v>
      </c>
      <c r="D13" s="60">
        <f t="shared" ca="1" si="1"/>
        <v>12</v>
      </c>
      <c r="E13" s="60">
        <f t="shared" ca="1" si="2"/>
        <v>0</v>
      </c>
      <c r="F13" s="60">
        <f t="shared" ca="1" si="3"/>
        <v>31</v>
      </c>
      <c r="G13" s="60">
        <f t="shared" ca="1" si="4"/>
        <v>12</v>
      </c>
      <c r="H13" s="60" t="s">
        <v>88</v>
      </c>
      <c r="I13" s="62" t="str">
        <f ca="1">CONCATENATE(INDIRECT("template!I9"))</f>
        <v/>
      </c>
      <c r="J13" s="149">
        <v>0</v>
      </c>
    </row>
    <row r="14" spans="1:10" customFormat="1" ht="93.6">
      <c r="A14" s="41" t="s">
        <v>90</v>
      </c>
      <c r="B14" s="60">
        <v>5</v>
      </c>
      <c r="C14" s="60">
        <f t="shared" ca="1" si="0"/>
        <v>36</v>
      </c>
      <c r="D14" s="60">
        <f t="shared" ca="1" si="1"/>
        <v>32</v>
      </c>
      <c r="E14" s="60">
        <f t="shared" ca="1" si="2"/>
        <v>1</v>
      </c>
      <c r="F14" s="60">
        <f t="shared" ca="1" si="3"/>
        <v>4</v>
      </c>
      <c r="G14" s="60">
        <f t="shared" ref="G14:G24" ca="1" si="5">D14-E14*32</f>
        <v>0</v>
      </c>
      <c r="H14" s="60" t="s">
        <v>73</v>
      </c>
      <c r="I14" s="62" t="str">
        <f ca="1">CONCATENATE(INDIRECT("template!I14"))</f>
        <v>0x0:GDMA_tensor                     0x1:GDMA_matrix
0x2:GDMA_masked_select       0x3:GDMA_general
                                                   0x5:GDMA_nonzero
0x6:GDMA_sys                           0x7:GDMA_gather
0x8:GDMA_scatter                    0x9:GDMA_reverse
0xc:GDMA_lossy_compress      0xd:GDMA_lossy_decompress</v>
      </c>
      <c r="J14" s="118" t="s">
        <v>95</v>
      </c>
    </row>
    <row r="15" spans="1:10" ht="46.8">
      <c r="A15" s="41" t="s">
        <v>91</v>
      </c>
      <c r="B15" s="60">
        <v>3</v>
      </c>
      <c r="C15" s="60">
        <f t="shared" ca="1" si="0"/>
        <v>39</v>
      </c>
      <c r="D15" s="60">
        <f t="shared" ca="1" si="1"/>
        <v>37</v>
      </c>
      <c r="E15" s="60">
        <f t="shared" ca="1" si="2"/>
        <v>1</v>
      </c>
      <c r="F15" s="60">
        <f t="shared" ca="1" si="3"/>
        <v>7</v>
      </c>
      <c r="G15" s="60">
        <f t="shared" ca="1" si="5"/>
        <v>5</v>
      </c>
      <c r="H15" s="60" t="s">
        <v>73</v>
      </c>
      <c r="I15" s="62" t="s">
        <v>596</v>
      </c>
      <c r="J15" s="157" t="s">
        <v>574</v>
      </c>
    </row>
    <row r="16" spans="1:10">
      <c r="A16" s="41" t="s">
        <v>93</v>
      </c>
      <c r="B16" s="60">
        <v>1</v>
      </c>
      <c r="C16" s="60">
        <f t="shared" ca="1" si="0"/>
        <v>40</v>
      </c>
      <c r="D16" s="60">
        <f t="shared" ca="1" si="1"/>
        <v>40</v>
      </c>
      <c r="E16" s="60">
        <f t="shared" ca="1" si="2"/>
        <v>1</v>
      </c>
      <c r="F16" s="60">
        <f t="shared" ca="1" si="3"/>
        <v>8</v>
      </c>
      <c r="G16" s="60">
        <f t="shared" ca="1" si="5"/>
        <v>8</v>
      </c>
      <c r="H16" s="60" t="s">
        <v>73</v>
      </c>
      <c r="I16" s="62" t="s">
        <v>573</v>
      </c>
      <c r="J16" s="149">
        <v>0</v>
      </c>
    </row>
    <row r="17" spans="1:10" ht="156">
      <c r="A17" s="41" t="s">
        <v>96</v>
      </c>
      <c r="B17" s="60">
        <v>4</v>
      </c>
      <c r="C17" s="60">
        <f t="shared" ref="C17:C24" ca="1" si="6">D17+B17-1</f>
        <v>44</v>
      </c>
      <c r="D17" s="60">
        <f t="shared" ref="D17:D24" ca="1" si="7">INDIRECT(ADDRESS(ROW()-1,COLUMN()-1))+1</f>
        <v>41</v>
      </c>
      <c r="E17" s="60">
        <f t="shared" ref="E17:E24" ca="1" si="8">ROUNDDOWN(C17/32,0)</f>
        <v>1</v>
      </c>
      <c r="F17" s="60">
        <f t="shared" ref="F17:F24" ca="1" si="9">C17-E17*32</f>
        <v>12</v>
      </c>
      <c r="G17" s="60">
        <f t="shared" ca="1" si="5"/>
        <v>9</v>
      </c>
      <c r="H17" s="60" t="s">
        <v>73</v>
      </c>
      <c r="I17" s="62" t="s">
        <v>1336</v>
      </c>
      <c r="J17" s="118" t="s">
        <v>95</v>
      </c>
    </row>
    <row r="18" spans="1:10" ht="156">
      <c r="A18" s="41" t="s">
        <v>597</v>
      </c>
      <c r="B18" s="60">
        <v>4</v>
      </c>
      <c r="C18" s="60">
        <f t="shared" ca="1" si="6"/>
        <v>48</v>
      </c>
      <c r="D18" s="60">
        <f t="shared" ca="1" si="7"/>
        <v>45</v>
      </c>
      <c r="E18" s="60">
        <f t="shared" ca="1" si="8"/>
        <v>1</v>
      </c>
      <c r="F18" s="60">
        <f t="shared" ca="1" si="9"/>
        <v>16</v>
      </c>
      <c r="G18" s="60">
        <f t="shared" ca="1" si="5"/>
        <v>13</v>
      </c>
      <c r="H18" s="60" t="s">
        <v>73</v>
      </c>
      <c r="I18" s="62" t="s">
        <v>1336</v>
      </c>
      <c r="J18" s="118" t="s">
        <v>95</v>
      </c>
    </row>
    <row r="19" spans="1:10">
      <c r="A19" s="41" t="s">
        <v>87</v>
      </c>
      <c r="B19" s="60">
        <v>15</v>
      </c>
      <c r="C19" s="60">
        <f t="shared" ca="1" si="6"/>
        <v>63</v>
      </c>
      <c r="D19" s="60">
        <f t="shared" ca="1" si="7"/>
        <v>49</v>
      </c>
      <c r="E19" s="60">
        <f t="shared" ca="1" si="8"/>
        <v>1</v>
      </c>
      <c r="F19" s="60">
        <f t="shared" ca="1" si="9"/>
        <v>31</v>
      </c>
      <c r="G19" s="60">
        <f t="shared" ca="1" si="5"/>
        <v>17</v>
      </c>
      <c r="H19" s="60" t="s">
        <v>88</v>
      </c>
      <c r="I19" s="62" t="str">
        <f ca="1">CONCATENATE(INDIRECT("template!I19"))</f>
        <v>reserved (for CDMA src_hsize[31:16], GDMA must tie 0)</v>
      </c>
      <c r="J19" s="149">
        <v>0</v>
      </c>
    </row>
    <row r="20" spans="1:10" ht="15.9" customHeight="1">
      <c r="A20" s="41" t="s">
        <v>97</v>
      </c>
      <c r="B20" s="60">
        <v>21</v>
      </c>
      <c r="C20" s="60">
        <f t="shared" ca="1" si="6"/>
        <v>84</v>
      </c>
      <c r="D20" s="60">
        <f t="shared" ca="1" si="7"/>
        <v>64</v>
      </c>
      <c r="E20" s="60">
        <f t="shared" ca="1" si="8"/>
        <v>2</v>
      </c>
      <c r="F20" s="60">
        <f t="shared" ca="1" si="9"/>
        <v>20</v>
      </c>
      <c r="G20" s="60">
        <f t="shared" ca="1" si="5"/>
        <v>0</v>
      </c>
      <c r="H20" s="60" t="s">
        <v>73</v>
      </c>
      <c r="I20" s="62" t="s">
        <v>1334</v>
      </c>
      <c r="J20" s="118" t="s">
        <v>95</v>
      </c>
    </row>
    <row r="21" spans="1:10">
      <c r="A21" s="41" t="s">
        <v>1263</v>
      </c>
      <c r="B21" s="60">
        <v>2</v>
      </c>
      <c r="C21" s="60">
        <v>86</v>
      </c>
      <c r="D21" s="60">
        <v>85</v>
      </c>
      <c r="E21" s="60">
        <f t="shared" si="8"/>
        <v>2</v>
      </c>
      <c r="F21" s="60">
        <v>22</v>
      </c>
      <c r="G21" s="60">
        <f t="shared" si="5"/>
        <v>21</v>
      </c>
      <c r="H21" s="60" t="s">
        <v>988</v>
      </c>
      <c r="I21" s="62" t="s">
        <v>87</v>
      </c>
      <c r="J21" s="148"/>
    </row>
    <row r="22" spans="1:10">
      <c r="A22" s="41" t="s">
        <v>979</v>
      </c>
      <c r="B22" s="60">
        <v>1</v>
      </c>
      <c r="C22" s="60">
        <v>87</v>
      </c>
      <c r="D22" s="60">
        <v>87</v>
      </c>
      <c r="E22" s="60">
        <v>2</v>
      </c>
      <c r="F22" s="60">
        <v>23</v>
      </c>
      <c r="G22" s="60">
        <v>23</v>
      </c>
      <c r="H22" s="60" t="s">
        <v>989</v>
      </c>
      <c r="I22" s="62" t="s">
        <v>990</v>
      </c>
      <c r="J22" s="148"/>
    </row>
    <row r="23" spans="1:10">
      <c r="A23" s="41" t="s">
        <v>87</v>
      </c>
      <c r="B23" s="60">
        <v>8</v>
      </c>
      <c r="C23" s="60">
        <f t="shared" ref="C23" ca="1" si="10">D23+B23-1</f>
        <v>95</v>
      </c>
      <c r="D23" s="60">
        <f t="shared" ref="D23" ca="1" si="11">INDIRECT(ADDRESS(ROW()-1,COLUMN()-1))+1</f>
        <v>88</v>
      </c>
      <c r="E23" s="60">
        <f t="shared" ca="1" si="8"/>
        <v>2</v>
      </c>
      <c r="F23" s="60">
        <v>31</v>
      </c>
      <c r="G23" s="60">
        <f t="shared" ca="1" si="5"/>
        <v>24</v>
      </c>
      <c r="H23" s="60" t="s">
        <v>88</v>
      </c>
      <c r="I23" s="62" t="s">
        <v>87</v>
      </c>
      <c r="J23" s="148"/>
    </row>
    <row r="24" spans="1:10">
      <c r="A24" s="41" t="s">
        <v>98</v>
      </c>
      <c r="B24" s="60">
        <v>32</v>
      </c>
      <c r="C24" s="60">
        <f t="shared" ca="1" si="6"/>
        <v>127</v>
      </c>
      <c r="D24" s="60">
        <f t="shared" ca="1" si="7"/>
        <v>96</v>
      </c>
      <c r="E24" s="60">
        <f t="shared" ca="1" si="8"/>
        <v>3</v>
      </c>
      <c r="F24" s="60">
        <f t="shared" ca="1" si="9"/>
        <v>31</v>
      </c>
      <c r="G24" s="60">
        <f t="shared" ca="1" si="5"/>
        <v>0</v>
      </c>
      <c r="H24" s="60" t="s">
        <v>73</v>
      </c>
      <c r="I24" s="62" t="str">
        <f ca="1">CONCATENATE(INDIRECT("template!I24"))</f>
        <v>when cmd_special_function==fill constant, this field means constant value</v>
      </c>
      <c r="J24" s="149">
        <v>0</v>
      </c>
    </row>
    <row r="25" spans="1:10">
      <c r="A25" s="41" t="s">
        <v>1263</v>
      </c>
      <c r="B25" s="60">
        <v>32</v>
      </c>
      <c r="C25" s="60">
        <f t="shared" ca="1" si="0"/>
        <v>159</v>
      </c>
      <c r="D25" s="60">
        <f t="shared" ca="1" si="1"/>
        <v>128</v>
      </c>
      <c r="E25" s="60">
        <f t="shared" ca="1" si="2"/>
        <v>4</v>
      </c>
      <c r="F25" s="60">
        <f t="shared" ca="1" si="3"/>
        <v>31</v>
      </c>
      <c r="G25" s="60">
        <f t="shared" ca="1" si="4"/>
        <v>0</v>
      </c>
      <c r="H25" s="60" t="s">
        <v>73</v>
      </c>
      <c r="I25" s="62" t="s">
        <v>1263</v>
      </c>
      <c r="J25" s="157" t="s">
        <v>574</v>
      </c>
    </row>
    <row r="26" spans="1:10">
      <c r="A26" s="41" t="s">
        <v>1263</v>
      </c>
      <c r="B26" s="60">
        <v>32</v>
      </c>
      <c r="C26" s="60">
        <f t="shared" ca="1" si="0"/>
        <v>191</v>
      </c>
      <c r="D26" s="60">
        <f t="shared" ca="1" si="1"/>
        <v>160</v>
      </c>
      <c r="E26" s="60">
        <f t="shared" ca="1" si="2"/>
        <v>5</v>
      </c>
      <c r="F26" s="60">
        <f t="shared" ca="1" si="3"/>
        <v>31</v>
      </c>
      <c r="G26" s="60">
        <f t="shared" ca="1" si="4"/>
        <v>0</v>
      </c>
      <c r="H26" s="60" t="s">
        <v>73</v>
      </c>
      <c r="I26" s="62" t="s">
        <v>1263</v>
      </c>
      <c r="J26" s="157" t="s">
        <v>574</v>
      </c>
    </row>
    <row r="27" spans="1:10">
      <c r="A27" s="41" t="s">
        <v>1263</v>
      </c>
      <c r="B27" s="60">
        <v>32</v>
      </c>
      <c r="C27" s="60">
        <f t="shared" ca="1" si="0"/>
        <v>223</v>
      </c>
      <c r="D27" s="60">
        <f t="shared" ca="1" si="1"/>
        <v>192</v>
      </c>
      <c r="E27" s="60">
        <f t="shared" ca="1" si="2"/>
        <v>6</v>
      </c>
      <c r="F27" s="60">
        <f t="shared" ca="1" si="3"/>
        <v>31</v>
      </c>
      <c r="G27" s="60">
        <f t="shared" ca="1" si="4"/>
        <v>0</v>
      </c>
      <c r="H27" s="60" t="s">
        <v>73</v>
      </c>
      <c r="I27" s="62" t="s">
        <v>1263</v>
      </c>
      <c r="J27" s="157" t="s">
        <v>574</v>
      </c>
    </row>
    <row r="28" spans="1:10">
      <c r="A28" s="41" t="s">
        <v>1263</v>
      </c>
      <c r="B28" s="60">
        <v>32</v>
      </c>
      <c r="C28" s="60">
        <f t="shared" ca="1" si="0"/>
        <v>255</v>
      </c>
      <c r="D28" s="60">
        <f t="shared" ca="1" si="1"/>
        <v>224</v>
      </c>
      <c r="E28" s="60">
        <f t="shared" ca="1" si="2"/>
        <v>7</v>
      </c>
      <c r="F28" s="60">
        <f t="shared" ca="1" si="3"/>
        <v>31</v>
      </c>
      <c r="G28" s="60">
        <f t="shared" ca="1" si="4"/>
        <v>0</v>
      </c>
      <c r="H28" s="60" t="s">
        <v>73</v>
      </c>
      <c r="I28" s="62" t="s">
        <v>1263</v>
      </c>
      <c r="J28" s="157" t="s">
        <v>574</v>
      </c>
    </row>
    <row r="29" spans="1:10">
      <c r="A29" s="41" t="s">
        <v>1263</v>
      </c>
      <c r="B29" s="60">
        <v>32</v>
      </c>
      <c r="C29" s="60">
        <f t="shared" ca="1" si="0"/>
        <v>287</v>
      </c>
      <c r="D29" s="60">
        <f t="shared" ca="1" si="1"/>
        <v>256</v>
      </c>
      <c r="E29" s="60">
        <f t="shared" ca="1" si="2"/>
        <v>8</v>
      </c>
      <c r="F29" s="60">
        <f t="shared" ca="1" si="3"/>
        <v>31</v>
      </c>
      <c r="G29" s="60">
        <f t="shared" ca="1" si="4"/>
        <v>0</v>
      </c>
      <c r="H29" s="60" t="s">
        <v>73</v>
      </c>
      <c r="I29" s="62" t="s">
        <v>1263</v>
      </c>
      <c r="J29" s="157" t="s">
        <v>574</v>
      </c>
    </row>
    <row r="30" spans="1:10">
      <c r="A30" s="41" t="s">
        <v>1263</v>
      </c>
      <c r="B30" s="60">
        <v>32</v>
      </c>
      <c r="C30" s="60">
        <f t="shared" ca="1" si="0"/>
        <v>319</v>
      </c>
      <c r="D30" s="60">
        <f t="shared" ca="1" si="1"/>
        <v>288</v>
      </c>
      <c r="E30" s="60">
        <f t="shared" ca="1" si="2"/>
        <v>9</v>
      </c>
      <c r="F30" s="60">
        <f t="shared" ca="1" si="3"/>
        <v>31</v>
      </c>
      <c r="G30" s="60">
        <f t="shared" ca="1" si="4"/>
        <v>0</v>
      </c>
      <c r="H30" s="60" t="s">
        <v>73</v>
      </c>
      <c r="I30" s="62" t="s">
        <v>1263</v>
      </c>
      <c r="J30" s="157" t="s">
        <v>574</v>
      </c>
    </row>
    <row r="31" spans="1:10" ht="17.100000000000001" customHeight="1">
      <c r="A31" s="41" t="s">
        <v>1263</v>
      </c>
      <c r="B31" s="60">
        <v>32</v>
      </c>
      <c r="C31" s="60">
        <f t="shared" ca="1" si="0"/>
        <v>351</v>
      </c>
      <c r="D31" s="60">
        <f t="shared" ca="1" si="1"/>
        <v>320</v>
      </c>
      <c r="E31" s="60">
        <f t="shared" ca="1" si="2"/>
        <v>10</v>
      </c>
      <c r="F31" s="60">
        <f t="shared" ca="1" si="3"/>
        <v>31</v>
      </c>
      <c r="G31" s="60">
        <f t="shared" ca="1" si="4"/>
        <v>0</v>
      </c>
      <c r="H31" s="60" t="s">
        <v>73</v>
      </c>
      <c r="I31" s="62" t="s">
        <v>1263</v>
      </c>
      <c r="J31" s="157" t="s">
        <v>574</v>
      </c>
    </row>
    <row r="32" spans="1:10">
      <c r="A32" s="41" t="s">
        <v>1263</v>
      </c>
      <c r="B32" s="60">
        <v>32</v>
      </c>
      <c r="C32" s="60">
        <f t="shared" ca="1" si="0"/>
        <v>383</v>
      </c>
      <c r="D32" s="60">
        <f t="shared" ca="1" si="1"/>
        <v>352</v>
      </c>
      <c r="E32" s="60">
        <f t="shared" ca="1" si="2"/>
        <v>11</v>
      </c>
      <c r="F32" s="60">
        <f t="shared" ca="1" si="3"/>
        <v>31</v>
      </c>
      <c r="G32" s="60">
        <f t="shared" ca="1" si="4"/>
        <v>0</v>
      </c>
      <c r="H32" s="60" t="s">
        <v>73</v>
      </c>
      <c r="I32" s="62" t="s">
        <v>1263</v>
      </c>
      <c r="J32" s="157" t="s">
        <v>574</v>
      </c>
    </row>
    <row r="33" spans="1:10">
      <c r="A33" s="41" t="s">
        <v>116</v>
      </c>
      <c r="B33" s="60">
        <v>16</v>
      </c>
      <c r="C33" s="60">
        <f t="shared" ca="1" si="0"/>
        <v>399</v>
      </c>
      <c r="D33" s="60">
        <f t="shared" ca="1" si="1"/>
        <v>384</v>
      </c>
      <c r="E33" s="60">
        <f t="shared" ca="1" si="2"/>
        <v>12</v>
      </c>
      <c r="F33" s="60">
        <f t="shared" ca="1" si="3"/>
        <v>15</v>
      </c>
      <c r="G33" s="60">
        <f t="shared" ca="1" si="4"/>
        <v>0</v>
      </c>
      <c r="H33" s="60" t="s">
        <v>73</v>
      </c>
      <c r="I33" s="62" t="str">
        <f ca="1">INDIRECT("template!I33")</f>
        <v>Source Blob Number</v>
      </c>
      <c r="J33" s="118" t="s">
        <v>95</v>
      </c>
    </row>
    <row r="34" spans="1:10">
      <c r="A34" s="41" t="s">
        <v>118</v>
      </c>
      <c r="B34" s="60">
        <v>16</v>
      </c>
      <c r="C34" s="60">
        <f t="shared" ca="1" si="0"/>
        <v>415</v>
      </c>
      <c r="D34" s="60">
        <f t="shared" ca="1" si="1"/>
        <v>400</v>
      </c>
      <c r="E34" s="60">
        <f t="shared" ca="1" si="2"/>
        <v>12</v>
      </c>
      <c r="F34" s="60">
        <f t="shared" ca="1" si="3"/>
        <v>31</v>
      </c>
      <c r="G34" s="60">
        <f t="shared" ca="1" si="4"/>
        <v>16</v>
      </c>
      <c r="H34" s="60" t="s">
        <v>73</v>
      </c>
      <c r="I34" s="62" t="str">
        <f ca="1">INDIRECT("template!I34")</f>
        <v>Source blob C</v>
      </c>
      <c r="J34" s="118" t="s">
        <v>95</v>
      </c>
    </row>
    <row r="35" spans="1:10">
      <c r="A35" s="41" t="s">
        <v>598</v>
      </c>
      <c r="B35" s="60">
        <v>16</v>
      </c>
      <c r="C35" s="60">
        <f t="shared" ca="1" si="0"/>
        <v>431</v>
      </c>
      <c r="D35" s="60">
        <f t="shared" ca="1" si="1"/>
        <v>416</v>
      </c>
      <c r="E35" s="60">
        <f t="shared" ca="1" si="2"/>
        <v>13</v>
      </c>
      <c r="F35" s="60">
        <f t="shared" ca="1" si="3"/>
        <v>15</v>
      </c>
      <c r="G35" s="60">
        <f t="shared" ca="1" si="4"/>
        <v>0</v>
      </c>
      <c r="H35" s="60" t="s">
        <v>73</v>
      </c>
      <c r="I35" s="62" t="s">
        <v>599</v>
      </c>
      <c r="J35" s="118" t="s">
        <v>95</v>
      </c>
    </row>
    <row r="36" spans="1:10">
      <c r="A36" s="41" t="s">
        <v>122</v>
      </c>
      <c r="B36" s="60">
        <v>16</v>
      </c>
      <c r="C36" s="60">
        <f t="shared" ca="1" si="0"/>
        <v>447</v>
      </c>
      <c r="D36" s="60">
        <f t="shared" ca="1" si="1"/>
        <v>432</v>
      </c>
      <c r="E36" s="60">
        <f t="shared" ca="1" si="2"/>
        <v>13</v>
      </c>
      <c r="F36" s="60">
        <f t="shared" ca="1" si="3"/>
        <v>31</v>
      </c>
      <c r="G36" s="60">
        <f t="shared" ca="1" si="4"/>
        <v>16</v>
      </c>
      <c r="H36" s="60" t="s">
        <v>73</v>
      </c>
      <c r="I36" s="62" t="str">
        <f ca="1">INDIRECT("template!I36")</f>
        <v xml:space="preserve">Source blob W </v>
      </c>
      <c r="J36" s="118" t="s">
        <v>95</v>
      </c>
    </row>
    <row r="37" spans="1:10">
      <c r="A37" s="41" t="s">
        <v>1263</v>
      </c>
      <c r="B37" s="60">
        <v>16</v>
      </c>
      <c r="C37" s="60">
        <f t="shared" ca="1" si="0"/>
        <v>463</v>
      </c>
      <c r="D37" s="60">
        <f t="shared" ca="1" si="1"/>
        <v>448</v>
      </c>
      <c r="E37" s="60">
        <f t="shared" ca="1" si="2"/>
        <v>14</v>
      </c>
      <c r="F37" s="60">
        <f t="shared" ca="1" si="3"/>
        <v>15</v>
      </c>
      <c r="G37" s="60">
        <f t="shared" ca="1" si="4"/>
        <v>0</v>
      </c>
      <c r="H37" s="60" t="s">
        <v>73</v>
      </c>
      <c r="I37" s="62" t="s">
        <v>1263</v>
      </c>
      <c r="J37" s="157" t="s">
        <v>574</v>
      </c>
    </row>
    <row r="38" spans="1:10">
      <c r="A38" s="41" t="s">
        <v>1263</v>
      </c>
      <c r="B38" s="60">
        <v>16</v>
      </c>
      <c r="C38" s="60">
        <f t="shared" ca="1" si="0"/>
        <v>479</v>
      </c>
      <c r="D38" s="60">
        <f t="shared" ca="1" si="1"/>
        <v>464</v>
      </c>
      <c r="E38" s="60">
        <f t="shared" ca="1" si="2"/>
        <v>14</v>
      </c>
      <c r="F38" s="60">
        <f t="shared" ca="1" si="3"/>
        <v>31</v>
      </c>
      <c r="G38" s="60">
        <f t="shared" ca="1" si="4"/>
        <v>16</v>
      </c>
      <c r="H38" s="60" t="s">
        <v>73</v>
      </c>
      <c r="I38" s="62" t="s">
        <v>1263</v>
      </c>
      <c r="J38" s="157" t="s">
        <v>574</v>
      </c>
    </row>
    <row r="39" spans="1:10">
      <c r="A39" s="44" t="s">
        <v>1265</v>
      </c>
      <c r="B39" s="125">
        <v>16</v>
      </c>
      <c r="C39" s="125">
        <f t="shared" ca="1" si="0"/>
        <v>495</v>
      </c>
      <c r="D39" s="125">
        <f t="shared" ca="1" si="1"/>
        <v>480</v>
      </c>
      <c r="E39" s="125">
        <f t="shared" ca="1" si="2"/>
        <v>15</v>
      </c>
      <c r="F39" s="125">
        <f t="shared" ca="1" si="3"/>
        <v>15</v>
      </c>
      <c r="G39" s="125">
        <f t="shared" ca="1" si="4"/>
        <v>0</v>
      </c>
      <c r="H39" s="125" t="s">
        <v>73</v>
      </c>
      <c r="I39" s="126" t="s">
        <v>1266</v>
      </c>
      <c r="J39" s="118" t="s">
        <v>95</v>
      </c>
    </row>
    <row r="40" spans="1:10">
      <c r="A40" s="44" t="s">
        <v>1264</v>
      </c>
      <c r="B40" s="125">
        <v>16</v>
      </c>
      <c r="C40" s="125">
        <f t="shared" ca="1" si="0"/>
        <v>511</v>
      </c>
      <c r="D40" s="125">
        <f t="shared" ca="1" si="1"/>
        <v>496</v>
      </c>
      <c r="E40" s="125">
        <f t="shared" ca="1" si="2"/>
        <v>15</v>
      </c>
      <c r="F40" s="125">
        <f t="shared" ca="1" si="3"/>
        <v>31</v>
      </c>
      <c r="G40" s="125">
        <f t="shared" ca="1" si="4"/>
        <v>16</v>
      </c>
      <c r="H40" s="125" t="s">
        <v>73</v>
      </c>
      <c r="I40" s="126" t="s">
        <v>1267</v>
      </c>
      <c r="J40" s="118" t="s">
        <v>95</v>
      </c>
    </row>
    <row r="41" spans="1:10">
      <c r="A41" s="41" t="s">
        <v>132</v>
      </c>
      <c r="B41" s="60">
        <v>32</v>
      </c>
      <c r="C41" s="60">
        <f t="shared" ca="1" si="0"/>
        <v>543</v>
      </c>
      <c r="D41" s="60">
        <f t="shared" ca="1" si="1"/>
        <v>512</v>
      </c>
      <c r="E41" s="60">
        <f t="shared" ca="1" si="2"/>
        <v>16</v>
      </c>
      <c r="F41" s="60">
        <f t="shared" ca="1" si="3"/>
        <v>31</v>
      </c>
      <c r="G41" s="60">
        <f t="shared" ca="1" si="4"/>
        <v>0</v>
      </c>
      <c r="H41" s="60" t="s">
        <v>73</v>
      </c>
      <c r="I41" s="62" t="str">
        <f ca="1">INDIRECT("template!I41")</f>
        <v>source blob start address[31:0]</v>
      </c>
      <c r="J41" s="150" t="s">
        <v>95</v>
      </c>
    </row>
    <row r="42" spans="1:10" ht="280.8">
      <c r="A42" s="41" t="s">
        <v>134</v>
      </c>
      <c r="B42" s="60">
        <v>13</v>
      </c>
      <c r="C42" s="60">
        <f t="shared" ca="1" si="0"/>
        <v>556</v>
      </c>
      <c r="D42" s="60">
        <f t="shared" ca="1" si="1"/>
        <v>544</v>
      </c>
      <c r="E42" s="60">
        <f t="shared" ca="1" si="2"/>
        <v>17</v>
      </c>
      <c r="F42" s="60">
        <f t="shared" ca="1" si="3"/>
        <v>12</v>
      </c>
      <c r="G42" s="60">
        <f t="shared" ca="1" si="4"/>
        <v>0</v>
      </c>
      <c r="H42" s="60" t="s">
        <v>73</v>
      </c>
      <c r="I42" s="62"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42" s="150" t="s">
        <v>95</v>
      </c>
    </row>
    <row r="43" spans="1:10">
      <c r="A43" s="41" t="s">
        <v>87</v>
      </c>
      <c r="B43" s="60">
        <v>19</v>
      </c>
      <c r="C43" s="60">
        <f t="shared" ca="1" si="0"/>
        <v>575</v>
      </c>
      <c r="D43" s="60">
        <f t="shared" ca="1" si="1"/>
        <v>557</v>
      </c>
      <c r="E43" s="60">
        <f t="shared" ca="1" si="2"/>
        <v>17</v>
      </c>
      <c r="F43" s="60">
        <f t="shared" ca="1" si="3"/>
        <v>31</v>
      </c>
      <c r="G43" s="60">
        <f t="shared" ca="1" si="4"/>
        <v>13</v>
      </c>
      <c r="H43" s="60" t="s">
        <v>88</v>
      </c>
      <c r="I43" s="62" t="str">
        <f ca="1">INDIRECT("template!I43")</f>
        <v>reserved</v>
      </c>
      <c r="J43" s="149">
        <v>0</v>
      </c>
    </row>
    <row r="44" spans="1:10">
      <c r="A44" s="41" t="s">
        <v>135</v>
      </c>
      <c r="B44" s="60">
        <v>32</v>
      </c>
      <c r="C44" s="60">
        <f t="shared" ca="1" si="0"/>
        <v>607</v>
      </c>
      <c r="D44" s="60">
        <f t="shared" ca="1" si="1"/>
        <v>576</v>
      </c>
      <c r="E44" s="60">
        <f t="shared" ca="1" si="2"/>
        <v>18</v>
      </c>
      <c r="F44" s="60">
        <f t="shared" ca="1" si="3"/>
        <v>31</v>
      </c>
      <c r="G44" s="60">
        <f t="shared" ca="1" si="4"/>
        <v>0</v>
      </c>
      <c r="H44" s="60" t="s">
        <v>73</v>
      </c>
      <c r="I44" s="62" t="str">
        <f ca="1">INDIRECT("template!I44")</f>
        <v>destination blob start address[31:0]</v>
      </c>
      <c r="J44" s="118" t="s">
        <v>95</v>
      </c>
    </row>
    <row r="45" spans="1:10" s="35" customFormat="1" ht="280.8">
      <c r="A45" s="41" t="s">
        <v>137</v>
      </c>
      <c r="B45" s="60">
        <v>13</v>
      </c>
      <c r="C45" s="60">
        <f t="shared" ref="C45:C51" ca="1" si="12">D45+B45-1</f>
        <v>620</v>
      </c>
      <c r="D45" s="60">
        <f t="shared" ca="1" si="1"/>
        <v>608</v>
      </c>
      <c r="E45" s="60">
        <f t="shared" ref="E45:E51" ca="1" si="13">ROUNDDOWN(C45/32,0)</f>
        <v>19</v>
      </c>
      <c r="F45" s="60">
        <f t="shared" ref="F45:F51" ca="1" si="14">C45-E45*32</f>
        <v>12</v>
      </c>
      <c r="G45" s="60">
        <f t="shared" ref="G45:G51" ca="1" si="15">D45-E45*32</f>
        <v>0</v>
      </c>
      <c r="H45" s="60" t="s">
        <v>73</v>
      </c>
      <c r="I45" s="62" t="str">
        <f ca="1">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dst is tiu, otherwise, dst is DTN</v>
      </c>
      <c r="J45" s="118" t="s">
        <v>95</v>
      </c>
    </row>
    <row r="46" spans="1:10" s="35" customFormat="1">
      <c r="A46" s="41" t="s">
        <v>87</v>
      </c>
      <c r="B46" s="60">
        <v>19</v>
      </c>
      <c r="C46" s="60">
        <f t="shared" ca="1" si="12"/>
        <v>639</v>
      </c>
      <c r="D46" s="60">
        <f t="shared" ca="1" si="1"/>
        <v>621</v>
      </c>
      <c r="E46" s="60">
        <f t="shared" ca="1" si="13"/>
        <v>19</v>
      </c>
      <c r="F46" s="60">
        <f t="shared" ca="1" si="14"/>
        <v>31</v>
      </c>
      <c r="G46" s="60">
        <f t="shared" ca="1" si="15"/>
        <v>13</v>
      </c>
      <c r="H46" s="60" t="s">
        <v>88</v>
      </c>
      <c r="I46" s="62" t="str">
        <f ca="1">INDIRECT("template!I46")</f>
        <v>reserved</v>
      </c>
      <c r="J46" s="149">
        <v>0</v>
      </c>
    </row>
    <row r="47" spans="1:10" s="35" customFormat="1">
      <c r="A47" s="41" t="s">
        <v>600</v>
      </c>
      <c r="B47" s="60">
        <v>32</v>
      </c>
      <c r="C47" s="60">
        <f t="shared" ca="1" si="12"/>
        <v>671</v>
      </c>
      <c r="D47" s="60">
        <f t="shared" ca="1" si="1"/>
        <v>640</v>
      </c>
      <c r="E47" s="60">
        <f t="shared" ca="1" si="13"/>
        <v>20</v>
      </c>
      <c r="F47" s="60">
        <f t="shared" ca="1" si="14"/>
        <v>31</v>
      </c>
      <c r="G47" s="60">
        <f t="shared" ca="1" si="15"/>
        <v>0</v>
      </c>
      <c r="H47" s="60" t="s">
        <v>73</v>
      </c>
      <c r="I47" s="62" t="str">
        <f>template!I47</f>
        <v>mask/index blob start address[31:0]</v>
      </c>
      <c r="J47" s="118" t="s">
        <v>95</v>
      </c>
    </row>
    <row r="48" spans="1:10" s="35" customFormat="1" ht="280.8">
      <c r="A48" s="41" t="s">
        <v>1358</v>
      </c>
      <c r="B48" s="60">
        <v>13</v>
      </c>
      <c r="C48" s="60">
        <f t="shared" ca="1" si="12"/>
        <v>684</v>
      </c>
      <c r="D48" s="60">
        <f t="shared" ca="1" si="1"/>
        <v>672</v>
      </c>
      <c r="E48" s="60">
        <f t="shared" ca="1" si="13"/>
        <v>21</v>
      </c>
      <c r="F48" s="60">
        <f t="shared" ca="1" si="14"/>
        <v>12</v>
      </c>
      <c r="G48" s="60">
        <f t="shared" ca="1" si="15"/>
        <v>0</v>
      </c>
      <c r="H48" s="60" t="s">
        <v>73</v>
      </c>
      <c r="I48" s="62" t="str">
        <f>template!I48</f>
        <v>bit[7:0]=mask/index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mask/index is tiu, otherwise, mask/index is DTN</v>
      </c>
      <c r="J48" s="118" t="s">
        <v>95</v>
      </c>
    </row>
    <row r="49" spans="1:10" s="35" customFormat="1">
      <c r="A49" s="41" t="s">
        <v>89</v>
      </c>
      <c r="B49" s="42">
        <v>19</v>
      </c>
      <c r="C49" s="42">
        <f t="shared" ca="1" si="12"/>
        <v>703</v>
      </c>
      <c r="D49" s="42">
        <f t="shared" ca="1" si="1"/>
        <v>685</v>
      </c>
      <c r="E49" s="42">
        <f t="shared" ca="1" si="13"/>
        <v>21</v>
      </c>
      <c r="F49" s="120">
        <f t="shared" ca="1" si="14"/>
        <v>31</v>
      </c>
      <c r="G49" s="122">
        <f t="shared" ca="1" si="15"/>
        <v>13</v>
      </c>
      <c r="H49" s="42" t="s">
        <v>88</v>
      </c>
      <c r="I49" s="48" t="s">
        <v>1353</v>
      </c>
      <c r="J49" s="149">
        <v>0</v>
      </c>
    </row>
    <row r="50" spans="1:10" s="35" customFormat="1">
      <c r="A50" s="41" t="s">
        <v>139</v>
      </c>
      <c r="B50" s="60">
        <v>32</v>
      </c>
      <c r="C50" s="60">
        <f t="shared" ca="1" si="12"/>
        <v>735</v>
      </c>
      <c r="D50" s="60">
        <f t="shared" ca="1" si="1"/>
        <v>704</v>
      </c>
      <c r="E50" s="60">
        <f t="shared" ca="1" si="13"/>
        <v>22</v>
      </c>
      <c r="F50" s="60">
        <f t="shared" ca="1" si="14"/>
        <v>31</v>
      </c>
      <c r="G50" s="60">
        <f t="shared" ca="1" si="15"/>
        <v>0</v>
      </c>
      <c r="H50" s="60" t="s">
        <v>73</v>
      </c>
      <c r="I50" s="62" t="str">
        <f ca="1">INDIRECT("template!I51")</f>
        <v>used to announce is the local memory mask or not, 1 means enable access, 0 means disable access (bit 0 corresponds local memory index32)</v>
      </c>
      <c r="J50" s="157" t="s">
        <v>574</v>
      </c>
    </row>
    <row r="51" spans="1:10">
      <c r="A51" s="41" t="s">
        <v>141</v>
      </c>
      <c r="B51" s="60">
        <v>32</v>
      </c>
      <c r="C51" s="60">
        <f t="shared" ca="1" si="12"/>
        <v>767</v>
      </c>
      <c r="D51" s="60">
        <f t="shared" ca="1" si="1"/>
        <v>736</v>
      </c>
      <c r="E51" s="60">
        <f t="shared" ca="1" si="13"/>
        <v>23</v>
      </c>
      <c r="F51" s="60">
        <f t="shared" ca="1" si="14"/>
        <v>31</v>
      </c>
      <c r="G51" s="60">
        <f t="shared" ca="1" si="15"/>
        <v>0</v>
      </c>
      <c r="H51" s="60" t="s">
        <v>73</v>
      </c>
      <c r="I51" s="62">
        <f ca="1">INDIRECT("template!I52")</f>
        <v>0</v>
      </c>
      <c r="J51" s="157" t="s">
        <v>574</v>
      </c>
    </row>
    <row r="52" spans="1:10">
      <c r="A52" s="159" t="s">
        <v>571</v>
      </c>
      <c r="B52" s="152"/>
      <c r="C52" s="152"/>
      <c r="D52" s="152"/>
      <c r="E52" s="152"/>
      <c r="F52" s="152"/>
      <c r="G52" s="152"/>
      <c r="H52" s="153"/>
      <c r="I52" s="154"/>
      <c r="J52" s="153"/>
    </row>
    <row r="53" spans="1:10">
      <c r="A53" s="159" t="s">
        <v>144</v>
      </c>
      <c r="B53" s="152"/>
      <c r="C53" s="152"/>
      <c r="D53" s="152"/>
      <c r="E53" s="152"/>
      <c r="F53" s="152"/>
      <c r="G53" s="152"/>
      <c r="H53" s="153"/>
      <c r="I53" s="154"/>
      <c r="J53" s="153"/>
    </row>
    <row r="54" spans="1:10">
      <c r="A54" s="159" t="s">
        <v>145</v>
      </c>
      <c r="B54" s="152"/>
      <c r="C54" s="152"/>
      <c r="D54" s="152"/>
      <c r="E54" s="152"/>
      <c r="F54" s="152"/>
      <c r="G54" s="152"/>
      <c r="H54" s="153"/>
      <c r="I54" s="154"/>
      <c r="J54" s="153"/>
    </row>
    <row r="55" spans="1:10">
      <c r="A55" s="159" t="s">
        <v>146</v>
      </c>
      <c r="B55" s="152"/>
      <c r="C55" s="152"/>
      <c r="D55" s="152"/>
      <c r="E55" s="152"/>
      <c r="F55" s="152"/>
      <c r="G55" s="152"/>
      <c r="H55" s="153"/>
      <c r="I55" s="154"/>
      <c r="J55" s="153"/>
    </row>
    <row r="56" spans="1:10">
      <c r="A56" s="159" t="s">
        <v>147</v>
      </c>
      <c r="B56" s="152"/>
      <c r="C56" s="152"/>
      <c r="D56" s="152"/>
      <c r="E56" s="152"/>
      <c r="F56" s="152"/>
      <c r="G56" s="152"/>
      <c r="H56" s="153"/>
      <c r="I56" s="154"/>
      <c r="J56" s="153"/>
    </row>
  </sheetData>
  <phoneticPr fontId="32" type="noConversion"/>
  <pageMargins left="0.25" right="0.25" top="0.75" bottom="0.75" header="0.3" footer="0.3"/>
  <pageSetup paperSize="9" scale="5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1"/>
  <sheetViews>
    <sheetView zoomScale="115" zoomScaleNormal="115" workbookViewId="0">
      <pane ySplit="1" topLeftCell="A2" activePane="bottomLeft" state="frozen"/>
      <selection pane="bottomLeft" activeCell="B16" sqref="B16:B17"/>
    </sheetView>
  </sheetViews>
  <sheetFormatPr defaultColWidth="15.44140625" defaultRowHeight="16.2"/>
  <cols>
    <col min="1" max="1" width="36"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72.44140625" style="37" customWidth="1"/>
    <col min="10" max="10" width="30.44140625" style="36" customWidth="1"/>
    <col min="11" max="16384" width="15.44140625" style="36"/>
  </cols>
  <sheetData>
    <row r="1" spans="1:10">
      <c r="A1" s="38" t="s">
        <v>66</v>
      </c>
      <c r="B1" s="39" t="s">
        <v>67</v>
      </c>
      <c r="C1" s="39" t="s">
        <v>68</v>
      </c>
      <c r="D1" s="39" t="s">
        <v>69</v>
      </c>
      <c r="E1" s="39" t="s">
        <v>70</v>
      </c>
      <c r="F1" s="39" t="s">
        <v>71</v>
      </c>
      <c r="G1" s="39" t="s">
        <v>72</v>
      </c>
      <c r="H1" s="40" t="s">
        <v>73</v>
      </c>
      <c r="I1" s="45" t="s">
        <v>74</v>
      </c>
      <c r="J1" s="46" t="s">
        <v>555</v>
      </c>
    </row>
    <row r="2" spans="1:10" ht="46.8">
      <c r="A2" s="41" t="s">
        <v>75</v>
      </c>
      <c r="B2" s="42">
        <v>1</v>
      </c>
      <c r="C2" s="42">
        <f t="shared" ref="C2:C9" si="0">D2+B2-1</f>
        <v>0</v>
      </c>
      <c r="D2" s="42">
        <v>0</v>
      </c>
      <c r="E2" s="42">
        <f t="shared" ref="E2:E9" si="1">ROUNDDOWN(C2/32,0)</f>
        <v>0</v>
      </c>
      <c r="F2" s="42">
        <f t="shared" ref="F2:F9" si="2">C2-E2*32</f>
        <v>0</v>
      </c>
      <c r="G2" s="42">
        <f t="shared" ref="G2:G9" si="3">D2-E2*32</f>
        <v>0</v>
      </c>
      <c r="H2" s="42" t="s">
        <v>73</v>
      </c>
      <c r="I2" s="48" t="str">
        <f ca="1">CONCATENATE(INDIRECT("template!I2"))</f>
        <v>Interrupt Enable;if this bit is set, CPU COULD get interrupt when the instruction is finished 
0: disable interrupt
1: enable interrupt</v>
      </c>
      <c r="J2" s="47" t="s">
        <v>95</v>
      </c>
    </row>
    <row r="3" spans="1:10" ht="46.8">
      <c r="A3" s="41" t="s">
        <v>77</v>
      </c>
      <c r="B3" s="42">
        <v>1</v>
      </c>
      <c r="C3" s="42">
        <f t="shared" ca="1" si="0"/>
        <v>1</v>
      </c>
      <c r="D3" s="42">
        <f t="shared" ref="D3:D9" ca="1" si="4">INDIRECT(ADDRESS(ROW()-1,COLUMN()-1))+1</f>
        <v>1</v>
      </c>
      <c r="E3" s="42">
        <f t="shared" ca="1" si="1"/>
        <v>0</v>
      </c>
      <c r="F3" s="42">
        <f t="shared" ca="1" si="2"/>
        <v>1</v>
      </c>
      <c r="G3" s="42">
        <f t="shared" ca="1" si="3"/>
        <v>1</v>
      </c>
      <c r="H3" s="42" t="s">
        <v>73</v>
      </c>
      <c r="I3" s="48" t="str">
        <f ca="1">CONCATENATE(INDIRECT("template!I3"))</f>
        <v>Stride enable
0：No stride for all blob definition
1：Enable stride for all blob definition</v>
      </c>
      <c r="J3" s="51">
        <v>0</v>
      </c>
    </row>
    <row r="4" spans="1:10" ht="46.8">
      <c r="A4" s="41" t="s">
        <v>79</v>
      </c>
      <c r="B4" s="42">
        <v>1</v>
      </c>
      <c r="C4" s="42">
        <f t="shared" ca="1" si="0"/>
        <v>2</v>
      </c>
      <c r="D4" s="42">
        <f t="shared" ca="1" si="4"/>
        <v>2</v>
      </c>
      <c r="E4" s="42">
        <f t="shared" ca="1" si="1"/>
        <v>0</v>
      </c>
      <c r="F4" s="42">
        <f t="shared" ca="1" si="2"/>
        <v>2</v>
      </c>
      <c r="G4" s="42">
        <f t="shared" ca="1" si="3"/>
        <v>2</v>
      </c>
      <c r="H4" s="42" t="s">
        <v>73</v>
      </c>
      <c r="I4" s="48" t="str">
        <f ca="1">CONCATENATE(INDIRECT("template!I4"))</f>
        <v>NCHW copy bit
0: use separate src and dst NCHW value setting
1: reuse src NCHW value for dst NCHW value</v>
      </c>
      <c r="J4" s="51">
        <v>1</v>
      </c>
    </row>
    <row r="5" spans="1:10" ht="31.2">
      <c r="A5" s="41" t="s">
        <v>559</v>
      </c>
      <c r="B5" s="42">
        <v>1</v>
      </c>
      <c r="C5" s="42">
        <f t="shared" ca="1" si="0"/>
        <v>3</v>
      </c>
      <c r="D5" s="42">
        <f t="shared" ca="1" si="4"/>
        <v>3</v>
      </c>
      <c r="E5" s="42">
        <f t="shared" ca="1" si="1"/>
        <v>0</v>
      </c>
      <c r="F5" s="42">
        <f t="shared" ca="1" si="2"/>
        <v>3</v>
      </c>
      <c r="G5" s="42">
        <f t="shared" ca="1" si="3"/>
        <v>3</v>
      </c>
      <c r="H5" s="42" t="s">
        <v>73</v>
      </c>
      <c r="I5" s="48" t="str">
        <f ca="1">CONCATENATE(INDIRECT("template!I5"))</f>
        <v>0:768bit full cmd;
1:128/256/384/512 short cmd</v>
      </c>
      <c r="J5" s="47" t="s">
        <v>95</v>
      </c>
    </row>
    <row r="6" spans="1:10" ht="30.9" customHeight="1">
      <c r="A6" s="41" t="s">
        <v>87</v>
      </c>
      <c r="B6" s="42">
        <v>1</v>
      </c>
      <c r="C6" s="42">
        <f t="shared" ca="1" si="0"/>
        <v>4</v>
      </c>
      <c r="D6" s="42">
        <f t="shared" ca="1" si="4"/>
        <v>4</v>
      </c>
      <c r="E6" s="42">
        <f t="shared" ca="1" si="1"/>
        <v>0</v>
      </c>
      <c r="F6" s="42">
        <f t="shared" ca="1" si="2"/>
        <v>4</v>
      </c>
      <c r="G6" s="42">
        <f t="shared" ca="1" si="3"/>
        <v>4</v>
      </c>
      <c r="H6" s="42" t="s">
        <v>88</v>
      </c>
      <c r="I6" s="48" t="str">
        <f ca="1">CONCATENATE(INDIRECT("template!I6"))</f>
        <v>Read cache enable
0: Read not use cache
1: Read use cache</v>
      </c>
      <c r="J6" s="51">
        <v>0</v>
      </c>
    </row>
    <row r="7" spans="1:10" ht="63" customHeight="1">
      <c r="A7" s="41" t="s">
        <v>87</v>
      </c>
      <c r="B7" s="42">
        <v>4</v>
      </c>
      <c r="C7" s="42">
        <f t="shared" ca="1" si="0"/>
        <v>8</v>
      </c>
      <c r="D7" s="42">
        <f t="shared" ca="1" si="4"/>
        <v>5</v>
      </c>
      <c r="E7" s="42">
        <f t="shared" ca="1" si="1"/>
        <v>0</v>
      </c>
      <c r="F7" s="42">
        <f t="shared" ca="1" si="2"/>
        <v>8</v>
      </c>
      <c r="G7" s="42">
        <f t="shared" ca="1" si="3"/>
        <v>5</v>
      </c>
      <c r="H7" s="42" t="s">
        <v>88</v>
      </c>
      <c r="I7" s="48" t="str">
        <f ca="1">CONCATENATE(INDIRECT("template!I7"))</f>
        <v>Flush cache
0: Not Flush cache
1: Flush cache</v>
      </c>
      <c r="J7" s="51">
        <v>0</v>
      </c>
    </row>
    <row r="8" spans="1:10">
      <c r="A8" s="41" t="s">
        <v>87</v>
      </c>
      <c r="B8" s="42">
        <v>20</v>
      </c>
      <c r="C8" s="42">
        <f t="shared" ca="1" si="0"/>
        <v>28</v>
      </c>
      <c r="D8" s="42">
        <f t="shared" ca="1" si="4"/>
        <v>9</v>
      </c>
      <c r="E8" s="42">
        <f t="shared" ca="1" si="1"/>
        <v>0</v>
      </c>
      <c r="F8" s="42">
        <f t="shared" ca="1" si="2"/>
        <v>28</v>
      </c>
      <c r="G8" s="42">
        <f t="shared" ca="1" si="3"/>
        <v>9</v>
      </c>
      <c r="H8" s="42" t="s">
        <v>88</v>
      </c>
      <c r="I8" s="48" t="str">
        <f ca="1">CONCATENATE(INDIRECT("template!I8"))</f>
        <v>reserved</v>
      </c>
      <c r="J8" s="51">
        <v>0</v>
      </c>
    </row>
    <row r="9" spans="1:10">
      <c r="A9" s="41" t="s">
        <v>89</v>
      </c>
      <c r="B9" s="42">
        <v>3</v>
      </c>
      <c r="C9" s="42">
        <f t="shared" ca="1" si="0"/>
        <v>31</v>
      </c>
      <c r="D9" s="42">
        <f t="shared" ca="1" si="4"/>
        <v>29</v>
      </c>
      <c r="E9" s="42">
        <f t="shared" ca="1" si="1"/>
        <v>0</v>
      </c>
      <c r="F9" s="42">
        <f t="shared" ca="1" si="2"/>
        <v>31</v>
      </c>
      <c r="G9" s="42">
        <f t="shared" ca="1" si="3"/>
        <v>29</v>
      </c>
      <c r="H9" s="42" t="s">
        <v>88</v>
      </c>
      <c r="I9" s="48" t="str">
        <f ca="1">CONCATENATE(INDIRECT("template!I9"))</f>
        <v/>
      </c>
      <c r="J9" s="51">
        <v>0</v>
      </c>
    </row>
    <row r="10" spans="1:10" customFormat="1">
      <c r="A10" s="41" t="s">
        <v>90</v>
      </c>
      <c r="B10" s="42">
        <v>4</v>
      </c>
      <c r="C10" s="42">
        <f t="shared" ref="C10:C29" ca="1" si="5">D10+B10-1</f>
        <v>35</v>
      </c>
      <c r="D10" s="42">
        <f t="shared" ref="D10:D36" ca="1" si="6">INDIRECT(ADDRESS(ROW()-1,COLUMN()-1))+1</f>
        <v>32</v>
      </c>
      <c r="E10" s="42">
        <f t="shared" ref="E10:E29" ca="1" si="7">ROUNDDOWN(C10/32,0)</f>
        <v>1</v>
      </c>
      <c r="F10" s="42">
        <f t="shared" ref="F10:F29" ca="1" si="8">C10-E10*32</f>
        <v>3</v>
      </c>
      <c r="G10" s="42">
        <f t="shared" ref="G10:G29" ca="1" si="9">D10-E10*32</f>
        <v>0</v>
      </c>
      <c r="H10" s="42" t="s">
        <v>73</v>
      </c>
      <c r="I10" s="48" t="str">
        <f ca="1">CONCATENATE(INDIRECT("template!I10"))</f>
        <v/>
      </c>
      <c r="J10" s="47" t="s">
        <v>95</v>
      </c>
    </row>
    <row r="11" spans="1:10">
      <c r="A11" s="43" t="s">
        <v>602</v>
      </c>
      <c r="B11" s="42">
        <v>3</v>
      </c>
      <c r="C11" s="42">
        <f t="shared" ca="1" si="5"/>
        <v>38</v>
      </c>
      <c r="D11" s="42">
        <f t="shared" ca="1" si="6"/>
        <v>36</v>
      </c>
      <c r="E11" s="42">
        <f t="shared" ca="1" si="7"/>
        <v>1</v>
      </c>
      <c r="F11" s="42">
        <f t="shared" ca="1" si="8"/>
        <v>6</v>
      </c>
      <c r="G11" s="42">
        <f t="shared" ca="1" si="9"/>
        <v>4</v>
      </c>
      <c r="H11" s="42" t="s">
        <v>73</v>
      </c>
      <c r="I11" s="48" t="str">
        <f ca="1">CONCATENATE(INDIRECT("DMA_masked_select!I11"))</f>
        <v/>
      </c>
      <c r="J11" s="50" t="s">
        <v>574</v>
      </c>
    </row>
    <row r="12" spans="1:10">
      <c r="A12" s="43" t="s">
        <v>93</v>
      </c>
      <c r="B12" s="42">
        <v>1</v>
      </c>
      <c r="C12" s="42">
        <f t="shared" ca="1" si="5"/>
        <v>39</v>
      </c>
      <c r="D12" s="42">
        <f t="shared" ca="1" si="6"/>
        <v>39</v>
      </c>
      <c r="E12" s="42">
        <f t="shared" ca="1" si="7"/>
        <v>1</v>
      </c>
      <c r="F12" s="42">
        <f t="shared" ca="1" si="8"/>
        <v>7</v>
      </c>
      <c r="G12" s="42">
        <f t="shared" ca="1" si="9"/>
        <v>7</v>
      </c>
      <c r="H12" s="42" t="s">
        <v>73</v>
      </c>
      <c r="I12" s="48" t="str">
        <f ca="1">CONCATENATE(INDIRECT("DMA_masked_select!I12"))</f>
        <v/>
      </c>
      <c r="J12" s="50" t="s">
        <v>574</v>
      </c>
    </row>
    <row r="13" spans="1:10">
      <c r="A13" s="41" t="s">
        <v>96</v>
      </c>
      <c r="B13" s="42">
        <v>3</v>
      </c>
      <c r="C13" s="42">
        <f t="shared" ca="1" si="5"/>
        <v>42</v>
      </c>
      <c r="D13" s="42">
        <f t="shared" ca="1" si="6"/>
        <v>40</v>
      </c>
      <c r="E13" s="42">
        <f t="shared" ca="1" si="7"/>
        <v>1</v>
      </c>
      <c r="F13" s="42">
        <f t="shared" ca="1" si="8"/>
        <v>10</v>
      </c>
      <c r="G13" s="42">
        <f t="shared" ca="1" si="9"/>
        <v>8</v>
      </c>
      <c r="H13" s="42" t="s">
        <v>73</v>
      </c>
      <c r="I13" s="48" t="str">
        <f ca="1">CONCATENATE(INDIRECT("template!I13"))</f>
        <v>reserved</v>
      </c>
      <c r="J13" s="47" t="s">
        <v>95</v>
      </c>
    </row>
    <row r="14" spans="1:10" customFormat="1" ht="93.6">
      <c r="A14" s="43" t="s">
        <v>597</v>
      </c>
      <c r="B14" s="42">
        <v>3</v>
      </c>
      <c r="C14" s="42">
        <f t="shared" ca="1" si="5"/>
        <v>45</v>
      </c>
      <c r="D14" s="42">
        <f t="shared" ca="1" si="6"/>
        <v>43</v>
      </c>
      <c r="E14" s="42">
        <f t="shared" ca="1" si="7"/>
        <v>1</v>
      </c>
      <c r="F14" s="42">
        <f t="shared" ca="1" si="8"/>
        <v>13</v>
      </c>
      <c r="G14" s="42">
        <f t="shared" ca="1" si="9"/>
        <v>11</v>
      </c>
      <c r="H14" s="42" t="s">
        <v>73</v>
      </c>
      <c r="I14" s="48" t="str">
        <f ca="1">CONCATENATE(INDIRECT("DMA_masked_select!I14"))</f>
        <v>0x0:GDMA_tensor                     0x1:GDMA_matrix
0x2:GDMA_masked_select       0x3:GDMA_general
                                                   0x5:GDMA_nonzero
0x6:GDMA_sys                           0x7:GDMA_gather
0x8:GDMA_scatter                    0x9:GDMA_reverse
0xc:GDMA_lossy_compress      0xd:GDMA_lossy_decompress</v>
      </c>
      <c r="J14" s="47" t="s">
        <v>95</v>
      </c>
    </row>
    <row r="15" spans="1:10" ht="93.6">
      <c r="A15" s="41" t="s">
        <v>87</v>
      </c>
      <c r="B15" s="42">
        <v>18</v>
      </c>
      <c r="C15" s="42">
        <f t="shared" ca="1" si="5"/>
        <v>63</v>
      </c>
      <c r="D15" s="42">
        <f t="shared" ca="1" si="6"/>
        <v>46</v>
      </c>
      <c r="E15" s="42">
        <f t="shared" ca="1" si="7"/>
        <v>1</v>
      </c>
      <c r="F15" s="42">
        <f t="shared" ca="1" si="8"/>
        <v>31</v>
      </c>
      <c r="G15" s="42">
        <f t="shared" ca="1" si="9"/>
        <v>14</v>
      </c>
      <c r="H15" s="42" t="s">
        <v>88</v>
      </c>
      <c r="I15" s="48" t="str">
        <f ca="1">CONCATENATE(INDIRECT("template!I14"))</f>
        <v>0x0:GDMA_tensor                     0x1:GDMA_matrix
0x2:GDMA_masked_select       0x3:GDMA_general
                                                   0x5:GDMA_nonzero
0x6:GDMA_sys                           0x7:GDMA_gather
0x8:GDMA_scatter                    0x9:GDMA_reverse
0xc:GDMA_lossy_compress      0xd:GDMA_lossy_decompress</v>
      </c>
      <c r="J15" s="51">
        <v>0</v>
      </c>
    </row>
    <row r="16" spans="1:10" ht="78">
      <c r="A16" s="41" t="s">
        <v>97</v>
      </c>
      <c r="B16" s="42">
        <v>24</v>
      </c>
      <c r="C16" s="42">
        <f t="shared" ca="1" si="5"/>
        <v>87</v>
      </c>
      <c r="D16" s="42">
        <f t="shared" ca="1" si="6"/>
        <v>64</v>
      </c>
      <c r="E16" s="42">
        <f t="shared" ca="1" si="7"/>
        <v>2</v>
      </c>
      <c r="F16" s="42">
        <f t="shared" ca="1" si="8"/>
        <v>23</v>
      </c>
      <c r="G16" s="42">
        <f t="shared" ca="1" si="9"/>
        <v>0</v>
      </c>
      <c r="H16" s="42" t="s">
        <v>73</v>
      </c>
      <c r="I16" s="48" t="str">
        <f ca="1">CONCATENATE(INDIRECT("template!I15"))</f>
        <v>this field is connected with cmd_type. when cmd_type == DMA_tensor
000: No special function
001: Enable transposition write (For Neuron transposition case, the dest_N= src_C, dest_C=src_N)
011: broadcast：only support C size&lt;=64 and lmem mask invalid
others: reserved</v>
      </c>
      <c r="J16" s="47" t="s">
        <v>95</v>
      </c>
    </row>
    <row r="17" spans="1:10" ht="31.2">
      <c r="A17" s="41" t="s">
        <v>87</v>
      </c>
      <c r="B17" s="42">
        <v>8</v>
      </c>
      <c r="C17" s="42">
        <f t="shared" ca="1" si="5"/>
        <v>95</v>
      </c>
      <c r="D17" s="42">
        <f t="shared" ca="1" si="6"/>
        <v>88</v>
      </c>
      <c r="E17" s="42">
        <f t="shared" ca="1" si="7"/>
        <v>2</v>
      </c>
      <c r="F17" s="42">
        <f t="shared" ca="1" si="8"/>
        <v>31</v>
      </c>
      <c r="G17" s="42">
        <f t="shared" ca="1" si="9"/>
        <v>24</v>
      </c>
      <c r="H17" s="42" t="s">
        <v>88</v>
      </c>
      <c r="I17" s="48" t="str">
        <f ca="1">CONCATENATE(INDIRECT("template!I16"))</f>
        <v>0: no fill constant
1: fill constant enable</v>
      </c>
      <c r="J17" s="47" t="s">
        <v>95</v>
      </c>
    </row>
    <row r="18" spans="1:10">
      <c r="A18" s="41" t="s">
        <v>116</v>
      </c>
      <c r="B18" s="42">
        <v>16</v>
      </c>
      <c r="C18" s="42">
        <f t="shared" ca="1" si="5"/>
        <v>111</v>
      </c>
      <c r="D18" s="42">
        <f t="shared" ca="1" si="6"/>
        <v>96</v>
      </c>
      <c r="E18" s="42">
        <f t="shared" ca="1" si="7"/>
        <v>3</v>
      </c>
      <c r="F18" s="42">
        <f t="shared" ca="1" si="8"/>
        <v>15</v>
      </c>
      <c r="G18" s="42">
        <f t="shared" ca="1" si="9"/>
        <v>0</v>
      </c>
      <c r="H18" s="42" t="s">
        <v>73</v>
      </c>
      <c r="I18" s="48" t="str">
        <f ca="1">INDIRECT("template!I26")</f>
        <v>unsigned number. Source blob C stride</v>
      </c>
      <c r="J18" s="47" t="s">
        <v>95</v>
      </c>
    </row>
    <row r="19" spans="1:10">
      <c r="A19" s="41" t="s">
        <v>118</v>
      </c>
      <c r="B19" s="42">
        <v>16</v>
      </c>
      <c r="C19" s="42">
        <f t="shared" ca="1" si="5"/>
        <v>127</v>
      </c>
      <c r="D19" s="42">
        <f t="shared" ca="1" si="6"/>
        <v>112</v>
      </c>
      <c r="E19" s="42">
        <f t="shared" ca="1" si="7"/>
        <v>3</v>
      </c>
      <c r="F19" s="42">
        <f t="shared" ca="1" si="8"/>
        <v>31</v>
      </c>
      <c r="G19" s="42">
        <f t="shared" ca="1" si="9"/>
        <v>16</v>
      </c>
      <c r="H19" s="42" t="s">
        <v>73</v>
      </c>
      <c r="I19" s="48" t="str">
        <f ca="1">INDIRECT("template!I27")</f>
        <v>unsigned number; Source blob H stride</v>
      </c>
      <c r="J19" s="47" t="s">
        <v>95</v>
      </c>
    </row>
    <row r="20" spans="1:10" ht="17.100000000000001" customHeight="1">
      <c r="A20" s="41" t="s">
        <v>120</v>
      </c>
      <c r="B20" s="42">
        <v>16</v>
      </c>
      <c r="C20" s="42">
        <f t="shared" ca="1" si="5"/>
        <v>143</v>
      </c>
      <c r="D20" s="42">
        <f t="shared" ca="1" si="6"/>
        <v>128</v>
      </c>
      <c r="E20" s="42">
        <f t="shared" ca="1" si="7"/>
        <v>4</v>
      </c>
      <c r="F20" s="42">
        <f t="shared" ca="1" si="8"/>
        <v>15</v>
      </c>
      <c r="G20" s="42">
        <f t="shared" ca="1" si="9"/>
        <v>0</v>
      </c>
      <c r="H20" s="42" t="s">
        <v>73</v>
      </c>
      <c r="I20" s="48" t="str">
        <f ca="1">INDIRECT("template!I28")</f>
        <v>unsigned number; Source blob W stride</v>
      </c>
      <c r="J20" s="47" t="s">
        <v>95</v>
      </c>
    </row>
    <row r="21" spans="1:10">
      <c r="A21" s="41" t="s">
        <v>122</v>
      </c>
      <c r="B21" s="42">
        <v>16</v>
      </c>
      <c r="C21" s="42">
        <f t="shared" ca="1" si="5"/>
        <v>159</v>
      </c>
      <c r="D21" s="42">
        <f t="shared" ca="1" si="6"/>
        <v>144</v>
      </c>
      <c r="E21" s="42">
        <f t="shared" ca="1" si="7"/>
        <v>4</v>
      </c>
      <c r="F21" s="42">
        <f t="shared" ca="1" si="8"/>
        <v>31</v>
      </c>
      <c r="G21" s="42">
        <f t="shared" ca="1" si="9"/>
        <v>16</v>
      </c>
      <c r="H21" s="42" t="s">
        <v>73</v>
      </c>
      <c r="I21" s="48" t="str">
        <f ca="1">INDIRECT("template!I29")</f>
        <v>unsigned number; desitination blob N stride</v>
      </c>
      <c r="J21" s="47" t="s">
        <v>95</v>
      </c>
    </row>
    <row r="22" spans="1:10">
      <c r="A22" s="41" t="s">
        <v>124</v>
      </c>
      <c r="B22" s="42">
        <v>16</v>
      </c>
      <c r="C22" s="42">
        <f t="shared" ca="1" si="5"/>
        <v>175</v>
      </c>
      <c r="D22" s="42">
        <f t="shared" ca="1" si="6"/>
        <v>160</v>
      </c>
      <c r="E22" s="42">
        <f t="shared" ca="1" si="7"/>
        <v>5</v>
      </c>
      <c r="F22" s="42">
        <f t="shared" ca="1" si="8"/>
        <v>15</v>
      </c>
      <c r="G22" s="42">
        <f t="shared" ca="1" si="9"/>
        <v>0</v>
      </c>
      <c r="H22" s="42" t="s">
        <v>73</v>
      </c>
      <c r="I22" s="48" t="str">
        <f ca="1">INDIRECT("template!I30")</f>
        <v>unsigned number.desitination blob C stride</v>
      </c>
      <c r="J22" s="50" t="s">
        <v>603</v>
      </c>
    </row>
    <row r="23" spans="1:10">
      <c r="A23" s="41" t="s">
        <v>126</v>
      </c>
      <c r="B23" s="42">
        <v>16</v>
      </c>
      <c r="C23" s="42">
        <f t="shared" ca="1" si="5"/>
        <v>191</v>
      </c>
      <c r="D23" s="42">
        <f t="shared" ca="1" si="6"/>
        <v>176</v>
      </c>
      <c r="E23" s="42">
        <f t="shared" ca="1" si="7"/>
        <v>5</v>
      </c>
      <c r="F23" s="42">
        <f t="shared" ca="1" si="8"/>
        <v>31</v>
      </c>
      <c r="G23" s="42">
        <f t="shared" ca="1" si="9"/>
        <v>16</v>
      </c>
      <c r="H23" s="42" t="s">
        <v>73</v>
      </c>
      <c r="I23" s="48" t="str">
        <f ca="1">INDIRECT("template!I31")</f>
        <v>unsigned number; desitination blob H stride</v>
      </c>
      <c r="J23" s="50" t="s">
        <v>603</v>
      </c>
    </row>
    <row r="24" spans="1:10">
      <c r="A24" s="41" t="s">
        <v>128</v>
      </c>
      <c r="B24" s="42">
        <v>16</v>
      </c>
      <c r="C24" s="42">
        <f t="shared" ca="1" si="5"/>
        <v>207</v>
      </c>
      <c r="D24" s="42">
        <f t="shared" ca="1" si="6"/>
        <v>192</v>
      </c>
      <c r="E24" s="42">
        <f t="shared" ca="1" si="7"/>
        <v>6</v>
      </c>
      <c r="F24" s="42">
        <f t="shared" ca="1" si="8"/>
        <v>15</v>
      </c>
      <c r="G24" s="42">
        <f t="shared" ca="1" si="9"/>
        <v>0</v>
      </c>
      <c r="H24" s="42" t="s">
        <v>73</v>
      </c>
      <c r="I24" s="48" t="str">
        <f ca="1">INDIRECT("template!I32")</f>
        <v>unsigned number; desitination blob W stride</v>
      </c>
      <c r="J24" s="50" t="s">
        <v>603</v>
      </c>
    </row>
    <row r="25" spans="1:10">
      <c r="A25" s="41" t="s">
        <v>130</v>
      </c>
      <c r="B25" s="42">
        <v>16</v>
      </c>
      <c r="C25" s="42">
        <f t="shared" ca="1" si="5"/>
        <v>223</v>
      </c>
      <c r="D25" s="42">
        <f t="shared" ca="1" si="6"/>
        <v>208</v>
      </c>
      <c r="E25" s="42">
        <f t="shared" ca="1" si="7"/>
        <v>6</v>
      </c>
      <c r="F25" s="42">
        <f t="shared" ca="1" si="8"/>
        <v>31</v>
      </c>
      <c r="G25" s="42">
        <f t="shared" ca="1" si="9"/>
        <v>16</v>
      </c>
      <c r="H25" s="42" t="s">
        <v>73</v>
      </c>
      <c r="I25" s="48" t="str">
        <f ca="1">INDIRECT("template!I33")</f>
        <v>Source Blob Number</v>
      </c>
      <c r="J25" s="50" t="s">
        <v>603</v>
      </c>
    </row>
    <row r="26" spans="1:10">
      <c r="A26" s="41" t="s">
        <v>132</v>
      </c>
      <c r="B26" s="42">
        <v>32</v>
      </c>
      <c r="C26" s="42">
        <f t="shared" ca="1" si="5"/>
        <v>255</v>
      </c>
      <c r="D26" s="42">
        <f t="shared" ca="1" si="6"/>
        <v>224</v>
      </c>
      <c r="E26" s="42">
        <f t="shared" ca="1" si="7"/>
        <v>7</v>
      </c>
      <c r="F26" s="42">
        <f t="shared" ca="1" si="8"/>
        <v>31</v>
      </c>
      <c r="G26" s="42">
        <f t="shared" ca="1" si="9"/>
        <v>0</v>
      </c>
      <c r="H26" s="42" t="s">
        <v>73</v>
      </c>
      <c r="I26" s="48" t="str">
        <f ca="1">INDIRECT("template!I34")</f>
        <v>Source blob C</v>
      </c>
      <c r="J26" s="52" t="s">
        <v>95</v>
      </c>
    </row>
    <row r="27" spans="1:10">
      <c r="A27" s="41" t="s">
        <v>594</v>
      </c>
      <c r="B27" s="42">
        <v>8</v>
      </c>
      <c r="C27" s="42">
        <f t="shared" ca="1" si="5"/>
        <v>263</v>
      </c>
      <c r="D27" s="42">
        <f t="shared" ca="1" si="6"/>
        <v>256</v>
      </c>
      <c r="E27" s="42">
        <f t="shared" ca="1" si="7"/>
        <v>8</v>
      </c>
      <c r="F27" s="42">
        <f t="shared" ca="1" si="8"/>
        <v>7</v>
      </c>
      <c r="G27" s="42">
        <f t="shared" ca="1" si="9"/>
        <v>0</v>
      </c>
      <c r="H27" s="42" t="s">
        <v>73</v>
      </c>
      <c r="I27" s="48" t="str">
        <f ca="1">INDIRECT("template!I35")</f>
        <v xml:space="preserve">Source blob H </v>
      </c>
      <c r="J27" s="52" t="s">
        <v>95</v>
      </c>
    </row>
    <row r="28" spans="1:10">
      <c r="A28" s="41" t="s">
        <v>87</v>
      </c>
      <c r="B28" s="42">
        <v>24</v>
      </c>
      <c r="C28" s="42">
        <f t="shared" ca="1" si="5"/>
        <v>287</v>
      </c>
      <c r="D28" s="42">
        <f t="shared" ca="1" si="6"/>
        <v>264</v>
      </c>
      <c r="E28" s="42">
        <f t="shared" ca="1" si="7"/>
        <v>8</v>
      </c>
      <c r="F28" s="42">
        <f t="shared" ca="1" si="8"/>
        <v>31</v>
      </c>
      <c r="G28" s="42">
        <f t="shared" ca="1" si="9"/>
        <v>8</v>
      </c>
      <c r="H28" s="42" t="s">
        <v>88</v>
      </c>
      <c r="I28" s="48" t="str">
        <f ca="1">INDIRECT("template!I36")</f>
        <v xml:space="preserve">Source blob W </v>
      </c>
      <c r="J28" s="51">
        <v>0</v>
      </c>
    </row>
    <row r="29" spans="1:10">
      <c r="A29" s="41" t="s">
        <v>135</v>
      </c>
      <c r="B29" s="42">
        <v>32</v>
      </c>
      <c r="C29" s="42">
        <f t="shared" ca="1" si="5"/>
        <v>319</v>
      </c>
      <c r="D29" s="42">
        <f t="shared" ca="1" si="6"/>
        <v>288</v>
      </c>
      <c r="E29" s="42">
        <f t="shared" ca="1" si="7"/>
        <v>9</v>
      </c>
      <c r="F29" s="42">
        <f t="shared" ca="1" si="8"/>
        <v>31</v>
      </c>
      <c r="G29" s="42">
        <f t="shared" ca="1" si="9"/>
        <v>0</v>
      </c>
      <c r="H29" s="42" t="s">
        <v>73</v>
      </c>
      <c r="I29" s="48" t="str">
        <f ca="1">INDIRECT("template!I37")</f>
        <v xml:space="preserve">Destination Blob Number </v>
      </c>
      <c r="J29" s="47" t="s">
        <v>95</v>
      </c>
    </row>
    <row r="30" spans="1:10">
      <c r="A30" s="41" t="s">
        <v>595</v>
      </c>
      <c r="B30" s="42">
        <v>8</v>
      </c>
      <c r="C30" s="42">
        <f t="shared" ref="C30:C36" ca="1" si="10">D30+B30-1</f>
        <v>327</v>
      </c>
      <c r="D30" s="42">
        <f t="shared" ca="1" si="6"/>
        <v>320</v>
      </c>
      <c r="E30" s="42">
        <f t="shared" ref="E30:E36" ca="1" si="11">ROUNDDOWN(C30/32,0)</f>
        <v>10</v>
      </c>
      <c r="F30" s="42">
        <f t="shared" ref="F30:F36" ca="1" si="12">C30-E30*32</f>
        <v>7</v>
      </c>
      <c r="G30" s="42">
        <f t="shared" ref="G30:G36" ca="1" si="13">D30-E30*32</f>
        <v>0</v>
      </c>
      <c r="H30" s="42" t="s">
        <v>73</v>
      </c>
      <c r="I30" s="48" t="str">
        <f ca="1">INDIRECT("template!I38")</f>
        <v xml:space="preserve">Destination blob C </v>
      </c>
      <c r="J30" s="47" t="s">
        <v>95</v>
      </c>
    </row>
    <row r="31" spans="1:10">
      <c r="A31" s="41" t="s">
        <v>87</v>
      </c>
      <c r="B31" s="42">
        <v>24</v>
      </c>
      <c r="C31" s="42">
        <f t="shared" ca="1" si="10"/>
        <v>351</v>
      </c>
      <c r="D31" s="42">
        <f t="shared" ca="1" si="6"/>
        <v>328</v>
      </c>
      <c r="E31" s="42">
        <f t="shared" ca="1" si="11"/>
        <v>10</v>
      </c>
      <c r="F31" s="42">
        <f t="shared" ca="1" si="12"/>
        <v>31</v>
      </c>
      <c r="G31" s="42">
        <f t="shared" ca="1" si="13"/>
        <v>8</v>
      </c>
      <c r="H31" s="42" t="s">
        <v>88</v>
      </c>
      <c r="I31" s="48" t="str">
        <f ca="1">INDIRECT("template!I39")</f>
        <v>Destination blob H</v>
      </c>
      <c r="J31" s="51">
        <v>0</v>
      </c>
    </row>
    <row r="32" spans="1:10">
      <c r="A32" s="43" t="s">
        <v>600</v>
      </c>
      <c r="B32" s="42">
        <v>32</v>
      </c>
      <c r="C32" s="42">
        <f t="shared" ca="1" si="10"/>
        <v>383</v>
      </c>
      <c r="D32" s="42">
        <f t="shared" ca="1" si="6"/>
        <v>352</v>
      </c>
      <c r="E32" s="42">
        <f t="shared" ca="1" si="11"/>
        <v>11</v>
      </c>
      <c r="F32" s="42">
        <f t="shared" ca="1" si="12"/>
        <v>31</v>
      </c>
      <c r="G32" s="42">
        <f t="shared" ca="1" si="13"/>
        <v>0</v>
      </c>
      <c r="H32" s="42" t="s">
        <v>73</v>
      </c>
      <c r="I32" s="48" t="str">
        <f ca="1">CONCATENATE(INDIRECT("DMA_masked_select!I41"))</f>
        <v>source blob start address[31:0]</v>
      </c>
      <c r="J32" s="47" t="s">
        <v>95</v>
      </c>
    </row>
    <row r="33" spans="1:10" ht="280.8">
      <c r="A33" s="43" t="s">
        <v>601</v>
      </c>
      <c r="B33" s="42">
        <v>32</v>
      </c>
      <c r="C33" s="42">
        <f t="shared" ca="1" si="10"/>
        <v>415</v>
      </c>
      <c r="D33" s="42">
        <f t="shared" ca="1" si="6"/>
        <v>384</v>
      </c>
      <c r="E33" s="42">
        <f t="shared" ca="1" si="11"/>
        <v>12</v>
      </c>
      <c r="F33" s="42">
        <f t="shared" ca="1" si="12"/>
        <v>31</v>
      </c>
      <c r="G33" s="42">
        <f t="shared" ca="1" si="13"/>
        <v>0</v>
      </c>
      <c r="H33" s="42" t="s">
        <v>73</v>
      </c>
      <c r="I33" s="48" t="str">
        <f ca="1">CONCATENATE(INDIRECT("DMA_masked_select!I42"))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33" s="47" t="s">
        <v>95</v>
      </c>
    </row>
    <row r="34" spans="1:10">
      <c r="A34" s="41" t="s">
        <v>87</v>
      </c>
      <c r="B34" s="42">
        <v>32</v>
      </c>
      <c r="C34" s="42">
        <f t="shared" ca="1" si="10"/>
        <v>447</v>
      </c>
      <c r="D34" s="42">
        <f t="shared" ca="1" si="6"/>
        <v>416</v>
      </c>
      <c r="E34" s="42">
        <f t="shared" ca="1" si="11"/>
        <v>13</v>
      </c>
      <c r="F34" s="42">
        <f t="shared" ca="1" si="12"/>
        <v>31</v>
      </c>
      <c r="G34" s="42">
        <f t="shared" ca="1" si="13"/>
        <v>0</v>
      </c>
      <c r="H34" s="42" t="s">
        <v>88</v>
      </c>
      <c r="I34" s="48" t="s">
        <v>87</v>
      </c>
      <c r="J34" s="51">
        <v>0</v>
      </c>
    </row>
    <row r="35" spans="1:10">
      <c r="A35" s="41" t="s">
        <v>87</v>
      </c>
      <c r="B35" s="42">
        <v>32</v>
      </c>
      <c r="C35" s="42">
        <f t="shared" ca="1" si="10"/>
        <v>479</v>
      </c>
      <c r="D35" s="42">
        <f t="shared" ca="1" si="6"/>
        <v>448</v>
      </c>
      <c r="E35" s="42">
        <f t="shared" ca="1" si="11"/>
        <v>14</v>
      </c>
      <c r="F35" s="42">
        <f t="shared" ca="1" si="12"/>
        <v>31</v>
      </c>
      <c r="G35" s="42">
        <f t="shared" ca="1" si="13"/>
        <v>0</v>
      </c>
      <c r="H35" s="42" t="s">
        <v>88</v>
      </c>
      <c r="I35" s="48" t="s">
        <v>87</v>
      </c>
      <c r="J35" s="51">
        <v>0</v>
      </c>
    </row>
    <row r="36" spans="1:10">
      <c r="A36" s="41" t="s">
        <v>87</v>
      </c>
      <c r="B36" s="42">
        <v>32</v>
      </c>
      <c r="C36" s="42">
        <f t="shared" ca="1" si="10"/>
        <v>511</v>
      </c>
      <c r="D36" s="42">
        <f t="shared" ca="1" si="6"/>
        <v>480</v>
      </c>
      <c r="E36" s="42">
        <f t="shared" ca="1" si="11"/>
        <v>15</v>
      </c>
      <c r="F36" s="42">
        <f t="shared" ca="1" si="12"/>
        <v>31</v>
      </c>
      <c r="G36" s="42">
        <f t="shared" ca="1" si="13"/>
        <v>0</v>
      </c>
      <c r="H36" s="42" t="s">
        <v>88</v>
      </c>
      <c r="I36" s="48" t="s">
        <v>87</v>
      </c>
      <c r="J36" s="51">
        <v>0</v>
      </c>
    </row>
    <row r="37" spans="1:10" s="35" customFormat="1">
      <c r="A37" s="53" t="s">
        <v>571</v>
      </c>
      <c r="H37" s="36"/>
      <c r="I37" s="37"/>
      <c r="J37" s="36"/>
    </row>
    <row r="38" spans="1:10" s="35" customFormat="1">
      <c r="A38" s="53" t="s">
        <v>144</v>
      </c>
      <c r="H38" s="36"/>
      <c r="I38" s="37"/>
      <c r="J38" s="36"/>
    </row>
    <row r="39" spans="1:10" s="35" customFormat="1">
      <c r="A39" s="53" t="s">
        <v>145</v>
      </c>
      <c r="H39" s="36"/>
      <c r="I39" s="37"/>
      <c r="J39" s="36"/>
    </row>
    <row r="40" spans="1:10">
      <c r="A40" s="53" t="s">
        <v>146</v>
      </c>
    </row>
    <row r="41" spans="1:10">
      <c r="A41" s="53" t="s">
        <v>147</v>
      </c>
    </row>
  </sheetData>
  <phoneticPr fontId="32" type="noConversion"/>
  <pageMargins left="0.25" right="0.25" top="0.75" bottom="0.75" header="0.3" footer="0.3"/>
  <pageSetup paperSize="9" scale="5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4"/>
  <sheetViews>
    <sheetView zoomScale="85" zoomScaleNormal="85" workbookViewId="0">
      <pane ySplit="1" topLeftCell="A14" activePane="bottomLeft" state="frozen"/>
      <selection pane="bottomLeft" activeCell="F23" sqref="F23"/>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72.44140625" style="37" customWidth="1"/>
    <col min="10" max="10" width="38" style="36" customWidth="1"/>
    <col min="11" max="16384" width="15.44140625" style="36"/>
  </cols>
  <sheetData>
    <row r="1" spans="1:10">
      <c r="A1" s="38" t="s">
        <v>66</v>
      </c>
      <c r="B1" s="39" t="s">
        <v>67</v>
      </c>
      <c r="C1" s="39" t="s">
        <v>68</v>
      </c>
      <c r="D1" s="39" t="s">
        <v>69</v>
      </c>
      <c r="E1" s="39" t="s">
        <v>70</v>
      </c>
      <c r="F1" s="39" t="s">
        <v>71</v>
      </c>
      <c r="G1" s="39" t="s">
        <v>72</v>
      </c>
      <c r="H1" s="40" t="s">
        <v>73</v>
      </c>
      <c r="I1" s="45" t="s">
        <v>74</v>
      </c>
      <c r="J1" s="148" t="s">
        <v>555</v>
      </c>
    </row>
    <row r="2" spans="1:10" ht="46.8">
      <c r="A2" s="41" t="s">
        <v>75</v>
      </c>
      <c r="B2" s="60">
        <v>1</v>
      </c>
      <c r="C2" s="60">
        <f>D2+B2-1</f>
        <v>0</v>
      </c>
      <c r="D2" s="60">
        <v>0</v>
      </c>
      <c r="E2" s="60">
        <f>ROUNDDOWN(C2/32,0)</f>
        <v>0</v>
      </c>
      <c r="F2" s="60">
        <f>C2-E2*32</f>
        <v>0</v>
      </c>
      <c r="G2" s="60">
        <f>D2-E2*32</f>
        <v>0</v>
      </c>
      <c r="H2" s="60" t="s">
        <v>73</v>
      </c>
      <c r="I2" s="62" t="str">
        <f ca="1">CONCATENATE(INDIRECT("template!I2"))</f>
        <v>Interrupt Enable;if this bit is set, CPU COULD get interrupt when the instruction is finished 
0: disable interrupt
1: enable interrupt</v>
      </c>
      <c r="J2" s="118" t="s">
        <v>95</v>
      </c>
    </row>
    <row r="3" spans="1:10" ht="46.8">
      <c r="A3" s="41" t="s">
        <v>77</v>
      </c>
      <c r="B3" s="60">
        <v>1</v>
      </c>
      <c r="C3" s="60">
        <f t="shared" ref="C3:C49" ca="1" si="0">D3+B3-1</f>
        <v>1</v>
      </c>
      <c r="D3" s="60">
        <f t="shared" ref="D3:D49" ca="1" si="1">INDIRECT(ADDRESS(ROW()-1,COLUMN()-1))+1</f>
        <v>1</v>
      </c>
      <c r="E3" s="60">
        <f t="shared" ref="E3:E49" ca="1" si="2">ROUNDDOWN(C3/32,0)</f>
        <v>0</v>
      </c>
      <c r="F3" s="60">
        <f t="shared" ref="F3:F49" ca="1" si="3">C3-E3*32</f>
        <v>1</v>
      </c>
      <c r="G3" s="60">
        <f t="shared" ref="G3:G49" ca="1" si="4">D3-E3*32</f>
        <v>1</v>
      </c>
      <c r="H3" s="60" t="s">
        <v>73</v>
      </c>
      <c r="I3" s="126" t="s">
        <v>1363</v>
      </c>
      <c r="J3" s="118" t="s">
        <v>95</v>
      </c>
    </row>
    <row r="4" spans="1:10" ht="46.8">
      <c r="A4" s="41" t="s">
        <v>79</v>
      </c>
      <c r="B4" s="60">
        <v>1</v>
      </c>
      <c r="C4" s="60">
        <f t="shared" ca="1" si="0"/>
        <v>2</v>
      </c>
      <c r="D4" s="60">
        <f t="shared" ca="1" si="1"/>
        <v>2</v>
      </c>
      <c r="E4" s="60">
        <f t="shared" ca="1" si="2"/>
        <v>0</v>
      </c>
      <c r="F4" s="60">
        <f t="shared" ca="1" si="3"/>
        <v>2</v>
      </c>
      <c r="G4" s="60">
        <f t="shared" ca="1" si="4"/>
        <v>2</v>
      </c>
      <c r="H4" s="60" t="s">
        <v>73</v>
      </c>
      <c r="I4" s="62" t="str">
        <f ca="1">CONCATENATE(INDIRECT("template!I4"))</f>
        <v>NCHW copy bit
0: use separate src and dst NCHW value setting
1: reuse src NCHW value for dst NCHW value</v>
      </c>
      <c r="J4" s="149">
        <v>0</v>
      </c>
    </row>
    <row r="5" spans="1:10" ht="31.2">
      <c r="A5" s="41" t="s">
        <v>559</v>
      </c>
      <c r="B5" s="60">
        <v>1</v>
      </c>
      <c r="C5" s="60">
        <f t="shared" ca="1" si="0"/>
        <v>3</v>
      </c>
      <c r="D5" s="60">
        <f t="shared" ca="1" si="1"/>
        <v>3</v>
      </c>
      <c r="E5" s="60">
        <f t="shared" ca="1" si="2"/>
        <v>0</v>
      </c>
      <c r="F5" s="60">
        <f t="shared" ca="1" si="3"/>
        <v>3</v>
      </c>
      <c r="G5" s="60">
        <f t="shared" ca="1" si="4"/>
        <v>3</v>
      </c>
      <c r="H5" s="60" t="s">
        <v>73</v>
      </c>
      <c r="I5" s="62" t="str">
        <f ca="1">CONCATENATE(INDIRECT("template!I5"))</f>
        <v>0:768bit full cmd;
1:128/256/384/512 short cmd</v>
      </c>
      <c r="J5" s="118" t="s">
        <v>95</v>
      </c>
    </row>
    <row r="6" spans="1:10" ht="30.9" customHeight="1">
      <c r="A6" s="41" t="s">
        <v>83</v>
      </c>
      <c r="B6" s="60">
        <v>1</v>
      </c>
      <c r="C6" s="60">
        <f t="shared" ca="1" si="0"/>
        <v>4</v>
      </c>
      <c r="D6" s="60">
        <f t="shared" ca="1" si="1"/>
        <v>4</v>
      </c>
      <c r="E6" s="60">
        <f t="shared" ca="1" si="2"/>
        <v>0</v>
      </c>
      <c r="F6" s="60">
        <f t="shared" ca="1" si="3"/>
        <v>4</v>
      </c>
      <c r="G6" s="60">
        <f t="shared" ca="1" si="4"/>
        <v>4</v>
      </c>
      <c r="H6" s="60" t="s">
        <v>73</v>
      </c>
      <c r="I6" s="62" t="str">
        <f ca="1">CONCATENATE(INDIRECT("template!I6"))</f>
        <v>Read cache enable
0: Read not use cache
1: Read use cache</v>
      </c>
      <c r="J6" s="118" t="s">
        <v>95</v>
      </c>
    </row>
    <row r="7" spans="1:10" ht="53.1" customHeight="1">
      <c r="A7" s="41" t="s">
        <v>85</v>
      </c>
      <c r="B7" s="60">
        <v>1</v>
      </c>
      <c r="C7" s="60">
        <f t="shared" ca="1" si="0"/>
        <v>5</v>
      </c>
      <c r="D7" s="60">
        <f t="shared" ca="1" si="1"/>
        <v>5</v>
      </c>
      <c r="E7" s="60">
        <f t="shared" ca="1" si="2"/>
        <v>0</v>
      </c>
      <c r="F7" s="60">
        <f t="shared" ca="1" si="3"/>
        <v>5</v>
      </c>
      <c r="G7" s="60">
        <f t="shared" ca="1" si="4"/>
        <v>5</v>
      </c>
      <c r="H7" s="60" t="s">
        <v>73</v>
      </c>
      <c r="I7" s="62" t="str">
        <f ca="1">CONCATENATE(INDIRECT("template!I7"))</f>
        <v>Flush cache
0: Not Flush cache
1: Flush cache</v>
      </c>
      <c r="J7" s="118" t="s">
        <v>95</v>
      </c>
    </row>
    <row r="8" spans="1:10">
      <c r="A8" s="41" t="s">
        <v>87</v>
      </c>
      <c r="B8" s="60">
        <v>2</v>
      </c>
      <c r="C8" s="60">
        <f t="shared" ca="1" si="0"/>
        <v>7</v>
      </c>
      <c r="D8" s="60">
        <f t="shared" ca="1" si="1"/>
        <v>6</v>
      </c>
      <c r="E8" s="60">
        <f t="shared" ca="1" si="2"/>
        <v>0</v>
      </c>
      <c r="F8" s="60">
        <f t="shared" ca="1" si="3"/>
        <v>7</v>
      </c>
      <c r="G8" s="60">
        <f t="shared" ca="1" si="4"/>
        <v>6</v>
      </c>
      <c r="H8" s="60" t="s">
        <v>88</v>
      </c>
      <c r="I8" s="62" t="str">
        <f ca="1">CONCATENATE(INDIRECT("template!I8"))</f>
        <v>reserved</v>
      </c>
      <c r="J8" s="149">
        <v>0</v>
      </c>
    </row>
    <row r="9" spans="1:10">
      <c r="A9" s="41" t="s">
        <v>1234</v>
      </c>
      <c r="B9" s="60">
        <v>1</v>
      </c>
      <c r="C9" s="60">
        <f t="shared" si="0"/>
        <v>8</v>
      </c>
      <c r="D9" s="60">
        <v>8</v>
      </c>
      <c r="E9" s="60">
        <v>0</v>
      </c>
      <c r="F9" s="60">
        <v>8</v>
      </c>
      <c r="G9" s="60">
        <v>8</v>
      </c>
      <c r="H9" s="60" t="s">
        <v>1235</v>
      </c>
      <c r="I9" s="62"/>
      <c r="J9" s="118" t="s">
        <v>95</v>
      </c>
    </row>
    <row r="10" spans="1:10" customFormat="1">
      <c r="A10" s="41" t="s">
        <v>1236</v>
      </c>
      <c r="B10" s="60">
        <v>1</v>
      </c>
      <c r="C10" s="60">
        <f t="shared" si="0"/>
        <v>9</v>
      </c>
      <c r="D10" s="60">
        <v>9</v>
      </c>
      <c r="E10" s="60">
        <v>0</v>
      </c>
      <c r="F10" s="60">
        <v>9</v>
      </c>
      <c r="G10" s="60">
        <v>9</v>
      </c>
      <c r="H10" s="60" t="s">
        <v>1235</v>
      </c>
      <c r="I10" s="62"/>
      <c r="J10" s="118" t="s">
        <v>95</v>
      </c>
    </row>
    <row r="11" spans="1:10">
      <c r="A11" s="41" t="s">
        <v>1237</v>
      </c>
      <c r="B11" s="60">
        <v>1</v>
      </c>
      <c r="C11" s="60">
        <f t="shared" si="0"/>
        <v>10</v>
      </c>
      <c r="D11" s="60">
        <v>10</v>
      </c>
      <c r="E11" s="60">
        <v>0</v>
      </c>
      <c r="F11" s="60">
        <v>10</v>
      </c>
      <c r="G11" s="60">
        <v>10</v>
      </c>
      <c r="H11" s="60" t="s">
        <v>1235</v>
      </c>
      <c r="I11" s="62"/>
      <c r="J11" s="118" t="s">
        <v>95</v>
      </c>
    </row>
    <row r="12" spans="1:10">
      <c r="A12" s="41" t="s">
        <v>1240</v>
      </c>
      <c r="B12" s="60">
        <v>1</v>
      </c>
      <c r="C12" s="60">
        <v>11</v>
      </c>
      <c r="D12" s="60">
        <v>11</v>
      </c>
      <c r="E12" s="60">
        <v>0</v>
      </c>
      <c r="F12" s="60">
        <v>11</v>
      </c>
      <c r="G12" s="60">
        <v>11</v>
      </c>
      <c r="H12" s="60" t="s">
        <v>1241</v>
      </c>
      <c r="I12" s="62"/>
      <c r="J12" s="118" t="s">
        <v>95</v>
      </c>
    </row>
    <row r="13" spans="1:10">
      <c r="A13" s="41" t="s">
        <v>89</v>
      </c>
      <c r="B13" s="60">
        <v>20</v>
      </c>
      <c r="C13" s="60">
        <f t="shared" ca="1" si="0"/>
        <v>31</v>
      </c>
      <c r="D13" s="60">
        <f t="shared" ca="1" si="1"/>
        <v>12</v>
      </c>
      <c r="E13" s="60">
        <f t="shared" ca="1" si="2"/>
        <v>0</v>
      </c>
      <c r="F13" s="60">
        <f t="shared" ca="1" si="3"/>
        <v>31</v>
      </c>
      <c r="G13" s="60">
        <f t="shared" ca="1" si="4"/>
        <v>12</v>
      </c>
      <c r="H13" s="60" t="s">
        <v>88</v>
      </c>
      <c r="I13" s="62" t="str">
        <f ca="1">CONCATENATE(INDIRECT("template!I9"))</f>
        <v/>
      </c>
      <c r="J13" s="149">
        <v>0</v>
      </c>
    </row>
    <row r="14" spans="1:10" ht="93.6">
      <c r="A14" s="41" t="s">
        <v>90</v>
      </c>
      <c r="B14" s="60">
        <v>5</v>
      </c>
      <c r="C14" s="60">
        <f t="shared" ca="1" si="0"/>
        <v>36</v>
      </c>
      <c r="D14" s="60">
        <f t="shared" ca="1" si="1"/>
        <v>32</v>
      </c>
      <c r="E14" s="60">
        <f t="shared" ca="1" si="2"/>
        <v>1</v>
      </c>
      <c r="F14" s="60">
        <f t="shared" ca="1" si="3"/>
        <v>4</v>
      </c>
      <c r="G14" s="60">
        <f t="shared" ref="G14:G23" ca="1" si="5">D14-E14*32</f>
        <v>0</v>
      </c>
      <c r="H14" s="60" t="s">
        <v>73</v>
      </c>
      <c r="I14" s="62" t="str">
        <f ca="1">CONCATENATE(INDIRECT("template!I14"))</f>
        <v>0x0:GDMA_tensor                     0x1:GDMA_matrix
0x2:GDMA_masked_select       0x3:GDMA_general
                                                   0x5:GDMA_nonzero
0x6:GDMA_sys                           0x7:GDMA_gather
0x8:GDMA_scatter                    0x9:GDMA_reverse
0xc:GDMA_lossy_compress      0xd:GDMA_lossy_decompress</v>
      </c>
      <c r="J14" s="118" t="s">
        <v>95</v>
      </c>
    </row>
    <row r="15" spans="1:10" ht="46.8">
      <c r="A15" s="41" t="s">
        <v>1279</v>
      </c>
      <c r="B15" s="60">
        <v>3</v>
      </c>
      <c r="C15" s="60">
        <f t="shared" ca="1" si="0"/>
        <v>39</v>
      </c>
      <c r="D15" s="60">
        <f t="shared" ca="1" si="1"/>
        <v>37</v>
      </c>
      <c r="E15" s="60">
        <f t="shared" ca="1" si="2"/>
        <v>1</v>
      </c>
      <c r="F15" s="60">
        <f t="shared" ca="1" si="3"/>
        <v>7</v>
      </c>
      <c r="G15" s="60">
        <f t="shared" ca="1" si="5"/>
        <v>5</v>
      </c>
      <c r="H15" s="60" t="s">
        <v>73</v>
      </c>
      <c r="I15" s="62" t="s">
        <v>1278</v>
      </c>
      <c r="J15" s="118" t="s">
        <v>95</v>
      </c>
    </row>
    <row r="16" spans="1:10" ht="31.2">
      <c r="A16" s="41" t="s">
        <v>93</v>
      </c>
      <c r="B16" s="60">
        <v>1</v>
      </c>
      <c r="C16" s="60">
        <f t="shared" ref="C16:C23" ca="1" si="6">D16+B16-1</f>
        <v>40</v>
      </c>
      <c r="D16" s="60">
        <f t="shared" ca="1" si="1"/>
        <v>40</v>
      </c>
      <c r="E16" s="60">
        <f t="shared" ref="E16:E23" ca="1" si="7">ROUNDDOWN(C16/32,0)</f>
        <v>1</v>
      </c>
      <c r="F16" s="60">
        <f t="shared" ca="1" si="3"/>
        <v>8</v>
      </c>
      <c r="G16" s="60">
        <f t="shared" ca="1" si="5"/>
        <v>8</v>
      </c>
      <c r="H16" s="60" t="s">
        <v>73</v>
      </c>
      <c r="I16" s="62" t="s">
        <v>94</v>
      </c>
      <c r="J16" s="118" t="s">
        <v>95</v>
      </c>
    </row>
    <row r="17" spans="1:10" ht="156">
      <c r="A17" s="41" t="s">
        <v>96</v>
      </c>
      <c r="B17" s="60">
        <v>4</v>
      </c>
      <c r="C17" s="60">
        <f t="shared" ca="1" si="6"/>
        <v>44</v>
      </c>
      <c r="D17" s="60">
        <f t="shared" ca="1" si="1"/>
        <v>41</v>
      </c>
      <c r="E17" s="60">
        <f t="shared" ca="1" si="7"/>
        <v>1</v>
      </c>
      <c r="F17" s="60">
        <f t="shared" ca="1" si="3"/>
        <v>12</v>
      </c>
      <c r="G17" s="60">
        <f t="shared" ca="1" si="5"/>
        <v>9</v>
      </c>
      <c r="H17" s="60" t="s">
        <v>73</v>
      </c>
      <c r="I17" s="62" t="s">
        <v>1336</v>
      </c>
      <c r="J17" s="118" t="s">
        <v>95</v>
      </c>
    </row>
    <row r="18" spans="1:10">
      <c r="A18" s="41" t="s">
        <v>87</v>
      </c>
      <c r="B18" s="60">
        <v>19</v>
      </c>
      <c r="C18" s="60">
        <f t="shared" ca="1" si="6"/>
        <v>63</v>
      </c>
      <c r="D18" s="60">
        <f t="shared" ca="1" si="1"/>
        <v>45</v>
      </c>
      <c r="E18" s="60">
        <f t="shared" ca="1" si="7"/>
        <v>1</v>
      </c>
      <c r="F18" s="60">
        <f t="shared" ca="1" si="3"/>
        <v>31</v>
      </c>
      <c r="G18" s="60">
        <f t="shared" ca="1" si="5"/>
        <v>13</v>
      </c>
      <c r="H18" s="60" t="s">
        <v>88</v>
      </c>
      <c r="I18" s="62" t="str">
        <f ca="1">CONCATENATE(INDIRECT("template!I18"))</f>
        <v>reserved</v>
      </c>
      <c r="J18" s="149">
        <v>0</v>
      </c>
    </row>
    <row r="19" spans="1:10" ht="29.1" customHeight="1">
      <c r="A19" s="41" t="s">
        <v>97</v>
      </c>
      <c r="B19" s="60">
        <v>21</v>
      </c>
      <c r="C19" s="60">
        <f t="shared" ca="1" si="6"/>
        <v>84</v>
      </c>
      <c r="D19" s="60">
        <f t="shared" ca="1" si="1"/>
        <v>64</v>
      </c>
      <c r="E19" s="60">
        <f t="shared" ca="1" si="7"/>
        <v>2</v>
      </c>
      <c r="F19" s="60">
        <f t="shared" ca="1" si="3"/>
        <v>20</v>
      </c>
      <c r="G19" s="60">
        <f t="shared" ca="1" si="5"/>
        <v>0</v>
      </c>
      <c r="H19" s="60" t="s">
        <v>73</v>
      </c>
      <c r="I19" s="62" t="s">
        <v>1334</v>
      </c>
      <c r="J19" s="118" t="s">
        <v>95</v>
      </c>
    </row>
    <row r="20" spans="1:10">
      <c r="A20" s="41" t="s">
        <v>87</v>
      </c>
      <c r="B20" s="60">
        <v>2</v>
      </c>
      <c r="C20" s="60">
        <v>86</v>
      </c>
      <c r="D20" s="60">
        <v>85</v>
      </c>
      <c r="E20" s="60">
        <f t="shared" si="7"/>
        <v>2</v>
      </c>
      <c r="F20" s="60">
        <v>22</v>
      </c>
      <c r="G20" s="60">
        <f t="shared" si="5"/>
        <v>21</v>
      </c>
      <c r="H20" s="60" t="s">
        <v>988</v>
      </c>
      <c r="I20" s="62" t="s">
        <v>87</v>
      </c>
      <c r="J20" s="148"/>
    </row>
    <row r="21" spans="1:10">
      <c r="A21" s="41" t="s">
        <v>979</v>
      </c>
      <c r="B21" s="60">
        <v>1</v>
      </c>
      <c r="C21" s="60">
        <v>87</v>
      </c>
      <c r="D21" s="60">
        <v>87</v>
      </c>
      <c r="E21" s="60">
        <v>2</v>
      </c>
      <c r="F21" s="60">
        <v>23</v>
      </c>
      <c r="G21" s="60">
        <v>23</v>
      </c>
      <c r="H21" s="60" t="s">
        <v>989</v>
      </c>
      <c r="I21" s="62" t="s">
        <v>990</v>
      </c>
      <c r="J21" s="148"/>
    </row>
    <row r="22" spans="1:10">
      <c r="A22" s="41" t="s">
        <v>87</v>
      </c>
      <c r="B22" s="60">
        <v>8</v>
      </c>
      <c r="C22" s="60">
        <f t="shared" ref="C22" ca="1" si="8">D22+B22-1</f>
        <v>95</v>
      </c>
      <c r="D22" s="60">
        <f t="shared" ref="D22" ca="1" si="9">INDIRECT(ADDRESS(ROW()-1,COLUMN()-1))+1</f>
        <v>88</v>
      </c>
      <c r="E22" s="60">
        <f t="shared" ca="1" si="7"/>
        <v>2</v>
      </c>
      <c r="F22" s="60">
        <v>31</v>
      </c>
      <c r="G22" s="60">
        <f t="shared" ca="1" si="5"/>
        <v>24</v>
      </c>
      <c r="H22" s="60" t="s">
        <v>88</v>
      </c>
      <c r="I22" s="62" t="s">
        <v>87</v>
      </c>
      <c r="J22" s="148"/>
    </row>
    <row r="23" spans="1:10" ht="32.4">
      <c r="A23" s="41" t="s">
        <v>98</v>
      </c>
      <c r="B23" s="60">
        <v>32</v>
      </c>
      <c r="C23" s="60">
        <f t="shared" ca="1" si="6"/>
        <v>127</v>
      </c>
      <c r="D23" s="60">
        <f t="shared" ca="1" si="1"/>
        <v>96</v>
      </c>
      <c r="E23" s="60">
        <f t="shared" ca="1" si="7"/>
        <v>3</v>
      </c>
      <c r="F23" s="60">
        <f t="shared" ca="1" si="3"/>
        <v>31</v>
      </c>
      <c r="G23" s="60">
        <f t="shared" ca="1" si="5"/>
        <v>0</v>
      </c>
      <c r="H23" s="60" t="s">
        <v>73</v>
      </c>
      <c r="I23" s="62" t="str">
        <f ca="1">CONCATENATE(INDIRECT("template!I24"))</f>
        <v>when cmd_special_function==fill constant, this field means constant value</v>
      </c>
      <c r="J23" s="150" t="s">
        <v>562</v>
      </c>
    </row>
    <row r="24" spans="1:10">
      <c r="A24" s="41" t="s">
        <v>100</v>
      </c>
      <c r="B24" s="60">
        <v>32</v>
      </c>
      <c r="C24" s="60">
        <f t="shared" ca="1" si="0"/>
        <v>159</v>
      </c>
      <c r="D24" s="60">
        <f t="shared" ca="1" si="1"/>
        <v>128</v>
      </c>
      <c r="E24" s="60">
        <f t="shared" ca="1" si="2"/>
        <v>4</v>
      </c>
      <c r="F24" s="60">
        <f t="shared" ca="1" si="3"/>
        <v>31</v>
      </c>
      <c r="G24" s="60">
        <f t="shared" ca="1" si="4"/>
        <v>0</v>
      </c>
      <c r="H24" s="60" t="s">
        <v>73</v>
      </c>
      <c r="I24" s="62" t="str">
        <f ca="1">CONCATENATE(INDIRECT("template!I25"))</f>
        <v>unsigned number; Source blob N stride</v>
      </c>
      <c r="J24" s="157" t="s">
        <v>574</v>
      </c>
    </row>
    <row r="25" spans="1:10" ht="46.8">
      <c r="A25" s="41" t="s">
        <v>604</v>
      </c>
      <c r="B25" s="60">
        <v>32</v>
      </c>
      <c r="C25" s="60">
        <f t="shared" ca="1" si="0"/>
        <v>191</v>
      </c>
      <c r="D25" s="60">
        <f t="shared" ca="1" si="1"/>
        <v>160</v>
      </c>
      <c r="E25" s="60">
        <f t="shared" ca="1" si="2"/>
        <v>5</v>
      </c>
      <c r="F25" s="60">
        <f t="shared" ca="1" si="3"/>
        <v>31</v>
      </c>
      <c r="G25" s="60">
        <f t="shared" ca="1" si="4"/>
        <v>0</v>
      </c>
      <c r="H25" s="60" t="s">
        <v>73</v>
      </c>
      <c r="I25" s="126" t="s">
        <v>1280</v>
      </c>
      <c r="J25" s="118" t="s">
        <v>95</v>
      </c>
    </row>
    <row r="26" spans="1:10">
      <c r="A26" s="41" t="s">
        <v>104</v>
      </c>
      <c r="B26" s="60">
        <v>32</v>
      </c>
      <c r="C26" s="60">
        <f t="shared" ca="1" si="0"/>
        <v>223</v>
      </c>
      <c r="D26" s="60">
        <f t="shared" ca="1" si="1"/>
        <v>192</v>
      </c>
      <c r="E26" s="60">
        <f t="shared" ca="1" si="2"/>
        <v>6</v>
      </c>
      <c r="F26" s="60">
        <f t="shared" ca="1" si="3"/>
        <v>31</v>
      </c>
      <c r="G26" s="60">
        <f t="shared" ca="1" si="4"/>
        <v>0</v>
      </c>
      <c r="H26" s="60" t="s">
        <v>73</v>
      </c>
      <c r="I26" s="62" t="str">
        <f ca="1">CONCATENATE(INDIRECT("template!I27"))</f>
        <v>unsigned number; Source blob H stride</v>
      </c>
      <c r="J26" s="157" t="s">
        <v>574</v>
      </c>
    </row>
    <row r="27" spans="1:10">
      <c r="A27" s="41" t="s">
        <v>106</v>
      </c>
      <c r="B27" s="60">
        <v>32</v>
      </c>
      <c r="C27" s="60">
        <f t="shared" ca="1" si="0"/>
        <v>255</v>
      </c>
      <c r="D27" s="60">
        <f t="shared" ca="1" si="1"/>
        <v>224</v>
      </c>
      <c r="E27" s="60">
        <f t="shared" ca="1" si="2"/>
        <v>7</v>
      </c>
      <c r="F27" s="60">
        <f t="shared" ca="1" si="3"/>
        <v>31</v>
      </c>
      <c r="G27" s="60">
        <f t="shared" ca="1" si="4"/>
        <v>0</v>
      </c>
      <c r="H27" s="60" t="s">
        <v>73</v>
      </c>
      <c r="I27" s="62" t="str">
        <f ca="1">CONCATENATE(INDIRECT("template!I28"))</f>
        <v>unsigned number; Source blob W stride</v>
      </c>
      <c r="J27" s="157" t="s">
        <v>574</v>
      </c>
    </row>
    <row r="28" spans="1:10">
      <c r="A28" s="41" t="s">
        <v>108</v>
      </c>
      <c r="B28" s="60">
        <v>32</v>
      </c>
      <c r="C28" s="60">
        <f t="shared" ca="1" si="0"/>
        <v>287</v>
      </c>
      <c r="D28" s="60">
        <f t="shared" ca="1" si="1"/>
        <v>256</v>
      </c>
      <c r="E28" s="60">
        <f t="shared" ca="1" si="2"/>
        <v>8</v>
      </c>
      <c r="F28" s="60">
        <f t="shared" ca="1" si="3"/>
        <v>31</v>
      </c>
      <c r="G28" s="60">
        <f t="shared" ca="1" si="4"/>
        <v>0</v>
      </c>
      <c r="H28" s="60" t="s">
        <v>73</v>
      </c>
      <c r="I28" s="62" t="str">
        <f ca="1">CONCATENATE(INDIRECT("template!I29"))</f>
        <v>unsigned number; desitination blob N stride</v>
      </c>
      <c r="J28" s="157" t="s">
        <v>574</v>
      </c>
    </row>
    <row r="29" spans="1:10">
      <c r="A29" s="41" t="s">
        <v>110</v>
      </c>
      <c r="B29" s="60">
        <v>32</v>
      </c>
      <c r="C29" s="60">
        <f t="shared" ca="1" si="0"/>
        <v>319</v>
      </c>
      <c r="D29" s="60">
        <f t="shared" ca="1" si="1"/>
        <v>288</v>
      </c>
      <c r="E29" s="60">
        <f t="shared" ca="1" si="2"/>
        <v>9</v>
      </c>
      <c r="F29" s="60">
        <f t="shared" ca="1" si="3"/>
        <v>31</v>
      </c>
      <c r="G29" s="60">
        <f t="shared" ca="1" si="4"/>
        <v>0</v>
      </c>
      <c r="H29" s="60" t="s">
        <v>73</v>
      </c>
      <c r="I29" s="62" t="str">
        <f ca="1">CONCATENATE(INDIRECT("template!I30"))</f>
        <v>unsigned number.desitination blob C stride</v>
      </c>
      <c r="J29" s="157" t="s">
        <v>574</v>
      </c>
    </row>
    <row r="30" spans="1:10">
      <c r="A30" s="41" t="s">
        <v>112</v>
      </c>
      <c r="B30" s="60">
        <v>32</v>
      </c>
      <c r="C30" s="60">
        <f t="shared" ca="1" si="0"/>
        <v>351</v>
      </c>
      <c r="D30" s="60">
        <f t="shared" ca="1" si="1"/>
        <v>320</v>
      </c>
      <c r="E30" s="60">
        <f t="shared" ca="1" si="2"/>
        <v>10</v>
      </c>
      <c r="F30" s="60">
        <f t="shared" ca="1" si="3"/>
        <v>31</v>
      </c>
      <c r="G30" s="60">
        <f t="shared" ca="1" si="4"/>
        <v>0</v>
      </c>
      <c r="H30" s="60" t="s">
        <v>73</v>
      </c>
      <c r="I30" s="62" t="str">
        <f ca="1">CONCATENATE(INDIRECT("template!I31"))</f>
        <v>unsigned number; desitination blob H stride</v>
      </c>
      <c r="J30" s="157" t="s">
        <v>574</v>
      </c>
    </row>
    <row r="31" spans="1:10" ht="15" customHeight="1">
      <c r="A31" s="41" t="s">
        <v>114</v>
      </c>
      <c r="B31" s="60">
        <v>32</v>
      </c>
      <c r="C31" s="60">
        <f t="shared" ca="1" si="0"/>
        <v>383</v>
      </c>
      <c r="D31" s="60">
        <f t="shared" ca="1" si="1"/>
        <v>352</v>
      </c>
      <c r="E31" s="60">
        <f t="shared" ca="1" si="2"/>
        <v>11</v>
      </c>
      <c r="F31" s="60">
        <f t="shared" ca="1" si="3"/>
        <v>31</v>
      </c>
      <c r="G31" s="60">
        <f t="shared" ca="1" si="4"/>
        <v>0</v>
      </c>
      <c r="H31" s="60" t="s">
        <v>73</v>
      </c>
      <c r="I31" s="62" t="str">
        <f ca="1">INDIRECT("template!I32")</f>
        <v>unsigned number; desitination blob W stride</v>
      </c>
      <c r="J31" s="157" t="s">
        <v>574</v>
      </c>
    </row>
    <row r="32" spans="1:10" ht="12" customHeight="1">
      <c r="A32" s="41" t="s">
        <v>116</v>
      </c>
      <c r="B32" s="60">
        <v>16</v>
      </c>
      <c r="C32" s="60">
        <f t="shared" ca="1" si="0"/>
        <v>399</v>
      </c>
      <c r="D32" s="60">
        <f t="shared" ca="1" si="1"/>
        <v>384</v>
      </c>
      <c r="E32" s="60">
        <f t="shared" ca="1" si="2"/>
        <v>12</v>
      </c>
      <c r="F32" s="60">
        <f t="shared" ca="1" si="3"/>
        <v>15</v>
      </c>
      <c r="G32" s="60">
        <f t="shared" ca="1" si="4"/>
        <v>0</v>
      </c>
      <c r="H32" s="60" t="s">
        <v>73</v>
      </c>
      <c r="I32" s="62" t="str">
        <f ca="1">INDIRECT("template!I33")</f>
        <v>Source Blob Number</v>
      </c>
      <c r="J32" s="157" t="s">
        <v>574</v>
      </c>
    </row>
    <row r="33" spans="1:10">
      <c r="A33" s="41" t="s">
        <v>118</v>
      </c>
      <c r="B33" s="60">
        <v>16</v>
      </c>
      <c r="C33" s="60">
        <f t="shared" ca="1" si="0"/>
        <v>415</v>
      </c>
      <c r="D33" s="60">
        <f t="shared" ca="1" si="1"/>
        <v>400</v>
      </c>
      <c r="E33" s="60">
        <f t="shared" ca="1" si="2"/>
        <v>12</v>
      </c>
      <c r="F33" s="60">
        <f t="shared" ca="1" si="3"/>
        <v>31</v>
      </c>
      <c r="G33" s="60">
        <f t="shared" ca="1" si="4"/>
        <v>16</v>
      </c>
      <c r="H33" s="60" t="s">
        <v>73</v>
      </c>
      <c r="I33" s="62" t="str">
        <f ca="1">INDIRECT("template!I34")</f>
        <v>Source blob C</v>
      </c>
      <c r="J33" s="157" t="s">
        <v>574</v>
      </c>
    </row>
    <row r="34" spans="1:10">
      <c r="A34" s="41" t="s">
        <v>120</v>
      </c>
      <c r="B34" s="60">
        <v>16</v>
      </c>
      <c r="C34" s="60">
        <f t="shared" ca="1" si="0"/>
        <v>431</v>
      </c>
      <c r="D34" s="60">
        <f t="shared" ca="1" si="1"/>
        <v>416</v>
      </c>
      <c r="E34" s="60">
        <f t="shared" ca="1" si="2"/>
        <v>13</v>
      </c>
      <c r="F34" s="60">
        <f t="shared" ca="1" si="3"/>
        <v>15</v>
      </c>
      <c r="G34" s="60">
        <f t="shared" ca="1" si="4"/>
        <v>0</v>
      </c>
      <c r="H34" s="60" t="s">
        <v>73</v>
      </c>
      <c r="I34" s="62" t="str">
        <f ca="1">INDIRECT("template!I35")</f>
        <v xml:space="preserve">Source blob H </v>
      </c>
      <c r="J34" s="157" t="s">
        <v>574</v>
      </c>
    </row>
    <row r="35" spans="1:10">
      <c r="A35" s="41" t="s">
        <v>122</v>
      </c>
      <c r="B35" s="60">
        <v>16</v>
      </c>
      <c r="C35" s="60">
        <f t="shared" ca="1" si="0"/>
        <v>447</v>
      </c>
      <c r="D35" s="60">
        <f t="shared" ca="1" si="1"/>
        <v>432</v>
      </c>
      <c r="E35" s="60">
        <f t="shared" ca="1" si="2"/>
        <v>13</v>
      </c>
      <c r="F35" s="60">
        <f t="shared" ca="1" si="3"/>
        <v>31</v>
      </c>
      <c r="G35" s="60">
        <f t="shared" ca="1" si="4"/>
        <v>16</v>
      </c>
      <c r="H35" s="60" t="s">
        <v>73</v>
      </c>
      <c r="I35" s="62" t="str">
        <f ca="1">INDIRECT("template!I36")</f>
        <v xml:space="preserve">Source blob W </v>
      </c>
      <c r="J35" s="157" t="s">
        <v>574</v>
      </c>
    </row>
    <row r="36" spans="1:10">
      <c r="A36" s="41" t="s">
        <v>124</v>
      </c>
      <c r="B36" s="60">
        <v>16</v>
      </c>
      <c r="C36" s="60">
        <f t="shared" ca="1" si="0"/>
        <v>463</v>
      </c>
      <c r="D36" s="60">
        <f t="shared" ca="1" si="1"/>
        <v>448</v>
      </c>
      <c r="E36" s="60">
        <f t="shared" ca="1" si="2"/>
        <v>14</v>
      </c>
      <c r="F36" s="60">
        <f t="shared" ca="1" si="3"/>
        <v>15</v>
      </c>
      <c r="G36" s="60">
        <f t="shared" ca="1" si="4"/>
        <v>0</v>
      </c>
      <c r="H36" s="60" t="s">
        <v>73</v>
      </c>
      <c r="I36" s="62" t="str">
        <f ca="1">INDIRECT("template!I37")</f>
        <v xml:space="preserve">Destination Blob Number </v>
      </c>
      <c r="J36" s="157" t="s">
        <v>574</v>
      </c>
    </row>
    <row r="37" spans="1:10" ht="32.4">
      <c r="A37" s="41" t="s">
        <v>126</v>
      </c>
      <c r="B37" s="60">
        <v>16</v>
      </c>
      <c r="C37" s="60">
        <f t="shared" ca="1" si="0"/>
        <v>479</v>
      </c>
      <c r="D37" s="60">
        <f t="shared" ca="1" si="1"/>
        <v>464</v>
      </c>
      <c r="E37" s="60">
        <f t="shared" ca="1" si="2"/>
        <v>14</v>
      </c>
      <c r="F37" s="60">
        <f t="shared" ca="1" si="3"/>
        <v>31</v>
      </c>
      <c r="G37" s="60">
        <f t="shared" ca="1" si="4"/>
        <v>16</v>
      </c>
      <c r="H37" s="60" t="s">
        <v>73</v>
      </c>
      <c r="I37" s="62" t="str">
        <f ca="1">INDIRECT("template!I38")</f>
        <v xml:space="preserve">Destination blob C </v>
      </c>
      <c r="J37" s="150" t="s">
        <v>605</v>
      </c>
    </row>
    <row r="38" spans="1:10">
      <c r="A38" s="41" t="s">
        <v>128</v>
      </c>
      <c r="B38" s="60">
        <v>16</v>
      </c>
      <c r="C38" s="60">
        <f t="shared" ca="1" si="0"/>
        <v>495</v>
      </c>
      <c r="D38" s="60">
        <f t="shared" ca="1" si="1"/>
        <v>480</v>
      </c>
      <c r="E38" s="60">
        <f t="shared" ca="1" si="2"/>
        <v>15</v>
      </c>
      <c r="F38" s="60">
        <f t="shared" ca="1" si="3"/>
        <v>15</v>
      </c>
      <c r="G38" s="60">
        <f t="shared" ca="1" si="4"/>
        <v>0</v>
      </c>
      <c r="H38" s="60" t="s">
        <v>73</v>
      </c>
      <c r="I38" s="62" t="str">
        <f ca="1">INDIRECT("template!I39")</f>
        <v>Destination blob H</v>
      </c>
      <c r="J38" s="157" t="s">
        <v>574</v>
      </c>
    </row>
    <row r="39" spans="1:10">
      <c r="A39" s="41" t="s">
        <v>130</v>
      </c>
      <c r="B39" s="60">
        <v>16</v>
      </c>
      <c r="C39" s="60">
        <f t="shared" ca="1" si="0"/>
        <v>511</v>
      </c>
      <c r="D39" s="60">
        <f t="shared" ca="1" si="1"/>
        <v>496</v>
      </c>
      <c r="E39" s="60">
        <f t="shared" ca="1" si="2"/>
        <v>15</v>
      </c>
      <c r="F39" s="60">
        <f t="shared" ca="1" si="3"/>
        <v>31</v>
      </c>
      <c r="G39" s="60">
        <f t="shared" ca="1" si="4"/>
        <v>16</v>
      </c>
      <c r="H39" s="60" t="s">
        <v>73</v>
      </c>
      <c r="I39" s="62" t="str">
        <f ca="1">INDIRECT("template!I40")</f>
        <v xml:space="preserve">Destination blob W </v>
      </c>
      <c r="J39" s="157" t="s">
        <v>574</v>
      </c>
    </row>
    <row r="40" spans="1:10" ht="32.4">
      <c r="A40" s="41" t="s">
        <v>132</v>
      </c>
      <c r="B40" s="60">
        <v>32</v>
      </c>
      <c r="C40" s="60">
        <f t="shared" ca="1" si="0"/>
        <v>543</v>
      </c>
      <c r="D40" s="60">
        <f t="shared" ca="1" si="1"/>
        <v>512</v>
      </c>
      <c r="E40" s="60">
        <f t="shared" ca="1" si="2"/>
        <v>16</v>
      </c>
      <c r="F40" s="60">
        <f t="shared" ca="1" si="3"/>
        <v>31</v>
      </c>
      <c r="G40" s="60">
        <f t="shared" ca="1" si="4"/>
        <v>0</v>
      </c>
      <c r="H40" s="60" t="s">
        <v>73</v>
      </c>
      <c r="I40" s="62" t="str">
        <f ca="1">INDIRECT("template!I41")</f>
        <v>source blob start address[31:0]</v>
      </c>
      <c r="J40" s="150" t="s">
        <v>563</v>
      </c>
    </row>
    <row r="41" spans="1:10" ht="280.8">
      <c r="A41" s="41" t="s">
        <v>134</v>
      </c>
      <c r="B41" s="60">
        <v>13</v>
      </c>
      <c r="C41" s="60">
        <f t="shared" ca="1" si="0"/>
        <v>556</v>
      </c>
      <c r="D41" s="60">
        <f t="shared" ca="1" si="1"/>
        <v>544</v>
      </c>
      <c r="E41" s="60">
        <f t="shared" ca="1" si="2"/>
        <v>17</v>
      </c>
      <c r="F41" s="60">
        <f t="shared" ca="1" si="3"/>
        <v>12</v>
      </c>
      <c r="G41" s="60">
        <f t="shared" ca="1" si="4"/>
        <v>0</v>
      </c>
      <c r="H41" s="60" t="s">
        <v>73</v>
      </c>
      <c r="I41" s="62"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41" s="150" t="s">
        <v>563</v>
      </c>
    </row>
    <row r="42" spans="1:10" s="34" customFormat="1">
      <c r="A42" s="41" t="s">
        <v>87</v>
      </c>
      <c r="B42" s="60">
        <v>19</v>
      </c>
      <c r="C42" s="60">
        <f t="shared" ca="1" si="0"/>
        <v>575</v>
      </c>
      <c r="D42" s="60">
        <f t="shared" ca="1" si="1"/>
        <v>557</v>
      </c>
      <c r="E42" s="60">
        <f t="shared" ca="1" si="2"/>
        <v>17</v>
      </c>
      <c r="F42" s="60">
        <f t="shared" ca="1" si="3"/>
        <v>31</v>
      </c>
      <c r="G42" s="60">
        <f t="shared" ca="1" si="4"/>
        <v>13</v>
      </c>
      <c r="H42" s="60" t="s">
        <v>88</v>
      </c>
      <c r="I42" s="62" t="str">
        <f ca="1">INDIRECT("template!I43")</f>
        <v>reserved</v>
      </c>
      <c r="J42" s="149">
        <v>0</v>
      </c>
    </row>
    <row r="43" spans="1:10">
      <c r="A43" s="41" t="s">
        <v>135</v>
      </c>
      <c r="B43" s="60">
        <v>32</v>
      </c>
      <c r="C43" s="60">
        <f t="shared" ca="1" si="0"/>
        <v>607</v>
      </c>
      <c r="D43" s="60">
        <f t="shared" ca="1" si="1"/>
        <v>576</v>
      </c>
      <c r="E43" s="60">
        <f t="shared" ca="1" si="2"/>
        <v>18</v>
      </c>
      <c r="F43" s="60">
        <f t="shared" ca="1" si="3"/>
        <v>31</v>
      </c>
      <c r="G43" s="60">
        <f t="shared" ca="1" si="4"/>
        <v>0</v>
      </c>
      <c r="H43" s="60" t="s">
        <v>73</v>
      </c>
      <c r="I43" s="62" t="str">
        <f ca="1">INDIRECT("template!I44")</f>
        <v>destination blob start address[31:0]</v>
      </c>
      <c r="J43" s="118" t="s">
        <v>95</v>
      </c>
    </row>
    <row r="44" spans="1:10" ht="280.8">
      <c r="A44" s="41" t="s">
        <v>137</v>
      </c>
      <c r="B44" s="60">
        <v>13</v>
      </c>
      <c r="C44" s="60">
        <f t="shared" ca="1" si="0"/>
        <v>620</v>
      </c>
      <c r="D44" s="60">
        <f t="shared" ca="1" si="1"/>
        <v>608</v>
      </c>
      <c r="E44" s="60">
        <f t="shared" ca="1" si="2"/>
        <v>19</v>
      </c>
      <c r="F44" s="60">
        <f t="shared" ca="1" si="3"/>
        <v>12</v>
      </c>
      <c r="G44" s="60">
        <f t="shared" ca="1" si="4"/>
        <v>0</v>
      </c>
      <c r="H44" s="60" t="s">
        <v>73</v>
      </c>
      <c r="I44" s="62" t="str">
        <f ca="1">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dst is tiu, otherwise, dst is DTN</v>
      </c>
      <c r="J44" s="118" t="s">
        <v>95</v>
      </c>
    </row>
    <row r="45" spans="1:10">
      <c r="A45" s="41" t="s">
        <v>87</v>
      </c>
      <c r="B45" s="60">
        <v>19</v>
      </c>
      <c r="C45" s="60">
        <f t="shared" ca="1" si="0"/>
        <v>639</v>
      </c>
      <c r="D45" s="60">
        <f t="shared" ca="1" si="1"/>
        <v>621</v>
      </c>
      <c r="E45" s="60">
        <f t="shared" ca="1" si="2"/>
        <v>19</v>
      </c>
      <c r="F45" s="60">
        <f t="shared" ca="1" si="3"/>
        <v>31</v>
      </c>
      <c r="G45" s="60">
        <f t="shared" ca="1" si="4"/>
        <v>13</v>
      </c>
      <c r="H45" s="60" t="s">
        <v>88</v>
      </c>
      <c r="I45" s="62" t="str">
        <f ca="1">INDIRECT("template!I46")</f>
        <v>reserved</v>
      </c>
      <c r="J45" s="149">
        <v>0</v>
      </c>
    </row>
    <row r="46" spans="1:10" s="35" customFormat="1" ht="280.8">
      <c r="A46" s="41" t="s">
        <v>89</v>
      </c>
      <c r="B46" s="60">
        <v>32</v>
      </c>
      <c r="C46" s="60">
        <f t="shared" ca="1" si="0"/>
        <v>671</v>
      </c>
      <c r="D46" s="60">
        <f t="shared" ca="1" si="1"/>
        <v>640</v>
      </c>
      <c r="E46" s="60">
        <f t="shared" ca="1" si="2"/>
        <v>20</v>
      </c>
      <c r="F46" s="60">
        <f t="shared" ca="1" si="3"/>
        <v>31</v>
      </c>
      <c r="G46" s="60">
        <f t="shared" ca="1" si="4"/>
        <v>0</v>
      </c>
      <c r="H46" s="60" t="s">
        <v>88</v>
      </c>
      <c r="I46" s="62" t="str">
        <f ca="1">INDIRECT("template!I48")</f>
        <v>bit[7:0]=mask/index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mask/index is tiu, otherwise, mask/index is DTN</v>
      </c>
      <c r="J46" s="149">
        <v>0</v>
      </c>
    </row>
    <row r="47" spans="1:10" s="35" customFormat="1">
      <c r="A47" s="41" t="s">
        <v>89</v>
      </c>
      <c r="B47" s="60">
        <v>32</v>
      </c>
      <c r="C47" s="60">
        <f t="shared" ca="1" si="0"/>
        <v>703</v>
      </c>
      <c r="D47" s="60">
        <f t="shared" ca="1" si="1"/>
        <v>672</v>
      </c>
      <c r="E47" s="60">
        <f t="shared" ca="1" si="2"/>
        <v>21</v>
      </c>
      <c r="F47" s="60">
        <f t="shared" ca="1" si="3"/>
        <v>31</v>
      </c>
      <c r="G47" s="60">
        <f t="shared" ca="1" si="4"/>
        <v>0</v>
      </c>
      <c r="H47" s="60" t="s">
        <v>88</v>
      </c>
      <c r="I47" s="62" t="str">
        <f ca="1">INDIRECT("template!I49")</f>
        <v>reserved</v>
      </c>
      <c r="J47" s="149">
        <v>0</v>
      </c>
    </row>
    <row r="48" spans="1:10" s="35" customFormat="1" ht="32.4">
      <c r="A48" s="41" t="s">
        <v>139</v>
      </c>
      <c r="B48" s="60">
        <v>32</v>
      </c>
      <c r="C48" s="60">
        <f t="shared" ca="1" si="0"/>
        <v>735</v>
      </c>
      <c r="D48" s="60">
        <f t="shared" ca="1" si="1"/>
        <v>704</v>
      </c>
      <c r="E48" s="60">
        <f t="shared" ca="1" si="2"/>
        <v>22</v>
      </c>
      <c r="F48" s="60">
        <f t="shared" ca="1" si="3"/>
        <v>31</v>
      </c>
      <c r="G48" s="60">
        <f t="shared" ca="1" si="4"/>
        <v>0</v>
      </c>
      <c r="H48" s="60" t="s">
        <v>73</v>
      </c>
      <c r="I48" s="62" t="str">
        <f ca="1">INDIRECT("template!I51")</f>
        <v>used to announce is the local memory mask or not, 1 means enable access, 0 means disable access (bit 0 corresponds local memory index32)</v>
      </c>
      <c r="J48" s="150" t="s">
        <v>606</v>
      </c>
    </row>
    <row r="49" spans="1:10" s="35" customFormat="1" ht="32.4">
      <c r="A49" s="41" t="s">
        <v>141</v>
      </c>
      <c r="B49" s="60">
        <v>32</v>
      </c>
      <c r="C49" s="60">
        <f t="shared" ca="1" si="0"/>
        <v>767</v>
      </c>
      <c r="D49" s="60">
        <f t="shared" ca="1" si="1"/>
        <v>736</v>
      </c>
      <c r="E49" s="60">
        <f t="shared" ca="1" si="2"/>
        <v>23</v>
      </c>
      <c r="F49" s="60">
        <f t="shared" ca="1" si="3"/>
        <v>31</v>
      </c>
      <c r="G49" s="60">
        <f t="shared" ca="1" si="4"/>
        <v>0</v>
      </c>
      <c r="H49" s="60" t="s">
        <v>73</v>
      </c>
      <c r="I49" s="62">
        <f ca="1">INDIRECT("template!I52")</f>
        <v>0</v>
      </c>
      <c r="J49" s="150" t="s">
        <v>606</v>
      </c>
    </row>
    <row r="50" spans="1:10" s="35" customFormat="1">
      <c r="A50" s="159" t="s">
        <v>571</v>
      </c>
      <c r="B50" s="152"/>
      <c r="C50" s="152"/>
      <c r="D50" s="152"/>
      <c r="E50" s="152"/>
      <c r="F50" s="152"/>
      <c r="G50" s="152"/>
      <c r="H50" s="153"/>
      <c r="I50" s="154"/>
      <c r="J50" s="153"/>
    </row>
    <row r="51" spans="1:10">
      <c r="A51" s="159" t="s">
        <v>144</v>
      </c>
      <c r="B51" s="152"/>
      <c r="C51" s="152"/>
      <c r="D51" s="152"/>
      <c r="E51" s="152"/>
      <c r="F51" s="152"/>
      <c r="G51" s="152"/>
      <c r="H51" s="153"/>
      <c r="I51" s="154"/>
      <c r="J51" s="153"/>
    </row>
    <row r="52" spans="1:10">
      <c r="A52" s="159" t="s">
        <v>145</v>
      </c>
      <c r="B52" s="152"/>
      <c r="C52" s="152"/>
      <c r="D52" s="152"/>
      <c r="E52" s="152"/>
      <c r="F52" s="152"/>
      <c r="G52" s="152"/>
      <c r="H52" s="153"/>
      <c r="I52" s="154"/>
      <c r="J52" s="153"/>
    </row>
    <row r="53" spans="1:10">
      <c r="A53" s="159" t="s">
        <v>146</v>
      </c>
      <c r="B53" s="152"/>
      <c r="C53" s="152"/>
      <c r="D53" s="152"/>
      <c r="E53" s="152"/>
      <c r="F53" s="152"/>
      <c r="G53" s="152"/>
      <c r="H53" s="153"/>
      <c r="I53" s="154"/>
      <c r="J53" s="153"/>
    </row>
    <row r="54" spans="1:10">
      <c r="A54" s="159" t="s">
        <v>147</v>
      </c>
      <c r="B54" s="152"/>
      <c r="C54" s="152"/>
      <c r="D54" s="152"/>
      <c r="E54" s="152"/>
      <c r="F54" s="152"/>
      <c r="G54" s="152"/>
      <c r="H54" s="153"/>
      <c r="I54" s="154"/>
      <c r="J54" s="153"/>
    </row>
  </sheetData>
  <phoneticPr fontId="32" type="noConversion"/>
  <pageMargins left="0.25" right="0.25" top="0.75" bottom="0.75" header="0.3" footer="0.3"/>
  <pageSetup paperSize="9" scale="5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Views>
    <sheetView zoomScale="125" zoomScaleNormal="125" workbookViewId="0">
      <pane ySplit="1" topLeftCell="A2" activePane="bottomLeft" state="frozen"/>
      <selection pane="bottomLeft" activeCell="I16" sqref="I16"/>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72.44140625" style="37" customWidth="1"/>
    <col min="10" max="10" width="38" style="36" customWidth="1"/>
    <col min="11" max="16384" width="15.44140625" style="36"/>
  </cols>
  <sheetData>
    <row r="1" spans="1:10">
      <c r="A1" s="38" t="s">
        <v>66</v>
      </c>
      <c r="B1" s="39" t="s">
        <v>67</v>
      </c>
      <c r="C1" s="39" t="s">
        <v>68</v>
      </c>
      <c r="D1" s="39" t="s">
        <v>69</v>
      </c>
      <c r="E1" s="39" t="s">
        <v>70</v>
      </c>
      <c r="F1" s="39" t="s">
        <v>71</v>
      </c>
      <c r="G1" s="39" t="s">
        <v>72</v>
      </c>
      <c r="H1" s="40" t="s">
        <v>73</v>
      </c>
      <c r="I1" s="45" t="s">
        <v>74</v>
      </c>
      <c r="J1" s="46" t="s">
        <v>555</v>
      </c>
    </row>
    <row r="2" spans="1:10" ht="46.8">
      <c r="A2" s="41" t="s">
        <v>75</v>
      </c>
      <c r="B2" s="42">
        <v>1</v>
      </c>
      <c r="C2" s="42">
        <f t="shared" ref="C2:C11" si="0">D2+B2-1</f>
        <v>0</v>
      </c>
      <c r="D2" s="42">
        <v>0</v>
      </c>
      <c r="E2" s="42">
        <f t="shared" ref="E2:E11" si="1">ROUNDDOWN(C2/32,0)</f>
        <v>0</v>
      </c>
      <c r="F2" s="42">
        <f t="shared" ref="F2:F9" si="2">C2-E2*32</f>
        <v>0</v>
      </c>
      <c r="G2" s="42">
        <f t="shared" ref="G2:G9" si="3">D2-E2*32</f>
        <v>0</v>
      </c>
      <c r="H2" s="42" t="s">
        <v>73</v>
      </c>
      <c r="I2" s="48" t="str">
        <f ca="1">CONCATENATE(INDIRECT("template!I2"))</f>
        <v>Interrupt Enable;if this bit is set, CPU COULD get interrupt when the instruction is finished 
0: disable interrupt
1: enable interrupt</v>
      </c>
      <c r="J2" s="47" t="s">
        <v>95</v>
      </c>
    </row>
    <row r="3" spans="1:10" ht="46.8">
      <c r="A3" s="41" t="s">
        <v>77</v>
      </c>
      <c r="B3" s="42">
        <v>1</v>
      </c>
      <c r="C3" s="42">
        <f t="shared" ca="1" si="0"/>
        <v>1</v>
      </c>
      <c r="D3" s="42">
        <f t="shared" ref="D3:D9" ca="1" si="4">INDIRECT(ADDRESS(ROW()-1,COLUMN()-1))+1</f>
        <v>1</v>
      </c>
      <c r="E3" s="42">
        <f t="shared" ca="1" si="1"/>
        <v>0</v>
      </c>
      <c r="F3" s="42">
        <f t="shared" ca="1" si="2"/>
        <v>1</v>
      </c>
      <c r="G3" s="42">
        <f t="shared" ca="1" si="3"/>
        <v>1</v>
      </c>
      <c r="H3" s="42" t="s">
        <v>73</v>
      </c>
      <c r="I3" s="48" t="str">
        <f ca="1">CONCATENATE(INDIRECT("template!I3"))</f>
        <v>Stride enable
0：No stride for all blob definition
1：Enable stride for all blob definition</v>
      </c>
      <c r="J3" s="51">
        <v>0</v>
      </c>
    </row>
    <row r="4" spans="1:10" ht="46.8">
      <c r="A4" s="41" t="s">
        <v>79</v>
      </c>
      <c r="B4" s="42">
        <v>1</v>
      </c>
      <c r="C4" s="60">
        <f t="shared" ca="1" si="0"/>
        <v>2</v>
      </c>
      <c r="D4" s="42">
        <f t="shared" ca="1" si="4"/>
        <v>2</v>
      </c>
      <c r="E4" s="42">
        <f t="shared" ca="1" si="1"/>
        <v>0</v>
      </c>
      <c r="F4" s="42">
        <f t="shared" ca="1" si="2"/>
        <v>2</v>
      </c>
      <c r="G4" s="42">
        <f t="shared" ca="1" si="3"/>
        <v>2</v>
      </c>
      <c r="H4" s="42" t="s">
        <v>73</v>
      </c>
      <c r="I4" s="48" t="str">
        <f ca="1">CONCATENATE(INDIRECT("template!I4"))</f>
        <v>NCHW copy bit
0: use separate src and dst NCHW value setting
1: reuse src NCHW value for dst NCHW value</v>
      </c>
      <c r="J4" s="51">
        <v>0</v>
      </c>
    </row>
    <row r="5" spans="1:10" ht="31.2">
      <c r="A5" s="41" t="s">
        <v>559</v>
      </c>
      <c r="B5" s="42">
        <v>1</v>
      </c>
      <c r="C5" s="42">
        <f t="shared" ca="1" si="0"/>
        <v>3</v>
      </c>
      <c r="D5" s="42">
        <f t="shared" ca="1" si="4"/>
        <v>3</v>
      </c>
      <c r="E5" s="42">
        <f t="shared" ca="1" si="1"/>
        <v>0</v>
      </c>
      <c r="F5" s="42">
        <f t="shared" ca="1" si="2"/>
        <v>3</v>
      </c>
      <c r="G5" s="42">
        <f t="shared" ca="1" si="3"/>
        <v>3</v>
      </c>
      <c r="H5" s="42" t="s">
        <v>73</v>
      </c>
      <c r="I5" s="48" t="str">
        <f ca="1">CONCATENATE(INDIRECT("template!I5"))</f>
        <v>0:768bit full cmd;
1:128/256/384/512 short cmd</v>
      </c>
      <c r="J5" s="47" t="s">
        <v>95</v>
      </c>
    </row>
    <row r="6" spans="1:10" ht="30.9" customHeight="1">
      <c r="A6" s="41" t="s">
        <v>87</v>
      </c>
      <c r="B6" s="42">
        <v>1</v>
      </c>
      <c r="C6" s="42">
        <f t="shared" ca="1" si="0"/>
        <v>4</v>
      </c>
      <c r="D6" s="42">
        <f t="shared" ca="1" si="4"/>
        <v>4</v>
      </c>
      <c r="E6" s="42">
        <f t="shared" ca="1" si="1"/>
        <v>0</v>
      </c>
      <c r="F6" s="42">
        <f t="shared" ca="1" si="2"/>
        <v>4</v>
      </c>
      <c r="G6" s="42">
        <f t="shared" ca="1" si="3"/>
        <v>4</v>
      </c>
      <c r="H6" s="42" t="s">
        <v>73</v>
      </c>
      <c r="I6" s="48" t="str">
        <f ca="1">CONCATENATE(INDIRECT("template!I6"))</f>
        <v>Read cache enable
0: Read not use cache
1: Read use cache</v>
      </c>
      <c r="J6" s="51">
        <v>0</v>
      </c>
    </row>
    <row r="7" spans="1:10" ht="54.9" customHeight="1">
      <c r="A7" s="41" t="s">
        <v>87</v>
      </c>
      <c r="B7" s="42">
        <v>4</v>
      </c>
      <c r="C7" s="42">
        <f t="shared" ca="1" si="0"/>
        <v>8</v>
      </c>
      <c r="D7" s="42">
        <f t="shared" ca="1" si="4"/>
        <v>5</v>
      </c>
      <c r="E7" s="42">
        <f t="shared" ca="1" si="1"/>
        <v>0</v>
      </c>
      <c r="F7" s="42">
        <f t="shared" ca="1" si="2"/>
        <v>8</v>
      </c>
      <c r="G7" s="42">
        <f t="shared" ca="1" si="3"/>
        <v>5</v>
      </c>
      <c r="H7" s="42" t="s">
        <v>88</v>
      </c>
      <c r="I7" s="48" t="str">
        <f ca="1">CONCATENATE(INDIRECT("template!I7"))</f>
        <v>Flush cache
0: Not Flush cache
1: Flush cache</v>
      </c>
      <c r="J7" s="51">
        <v>0</v>
      </c>
    </row>
    <row r="8" spans="1:10">
      <c r="A8" s="41" t="s">
        <v>87</v>
      </c>
      <c r="B8" s="42">
        <v>20</v>
      </c>
      <c r="C8" s="42">
        <f t="shared" ca="1" si="0"/>
        <v>28</v>
      </c>
      <c r="D8" s="42">
        <f t="shared" ca="1" si="4"/>
        <v>9</v>
      </c>
      <c r="E8" s="42">
        <f t="shared" ca="1" si="1"/>
        <v>0</v>
      </c>
      <c r="F8" s="42">
        <f t="shared" ca="1" si="2"/>
        <v>28</v>
      </c>
      <c r="G8" s="42">
        <f t="shared" ca="1" si="3"/>
        <v>9</v>
      </c>
      <c r="H8" s="42" t="s">
        <v>88</v>
      </c>
      <c r="I8" s="48" t="str">
        <f ca="1">CONCATENATE(INDIRECT("template!I8"))</f>
        <v>reserved</v>
      </c>
      <c r="J8" s="51">
        <v>0</v>
      </c>
    </row>
    <row r="9" spans="1:10">
      <c r="A9" s="41" t="s">
        <v>89</v>
      </c>
      <c r="B9" s="42">
        <v>3</v>
      </c>
      <c r="C9" s="42">
        <f t="shared" ca="1" si="0"/>
        <v>31</v>
      </c>
      <c r="D9" s="42">
        <f t="shared" ca="1" si="4"/>
        <v>29</v>
      </c>
      <c r="E9" s="42">
        <f t="shared" ca="1" si="1"/>
        <v>0</v>
      </c>
      <c r="F9" s="42">
        <f t="shared" ca="1" si="2"/>
        <v>31</v>
      </c>
      <c r="G9" s="42">
        <f t="shared" ca="1" si="3"/>
        <v>29</v>
      </c>
      <c r="H9" s="42" t="s">
        <v>88</v>
      </c>
      <c r="I9" s="48" t="str">
        <f ca="1">CONCATENATE(INDIRECT("template!I9"))</f>
        <v/>
      </c>
      <c r="J9" s="51">
        <v>0</v>
      </c>
    </row>
    <row r="10" spans="1:10" customFormat="1">
      <c r="A10" s="41" t="s">
        <v>90</v>
      </c>
      <c r="B10" s="42">
        <v>4</v>
      </c>
      <c r="C10" s="42">
        <f t="shared" ca="1" si="0"/>
        <v>35</v>
      </c>
      <c r="D10" s="42">
        <f t="shared" ref="D10:D28" ca="1" si="5">INDIRECT(ADDRESS(ROW()-1,COLUMN()-1))+1</f>
        <v>32</v>
      </c>
      <c r="E10" s="42">
        <f t="shared" ca="1" si="1"/>
        <v>1</v>
      </c>
      <c r="F10" s="42">
        <f t="shared" ref="F10:F28" ca="1" si="6">C10-E10*32</f>
        <v>3</v>
      </c>
      <c r="G10" s="42">
        <f t="shared" ref="G10:G28" ca="1" si="7">D10-E10*32</f>
        <v>0</v>
      </c>
      <c r="H10" s="42" t="s">
        <v>73</v>
      </c>
      <c r="I10" s="48" t="str">
        <f ca="1">CONCATENATE(INDIRECT("template!I10"))</f>
        <v/>
      </c>
      <c r="J10" s="47" t="s">
        <v>95</v>
      </c>
    </row>
    <row r="11" spans="1:10">
      <c r="A11" s="43" t="s">
        <v>91</v>
      </c>
      <c r="B11" s="42">
        <v>3</v>
      </c>
      <c r="C11" s="42">
        <f t="shared" ca="1" si="0"/>
        <v>38</v>
      </c>
      <c r="D11" s="42">
        <f t="shared" ca="1" si="5"/>
        <v>36</v>
      </c>
      <c r="E11" s="42">
        <f t="shared" ca="1" si="1"/>
        <v>1</v>
      </c>
      <c r="F11" s="42">
        <f t="shared" ca="1" si="6"/>
        <v>6</v>
      </c>
      <c r="G11" s="42">
        <f t="shared" ca="1" si="7"/>
        <v>4</v>
      </c>
      <c r="H11" s="42" t="s">
        <v>73</v>
      </c>
      <c r="I11" s="48" t="str">
        <f ca="1">CONCATENATE(INDIRECT("DMA_general!I11"))</f>
        <v/>
      </c>
      <c r="J11" s="47" t="s">
        <v>95</v>
      </c>
    </row>
    <row r="12" spans="1:10">
      <c r="A12" s="43" t="s">
        <v>93</v>
      </c>
      <c r="B12" s="42">
        <v>1</v>
      </c>
      <c r="C12" s="42">
        <f t="shared" ref="C12:C17" ca="1" si="8">D12+B12-1</f>
        <v>39</v>
      </c>
      <c r="D12" s="42">
        <f t="shared" ca="1" si="5"/>
        <v>39</v>
      </c>
      <c r="E12" s="42">
        <f t="shared" ref="E12:E17" ca="1" si="9">ROUNDDOWN(C12/32,0)</f>
        <v>1</v>
      </c>
      <c r="F12" s="42">
        <f t="shared" ca="1" si="6"/>
        <v>7</v>
      </c>
      <c r="G12" s="42">
        <f t="shared" ca="1" si="7"/>
        <v>7</v>
      </c>
      <c r="H12" s="42" t="s">
        <v>73</v>
      </c>
      <c r="I12" s="48" t="str">
        <f ca="1">CONCATENATE(INDIRECT("DMA_general!I12"))</f>
        <v/>
      </c>
      <c r="J12" s="47" t="s">
        <v>95</v>
      </c>
    </row>
    <row r="13" spans="1:10">
      <c r="A13" s="41" t="s">
        <v>96</v>
      </c>
      <c r="B13" s="42">
        <v>3</v>
      </c>
      <c r="C13" s="42">
        <f t="shared" ca="1" si="8"/>
        <v>42</v>
      </c>
      <c r="D13" s="42">
        <f t="shared" ca="1" si="5"/>
        <v>40</v>
      </c>
      <c r="E13" s="42">
        <f t="shared" ca="1" si="9"/>
        <v>1</v>
      </c>
      <c r="F13" s="42">
        <f t="shared" ca="1" si="6"/>
        <v>10</v>
      </c>
      <c r="G13" s="42">
        <f t="shared" ca="1" si="7"/>
        <v>8</v>
      </c>
      <c r="H13" s="42" t="s">
        <v>73</v>
      </c>
      <c r="I13" s="48" t="str">
        <f ca="1">CONCATENATE(INDIRECT("template!I13"))</f>
        <v>reserved</v>
      </c>
      <c r="J13" s="47" t="s">
        <v>95</v>
      </c>
    </row>
    <row r="14" spans="1:10" ht="93.6">
      <c r="A14" s="41" t="s">
        <v>87</v>
      </c>
      <c r="B14" s="42">
        <v>21</v>
      </c>
      <c r="C14" s="42">
        <f t="shared" ca="1" si="8"/>
        <v>63</v>
      </c>
      <c r="D14" s="42">
        <f t="shared" ca="1" si="5"/>
        <v>43</v>
      </c>
      <c r="E14" s="42">
        <f t="shared" ca="1" si="9"/>
        <v>1</v>
      </c>
      <c r="F14" s="42">
        <f t="shared" ca="1" si="6"/>
        <v>31</v>
      </c>
      <c r="G14" s="42">
        <f t="shared" ca="1" si="7"/>
        <v>11</v>
      </c>
      <c r="H14" s="42" t="s">
        <v>88</v>
      </c>
      <c r="I14" s="48" t="str">
        <f ca="1">CONCATENATE(INDIRECT("template!I14"))</f>
        <v>0x0:GDMA_tensor                     0x1:GDMA_matrix
0x2:GDMA_masked_select       0x3:GDMA_general
                                                   0x5:GDMA_nonzero
0x6:GDMA_sys                           0x7:GDMA_gather
0x8:GDMA_scatter                    0x9:GDMA_reverse
0xc:GDMA_lossy_compress      0xd:GDMA_lossy_decompress</v>
      </c>
      <c r="J14" s="51">
        <v>0</v>
      </c>
    </row>
    <row r="15" spans="1:10" ht="78">
      <c r="A15" s="41" t="s">
        <v>97</v>
      </c>
      <c r="B15" s="42">
        <v>24</v>
      </c>
      <c r="C15" s="42">
        <f t="shared" ca="1" si="8"/>
        <v>87</v>
      </c>
      <c r="D15" s="42">
        <f t="shared" ca="1" si="5"/>
        <v>64</v>
      </c>
      <c r="E15" s="42">
        <f t="shared" ca="1" si="9"/>
        <v>2</v>
      </c>
      <c r="F15" s="42">
        <f t="shared" ca="1" si="6"/>
        <v>23</v>
      </c>
      <c r="G15" s="42">
        <f t="shared" ca="1" si="7"/>
        <v>0</v>
      </c>
      <c r="H15" s="42" t="s">
        <v>73</v>
      </c>
      <c r="I15" s="48" t="str">
        <f ca="1">CONCATENATE(INDIRECT("template!I15"))</f>
        <v>this field is connected with cmd_type. when cmd_type == DMA_tensor
000: No special function
001: Enable transposition write (For Neuron transposition case, the dest_N= src_C, dest_C=src_N)
011: broadcast：only support C size&lt;=64 and lmem mask invalid
others: reserved</v>
      </c>
      <c r="J15" s="47" t="s">
        <v>95</v>
      </c>
    </row>
    <row r="16" spans="1:10" ht="21" customHeight="1">
      <c r="A16" s="41" t="s">
        <v>87</v>
      </c>
      <c r="B16" s="42">
        <v>8</v>
      </c>
      <c r="C16" s="42">
        <f t="shared" ca="1" si="8"/>
        <v>95</v>
      </c>
      <c r="D16" s="42">
        <f t="shared" ca="1" si="5"/>
        <v>88</v>
      </c>
      <c r="E16" s="42">
        <f t="shared" ca="1" si="9"/>
        <v>2</v>
      </c>
      <c r="F16" s="42">
        <f t="shared" ca="1" si="6"/>
        <v>31</v>
      </c>
      <c r="G16" s="42">
        <f t="shared" ca="1" si="7"/>
        <v>24</v>
      </c>
      <c r="H16" s="42" t="s">
        <v>88</v>
      </c>
      <c r="I16" s="48" t="str">
        <f ca="1">CONCATENATE(INDIRECT("template!I16"))</f>
        <v>0: no fill constant
1: fill constant enable</v>
      </c>
      <c r="J16" s="47" t="s">
        <v>95</v>
      </c>
    </row>
    <row r="17" spans="1:10" ht="26.1" customHeight="1">
      <c r="A17" s="41" t="s">
        <v>98</v>
      </c>
      <c r="B17" s="42">
        <v>32</v>
      </c>
      <c r="C17" s="42">
        <f t="shared" ca="1" si="8"/>
        <v>127</v>
      </c>
      <c r="D17" s="42">
        <f t="shared" ca="1" si="5"/>
        <v>96</v>
      </c>
      <c r="E17" s="42">
        <f t="shared" ca="1" si="9"/>
        <v>3</v>
      </c>
      <c r="F17" s="42">
        <f t="shared" ca="1" si="6"/>
        <v>31</v>
      </c>
      <c r="G17" s="42">
        <f t="shared" ca="1" si="7"/>
        <v>0</v>
      </c>
      <c r="H17" s="42" t="s">
        <v>73</v>
      </c>
      <c r="I17" s="48" t="str">
        <f ca="1">CONCATENATE(INDIRECT("template!I17"))</f>
        <v>Source Data Format
0:INT8
1:FP16
2:FP32
3:INT16
4:INT32
5:BFP16
6:FP20
7:FP8 E4M3
8:FP8 E5M2
others：not support</v>
      </c>
      <c r="J17" s="52" t="s">
        <v>562</v>
      </c>
    </row>
    <row r="18" spans="1:10" ht="31.2">
      <c r="A18" s="84" t="s">
        <v>604</v>
      </c>
      <c r="B18" s="42">
        <v>32</v>
      </c>
      <c r="C18" s="42">
        <f t="shared" ref="C18:C28" ca="1" si="10">D18+B18-1</f>
        <v>159</v>
      </c>
      <c r="D18" s="42">
        <f t="shared" ca="1" si="5"/>
        <v>128</v>
      </c>
      <c r="E18" s="42">
        <f t="shared" ref="E18:E28" ca="1" si="11">ROUNDDOWN(C18/32,0)</f>
        <v>4</v>
      </c>
      <c r="F18" s="42">
        <f t="shared" ca="1" si="6"/>
        <v>31</v>
      </c>
      <c r="G18" s="42">
        <f t="shared" ca="1" si="7"/>
        <v>0</v>
      </c>
      <c r="H18" s="42" t="s">
        <v>73</v>
      </c>
      <c r="I18" s="48" t="str">
        <f ca="1">CONCATENATE(INDIRECT("DMA_general!I19"))</f>
        <v>Execution of this descriptor need to wait for engine[i]'s cmd_id  which depends on the cmd_id_en to be bigger than the ID specified in this field. [19:0] is depend_id, [20] is depend_id_enable(0:disable; 1:enable)</v>
      </c>
      <c r="J18" s="47" t="s">
        <v>95</v>
      </c>
    </row>
    <row r="19" spans="1:10" ht="32.4">
      <c r="A19" s="41" t="s">
        <v>126</v>
      </c>
      <c r="B19" s="42">
        <v>16</v>
      </c>
      <c r="C19" s="42">
        <f t="shared" ca="1" si="10"/>
        <v>175</v>
      </c>
      <c r="D19" s="42">
        <f t="shared" ca="1" si="5"/>
        <v>160</v>
      </c>
      <c r="E19" s="42">
        <f t="shared" ca="1" si="11"/>
        <v>5</v>
      </c>
      <c r="F19" s="42">
        <f t="shared" ca="1" si="6"/>
        <v>15</v>
      </c>
      <c r="G19" s="42">
        <f t="shared" ca="1" si="7"/>
        <v>0</v>
      </c>
      <c r="H19" s="42" t="s">
        <v>73</v>
      </c>
      <c r="I19" s="48" t="str">
        <f ca="1">INDIRECT("template!I31")</f>
        <v>unsigned number; desitination blob H stride</v>
      </c>
      <c r="J19" s="52" t="s">
        <v>605</v>
      </c>
    </row>
    <row r="20" spans="1:10">
      <c r="A20" s="41" t="s">
        <v>87</v>
      </c>
      <c r="B20" s="42">
        <v>16</v>
      </c>
      <c r="C20" s="42">
        <f t="shared" ca="1" si="10"/>
        <v>191</v>
      </c>
      <c r="D20" s="42">
        <f t="shared" ca="1" si="5"/>
        <v>176</v>
      </c>
      <c r="E20" s="42">
        <f t="shared" ca="1" si="11"/>
        <v>5</v>
      </c>
      <c r="F20" s="42">
        <f t="shared" ca="1" si="6"/>
        <v>31</v>
      </c>
      <c r="G20" s="42">
        <f t="shared" ca="1" si="7"/>
        <v>16</v>
      </c>
      <c r="H20" s="42" t="s">
        <v>88</v>
      </c>
      <c r="I20" s="48" t="s">
        <v>87</v>
      </c>
      <c r="J20" s="51">
        <v>0</v>
      </c>
    </row>
    <row r="21" spans="1:10" ht="32.4">
      <c r="A21" s="41" t="s">
        <v>132</v>
      </c>
      <c r="B21" s="42">
        <v>32</v>
      </c>
      <c r="C21" s="42">
        <f t="shared" ca="1" si="10"/>
        <v>223</v>
      </c>
      <c r="D21" s="42">
        <f t="shared" ca="1" si="5"/>
        <v>192</v>
      </c>
      <c r="E21" s="42">
        <f t="shared" ca="1" si="11"/>
        <v>6</v>
      </c>
      <c r="F21" s="42">
        <f t="shared" ca="1" si="6"/>
        <v>31</v>
      </c>
      <c r="G21" s="42">
        <f t="shared" ca="1" si="7"/>
        <v>0</v>
      </c>
      <c r="H21" s="42" t="s">
        <v>73</v>
      </c>
      <c r="I21" s="48" t="str">
        <f ca="1">INDIRECT("template!I34")</f>
        <v>Source blob C</v>
      </c>
      <c r="J21" s="52" t="s">
        <v>563</v>
      </c>
    </row>
    <row r="22" spans="1:10" ht="32.4">
      <c r="A22" s="41" t="s">
        <v>594</v>
      </c>
      <c r="B22" s="42">
        <v>8</v>
      </c>
      <c r="C22" s="42">
        <f t="shared" ca="1" si="10"/>
        <v>231</v>
      </c>
      <c r="D22" s="42">
        <f t="shared" ca="1" si="5"/>
        <v>224</v>
      </c>
      <c r="E22" s="42">
        <f t="shared" ca="1" si="11"/>
        <v>7</v>
      </c>
      <c r="F22" s="42">
        <f t="shared" ca="1" si="6"/>
        <v>7</v>
      </c>
      <c r="G22" s="42">
        <f t="shared" ca="1" si="7"/>
        <v>0</v>
      </c>
      <c r="H22" s="42" t="s">
        <v>73</v>
      </c>
      <c r="I22" s="48" t="str">
        <f ca="1">INDIRECT("template!I35")</f>
        <v xml:space="preserve">Source blob H </v>
      </c>
      <c r="J22" s="52" t="s">
        <v>563</v>
      </c>
    </row>
    <row r="23" spans="1:10">
      <c r="A23" s="41" t="s">
        <v>87</v>
      </c>
      <c r="B23" s="42">
        <v>24</v>
      </c>
      <c r="C23" s="42">
        <f t="shared" ca="1" si="10"/>
        <v>255</v>
      </c>
      <c r="D23" s="42">
        <f t="shared" ca="1" si="5"/>
        <v>232</v>
      </c>
      <c r="E23" s="42">
        <f t="shared" ca="1" si="11"/>
        <v>7</v>
      </c>
      <c r="F23" s="42">
        <f t="shared" ca="1" si="6"/>
        <v>31</v>
      </c>
      <c r="G23" s="42">
        <f t="shared" ca="1" si="7"/>
        <v>8</v>
      </c>
      <c r="H23" s="42" t="s">
        <v>88</v>
      </c>
      <c r="I23" s="48" t="str">
        <f ca="1">INDIRECT("template!I36")</f>
        <v xml:space="preserve">Source blob W </v>
      </c>
      <c r="J23" s="51">
        <v>0</v>
      </c>
    </row>
    <row r="24" spans="1:10">
      <c r="A24" s="41" t="s">
        <v>135</v>
      </c>
      <c r="B24" s="42">
        <v>32</v>
      </c>
      <c r="C24" s="42">
        <f t="shared" ca="1" si="10"/>
        <v>287</v>
      </c>
      <c r="D24" s="42">
        <f t="shared" ca="1" si="5"/>
        <v>256</v>
      </c>
      <c r="E24" s="42">
        <f t="shared" ca="1" si="11"/>
        <v>8</v>
      </c>
      <c r="F24" s="42">
        <f t="shared" ca="1" si="6"/>
        <v>31</v>
      </c>
      <c r="G24" s="42">
        <f t="shared" ca="1" si="7"/>
        <v>0</v>
      </c>
      <c r="H24" s="42" t="s">
        <v>73</v>
      </c>
      <c r="I24" s="48" t="str">
        <f ca="1">INDIRECT("template!I37")</f>
        <v xml:space="preserve">Destination Blob Number </v>
      </c>
      <c r="J24" s="47" t="s">
        <v>95</v>
      </c>
    </row>
    <row r="25" spans="1:10">
      <c r="A25" s="41" t="s">
        <v>595</v>
      </c>
      <c r="B25" s="42">
        <v>8</v>
      </c>
      <c r="C25" s="42">
        <f t="shared" ca="1" si="10"/>
        <v>295</v>
      </c>
      <c r="D25" s="42">
        <f t="shared" ca="1" si="5"/>
        <v>288</v>
      </c>
      <c r="E25" s="42">
        <f t="shared" ca="1" si="11"/>
        <v>9</v>
      </c>
      <c r="F25" s="42">
        <f t="shared" ca="1" si="6"/>
        <v>7</v>
      </c>
      <c r="G25" s="42">
        <f t="shared" ca="1" si="7"/>
        <v>0</v>
      </c>
      <c r="H25" s="42" t="s">
        <v>73</v>
      </c>
      <c r="I25" s="48" t="str">
        <f ca="1">INDIRECT("template!I38")</f>
        <v xml:space="preserve">Destination blob C </v>
      </c>
      <c r="J25" s="47" t="s">
        <v>95</v>
      </c>
    </row>
    <row r="26" spans="1:10" s="35" customFormat="1">
      <c r="A26" s="41" t="s">
        <v>87</v>
      </c>
      <c r="B26" s="42">
        <v>24</v>
      </c>
      <c r="C26" s="42">
        <f t="shared" ca="1" si="10"/>
        <v>319</v>
      </c>
      <c r="D26" s="42">
        <f t="shared" ca="1" si="5"/>
        <v>296</v>
      </c>
      <c r="E26" s="42">
        <f t="shared" ca="1" si="11"/>
        <v>9</v>
      </c>
      <c r="F26" s="42">
        <f t="shared" ca="1" si="6"/>
        <v>31</v>
      </c>
      <c r="G26" s="42">
        <f t="shared" ca="1" si="7"/>
        <v>8</v>
      </c>
      <c r="H26" s="42" t="s">
        <v>88</v>
      </c>
      <c r="I26" s="48" t="str">
        <f ca="1">INDIRECT("template!I39")</f>
        <v>Destination blob H</v>
      </c>
      <c r="J26" s="51">
        <v>0</v>
      </c>
    </row>
    <row r="27" spans="1:10" ht="280.8">
      <c r="A27" s="41" t="s">
        <v>139</v>
      </c>
      <c r="B27" s="42">
        <v>32</v>
      </c>
      <c r="C27" s="42">
        <f t="shared" ca="1" si="10"/>
        <v>351</v>
      </c>
      <c r="D27" s="42">
        <f t="shared" ca="1" si="5"/>
        <v>320</v>
      </c>
      <c r="E27" s="42">
        <f t="shared" ca="1" si="11"/>
        <v>10</v>
      </c>
      <c r="F27" s="42">
        <f t="shared" ca="1" si="6"/>
        <v>31</v>
      </c>
      <c r="G27" s="42">
        <f t="shared" ca="1" si="7"/>
        <v>0</v>
      </c>
      <c r="H27" s="42" t="s">
        <v>73</v>
      </c>
      <c r="I27" s="48"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27" s="52" t="s">
        <v>606</v>
      </c>
    </row>
    <row r="28" spans="1:10" ht="32.4">
      <c r="A28" s="41" t="s">
        <v>141</v>
      </c>
      <c r="B28" s="42">
        <v>32</v>
      </c>
      <c r="C28" s="42">
        <f t="shared" ca="1" si="10"/>
        <v>383</v>
      </c>
      <c r="D28" s="42">
        <f t="shared" ca="1" si="5"/>
        <v>352</v>
      </c>
      <c r="E28" s="42">
        <f t="shared" ca="1" si="11"/>
        <v>11</v>
      </c>
      <c r="F28" s="42">
        <f t="shared" ca="1" si="6"/>
        <v>31</v>
      </c>
      <c r="G28" s="42">
        <f t="shared" ca="1" si="7"/>
        <v>0</v>
      </c>
      <c r="H28" s="42" t="s">
        <v>73</v>
      </c>
      <c r="I28" s="48" t="str">
        <f ca="1">INDIRECT("template!I43")</f>
        <v>reserved</v>
      </c>
      <c r="J28" s="52" t="s">
        <v>606</v>
      </c>
    </row>
    <row r="29" spans="1:10" s="35" customFormat="1">
      <c r="A29" s="53" t="s">
        <v>571</v>
      </c>
      <c r="H29" s="36"/>
      <c r="I29" s="37"/>
      <c r="J29" s="36"/>
    </row>
    <row r="30" spans="1:10" s="35" customFormat="1">
      <c r="A30" s="53" t="s">
        <v>144</v>
      </c>
      <c r="H30" s="36"/>
      <c r="I30" s="37"/>
      <c r="J30" s="36"/>
    </row>
    <row r="31" spans="1:10" s="35" customFormat="1">
      <c r="A31" s="53" t="s">
        <v>145</v>
      </c>
      <c r="H31" s="36"/>
      <c r="I31" s="37"/>
      <c r="J31" s="36"/>
    </row>
    <row r="32" spans="1:10" s="35" customFormat="1">
      <c r="A32" s="53" t="s">
        <v>146</v>
      </c>
      <c r="H32" s="36"/>
      <c r="I32" s="37"/>
      <c r="J32" s="36"/>
    </row>
    <row r="33" spans="1:1">
      <c r="A33" s="53" t="s">
        <v>147</v>
      </c>
    </row>
  </sheetData>
  <phoneticPr fontId="32" type="noConversion"/>
  <pageMargins left="0.25" right="0.25" top="0.75" bottom="0.75" header="0.3" footer="0.3"/>
  <pageSetup paperSize="9" scale="50"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topLeftCell="A19" zoomScale="85" zoomScaleNormal="85" workbookViewId="0">
      <selection activeCell="F18" sqref="F18"/>
    </sheetView>
  </sheetViews>
  <sheetFormatPr defaultColWidth="8.88671875" defaultRowHeight="16.2"/>
  <cols>
    <col min="1" max="1" width="32.88671875" customWidth="1"/>
    <col min="2" max="2" width="14.88671875" customWidth="1"/>
    <col min="3" max="3" width="13.109375" customWidth="1"/>
    <col min="4" max="4" width="12.44140625" customWidth="1"/>
    <col min="5" max="5" width="19.44140625" style="83" customWidth="1"/>
    <col min="6" max="6" width="14.109375" customWidth="1"/>
    <col min="7" max="7" width="16" customWidth="1"/>
    <col min="8" max="8" width="6.109375" customWidth="1"/>
    <col min="9" max="9" width="170.109375" customWidth="1"/>
    <col min="10" max="10" width="34" style="36" customWidth="1"/>
  </cols>
  <sheetData>
    <row r="1" spans="1:10">
      <c r="A1" s="38" t="s">
        <v>66</v>
      </c>
      <c r="B1" s="39" t="s">
        <v>67</v>
      </c>
      <c r="C1" s="39" t="s">
        <v>68</v>
      </c>
      <c r="D1" s="39" t="s">
        <v>69</v>
      </c>
      <c r="E1" s="39" t="s">
        <v>70</v>
      </c>
      <c r="F1" s="39" t="s">
        <v>71</v>
      </c>
      <c r="G1" s="39" t="s">
        <v>72</v>
      </c>
      <c r="H1" s="40" t="s">
        <v>73</v>
      </c>
      <c r="I1" s="45" t="s">
        <v>74</v>
      </c>
      <c r="J1" s="148" t="s">
        <v>555</v>
      </c>
    </row>
    <row r="2" spans="1:10" ht="46.8">
      <c r="A2" s="41" t="s">
        <v>75</v>
      </c>
      <c r="B2" s="60">
        <v>1</v>
      </c>
      <c r="C2" s="60">
        <f t="shared" ref="C2:C50" si="0">D2+B2-1</f>
        <v>0</v>
      </c>
      <c r="D2" s="60">
        <v>0</v>
      </c>
      <c r="E2" s="60">
        <f t="shared" ref="E2:E50" si="1">ROUNDDOWN(C2/32,0)</f>
        <v>0</v>
      </c>
      <c r="F2" s="60">
        <f t="shared" ref="F2:F50" si="2">C2-E2*32</f>
        <v>0</v>
      </c>
      <c r="G2" s="60">
        <f t="shared" ref="G2:G50" si="3">D2-E2*32</f>
        <v>0</v>
      </c>
      <c r="H2" s="60" t="s">
        <v>73</v>
      </c>
      <c r="I2" s="62" t="str">
        <f ca="1">CONCATENATE(INDIRECT("template!I2"))</f>
        <v>Interrupt Enable;if this bit is set, CPU COULD get interrupt when the instruction is finished 
0: disable interrupt
1: enable interrupt</v>
      </c>
      <c r="J2" s="118" t="s">
        <v>95</v>
      </c>
    </row>
    <row r="3" spans="1:10" ht="46.8">
      <c r="A3" s="41" t="s">
        <v>77</v>
      </c>
      <c r="B3" s="60">
        <v>1</v>
      </c>
      <c r="C3" s="60">
        <f t="shared" ca="1" si="0"/>
        <v>1</v>
      </c>
      <c r="D3" s="60">
        <f t="shared" ref="D3:D50" ca="1" si="4">INDIRECT(ADDRESS(ROW()-1,COLUMN()-1))+1</f>
        <v>1</v>
      </c>
      <c r="E3" s="60">
        <f t="shared" ca="1" si="1"/>
        <v>0</v>
      </c>
      <c r="F3" s="60">
        <f t="shared" ca="1" si="2"/>
        <v>1</v>
      </c>
      <c r="G3" s="60">
        <f t="shared" ca="1" si="3"/>
        <v>1</v>
      </c>
      <c r="H3" s="60" t="s">
        <v>73</v>
      </c>
      <c r="I3" s="62" t="str">
        <f ca="1">CONCATENATE(INDIRECT("template!I3"))</f>
        <v>Stride enable
0：No stride for all blob definition
1：Enable stride for all blob definition</v>
      </c>
      <c r="J3" s="149">
        <v>0</v>
      </c>
    </row>
    <row r="4" spans="1:10" ht="46.8">
      <c r="A4" s="41" t="s">
        <v>79</v>
      </c>
      <c r="B4" s="60">
        <v>1</v>
      </c>
      <c r="C4" s="60">
        <f t="shared" ca="1" si="0"/>
        <v>2</v>
      </c>
      <c r="D4" s="60">
        <f t="shared" ca="1" si="4"/>
        <v>2</v>
      </c>
      <c r="E4" s="60">
        <f t="shared" ca="1" si="1"/>
        <v>0</v>
      </c>
      <c r="F4" s="60">
        <f t="shared" ca="1" si="2"/>
        <v>2</v>
      </c>
      <c r="G4" s="60">
        <f t="shared" ca="1" si="3"/>
        <v>2</v>
      </c>
      <c r="H4" s="60" t="s">
        <v>73</v>
      </c>
      <c r="I4" s="62" t="str">
        <f ca="1">CONCATENATE(INDIRECT("template!I4"))</f>
        <v>NCHW copy bit
0: use separate src and dst NCHW value setting
1: reuse src NCHW value for dst NCHW value</v>
      </c>
      <c r="J4" s="149">
        <v>1</v>
      </c>
    </row>
    <row r="5" spans="1:10" s="36" customFormat="1" ht="31.2">
      <c r="A5" s="41" t="s">
        <v>559</v>
      </c>
      <c r="B5" s="60">
        <v>1</v>
      </c>
      <c r="C5" s="60">
        <f t="shared" ca="1" si="0"/>
        <v>3</v>
      </c>
      <c r="D5" s="60">
        <f t="shared" ca="1" si="4"/>
        <v>3</v>
      </c>
      <c r="E5" s="60">
        <f t="shared" ca="1" si="1"/>
        <v>0</v>
      </c>
      <c r="F5" s="60">
        <f t="shared" ca="1" si="2"/>
        <v>3</v>
      </c>
      <c r="G5" s="60">
        <f t="shared" ca="1" si="3"/>
        <v>3</v>
      </c>
      <c r="H5" s="60" t="s">
        <v>73</v>
      </c>
      <c r="I5" s="62" t="str">
        <f ca="1">CONCATENATE(INDIRECT("template!I5"))</f>
        <v>0:768bit full cmd;
1:128/256/384/512 short cmd</v>
      </c>
      <c r="J5" s="118" t="s">
        <v>95</v>
      </c>
    </row>
    <row r="6" spans="1:10" s="36" customFormat="1" ht="30.9" customHeight="1">
      <c r="A6" s="41" t="s">
        <v>83</v>
      </c>
      <c r="B6" s="60">
        <v>1</v>
      </c>
      <c r="C6" s="60">
        <f t="shared" ca="1" si="0"/>
        <v>4</v>
      </c>
      <c r="D6" s="60">
        <f t="shared" ca="1" si="4"/>
        <v>4</v>
      </c>
      <c r="E6" s="60">
        <f t="shared" ca="1" si="1"/>
        <v>0</v>
      </c>
      <c r="F6" s="60">
        <f t="shared" ca="1" si="2"/>
        <v>4</v>
      </c>
      <c r="G6" s="60">
        <f t="shared" ca="1" si="3"/>
        <v>4</v>
      </c>
      <c r="H6" s="60" t="s">
        <v>73</v>
      </c>
      <c r="I6" s="62" t="str">
        <f ca="1">CONCATENATE(INDIRECT("template!I6"))</f>
        <v>Read cache enable
0: Read not use cache
1: Read use cache</v>
      </c>
      <c r="J6" s="118" t="s">
        <v>95</v>
      </c>
    </row>
    <row r="7" spans="1:10" ht="54.9" customHeight="1">
      <c r="A7" s="41" t="s">
        <v>85</v>
      </c>
      <c r="B7" s="60">
        <v>1</v>
      </c>
      <c r="C7" s="60">
        <f t="shared" ca="1" si="0"/>
        <v>5</v>
      </c>
      <c r="D7" s="60">
        <f t="shared" ca="1" si="4"/>
        <v>5</v>
      </c>
      <c r="E7" s="60">
        <f t="shared" ca="1" si="1"/>
        <v>0</v>
      </c>
      <c r="F7" s="60">
        <f t="shared" ca="1" si="2"/>
        <v>5</v>
      </c>
      <c r="G7" s="60">
        <f t="shared" ca="1" si="3"/>
        <v>5</v>
      </c>
      <c r="H7" s="60" t="s">
        <v>73</v>
      </c>
      <c r="I7" s="62" t="str">
        <f ca="1">CONCATENATE(INDIRECT("template!I7"))</f>
        <v>Flush cache
0: Not Flush cache
1: Flush cache</v>
      </c>
      <c r="J7" s="118" t="s">
        <v>95</v>
      </c>
    </row>
    <row r="8" spans="1:10">
      <c r="A8" s="41" t="s">
        <v>87</v>
      </c>
      <c r="B8" s="60">
        <v>2</v>
      </c>
      <c r="C8" s="60">
        <f t="shared" ca="1" si="0"/>
        <v>7</v>
      </c>
      <c r="D8" s="60">
        <f t="shared" ca="1" si="4"/>
        <v>6</v>
      </c>
      <c r="E8" s="60">
        <f t="shared" ca="1" si="1"/>
        <v>0</v>
      </c>
      <c r="F8" s="60">
        <f t="shared" ca="1" si="2"/>
        <v>7</v>
      </c>
      <c r="G8" s="60">
        <f t="shared" ca="1" si="3"/>
        <v>6</v>
      </c>
      <c r="H8" s="60" t="s">
        <v>88</v>
      </c>
      <c r="I8" s="62" t="str">
        <f ca="1">CONCATENATE(INDIRECT("template!I8"))</f>
        <v>reserved</v>
      </c>
      <c r="J8" s="149">
        <v>0</v>
      </c>
    </row>
    <row r="9" spans="1:10" s="36" customFormat="1" ht="15.9" customHeight="1">
      <c r="A9" s="41" t="s">
        <v>1234</v>
      </c>
      <c r="B9" s="60">
        <v>1</v>
      </c>
      <c r="C9" s="60">
        <f t="shared" si="0"/>
        <v>8</v>
      </c>
      <c r="D9" s="60">
        <v>8</v>
      </c>
      <c r="E9" s="60">
        <v>0</v>
      </c>
      <c r="F9" s="60">
        <v>8</v>
      </c>
      <c r="G9" s="60">
        <v>8</v>
      </c>
      <c r="H9" s="60" t="s">
        <v>1235</v>
      </c>
      <c r="I9" s="62"/>
      <c r="J9" s="118" t="s">
        <v>95</v>
      </c>
    </row>
    <row r="10" spans="1:10">
      <c r="A10" s="41" t="s">
        <v>1236</v>
      </c>
      <c r="B10" s="60">
        <v>1</v>
      </c>
      <c r="C10" s="60">
        <f t="shared" si="0"/>
        <v>9</v>
      </c>
      <c r="D10" s="60">
        <v>9</v>
      </c>
      <c r="E10" s="60">
        <v>0</v>
      </c>
      <c r="F10" s="60">
        <v>9</v>
      </c>
      <c r="G10" s="60">
        <v>9</v>
      </c>
      <c r="H10" s="60" t="s">
        <v>1235</v>
      </c>
      <c r="I10" s="62"/>
      <c r="J10" s="118" t="s">
        <v>95</v>
      </c>
    </row>
    <row r="11" spans="1:10">
      <c r="A11" s="41" t="s">
        <v>1237</v>
      </c>
      <c r="B11" s="60">
        <v>1</v>
      </c>
      <c r="C11" s="60">
        <f t="shared" si="0"/>
        <v>10</v>
      </c>
      <c r="D11" s="60">
        <v>10</v>
      </c>
      <c r="E11" s="60">
        <v>0</v>
      </c>
      <c r="F11" s="60">
        <v>10</v>
      </c>
      <c r="G11" s="60">
        <v>10</v>
      </c>
      <c r="H11" s="60" t="s">
        <v>1235</v>
      </c>
      <c r="I11" s="62"/>
      <c r="J11" s="118" t="s">
        <v>95</v>
      </c>
    </row>
    <row r="12" spans="1:10">
      <c r="A12" s="41" t="s">
        <v>1240</v>
      </c>
      <c r="B12" s="60">
        <v>1</v>
      </c>
      <c r="C12" s="60">
        <v>11</v>
      </c>
      <c r="D12" s="60">
        <v>11</v>
      </c>
      <c r="E12" s="60">
        <v>0</v>
      </c>
      <c r="F12" s="60">
        <v>11</v>
      </c>
      <c r="G12" s="60">
        <v>11</v>
      </c>
      <c r="H12" s="60" t="s">
        <v>1241</v>
      </c>
      <c r="I12" s="62"/>
      <c r="J12" s="118" t="s">
        <v>95</v>
      </c>
    </row>
    <row r="13" spans="1:10" s="36" customFormat="1">
      <c r="A13" s="41" t="s">
        <v>89</v>
      </c>
      <c r="B13" s="60">
        <v>20</v>
      </c>
      <c r="C13" s="60">
        <f t="shared" ca="1" si="0"/>
        <v>31</v>
      </c>
      <c r="D13" s="60">
        <f t="shared" ca="1" si="4"/>
        <v>12</v>
      </c>
      <c r="E13" s="60">
        <f t="shared" ca="1" si="1"/>
        <v>0</v>
      </c>
      <c r="F13" s="60">
        <f t="shared" ca="1" si="2"/>
        <v>31</v>
      </c>
      <c r="G13" s="60">
        <f t="shared" ca="1" si="3"/>
        <v>12</v>
      </c>
      <c r="H13" s="60" t="s">
        <v>88</v>
      </c>
      <c r="I13" s="62" t="str">
        <f ca="1">CONCATENATE(INDIRECT("template!I9"))</f>
        <v/>
      </c>
      <c r="J13" s="149">
        <v>0</v>
      </c>
    </row>
    <row r="14" spans="1:10" ht="93.6">
      <c r="A14" s="41" t="s">
        <v>90</v>
      </c>
      <c r="B14" s="60">
        <v>5</v>
      </c>
      <c r="C14" s="60">
        <f t="shared" ca="1" si="0"/>
        <v>36</v>
      </c>
      <c r="D14" s="60">
        <f t="shared" ca="1" si="4"/>
        <v>32</v>
      </c>
      <c r="E14" s="60">
        <f t="shared" ca="1" si="1"/>
        <v>1</v>
      </c>
      <c r="F14" s="60">
        <f t="shared" ca="1" si="2"/>
        <v>4</v>
      </c>
      <c r="G14" s="60">
        <f t="shared" ref="G14:G24" ca="1" si="5">D14-E14*32</f>
        <v>0</v>
      </c>
      <c r="H14" s="60" t="s">
        <v>73</v>
      </c>
      <c r="I14" s="62" t="str">
        <f ca="1">CONCATENATE(INDIRECT("template!I14"))</f>
        <v>0x0:GDMA_tensor                     0x1:GDMA_matrix
0x2:GDMA_masked_select       0x3:GDMA_general
                                                   0x5:GDMA_nonzero
0x6:GDMA_sys                           0x7:GDMA_gather
0x8:GDMA_scatter                    0x9:GDMA_reverse
0xc:GDMA_lossy_compress      0xd:GDMA_lossy_decompress</v>
      </c>
      <c r="J14" s="118" t="s">
        <v>95</v>
      </c>
    </row>
    <row r="15" spans="1:10" s="36" customFormat="1" ht="31.2">
      <c r="A15" s="41" t="s">
        <v>91</v>
      </c>
      <c r="B15" s="60">
        <v>3</v>
      </c>
      <c r="C15" s="60">
        <f t="shared" ca="1" si="0"/>
        <v>39</v>
      </c>
      <c r="D15" s="60">
        <f t="shared" ca="1" si="4"/>
        <v>37</v>
      </c>
      <c r="E15" s="60">
        <f t="shared" ca="1" si="1"/>
        <v>1</v>
      </c>
      <c r="F15" s="60">
        <f t="shared" ca="1" si="2"/>
        <v>7</v>
      </c>
      <c r="G15" s="60">
        <f t="shared" ca="1" si="5"/>
        <v>5</v>
      </c>
      <c r="H15" s="60" t="s">
        <v>73</v>
      </c>
      <c r="I15" s="62" t="s">
        <v>608</v>
      </c>
      <c r="J15" s="157" t="s">
        <v>574</v>
      </c>
    </row>
    <row r="16" spans="1:10" s="36" customFormat="1">
      <c r="A16" s="41" t="s">
        <v>93</v>
      </c>
      <c r="B16" s="60">
        <v>1</v>
      </c>
      <c r="C16" s="60">
        <f t="shared" ca="1" si="0"/>
        <v>40</v>
      </c>
      <c r="D16" s="60">
        <f t="shared" ca="1" si="4"/>
        <v>40</v>
      </c>
      <c r="E16" s="60">
        <f t="shared" ca="1" si="1"/>
        <v>1</v>
      </c>
      <c r="F16" s="60">
        <f t="shared" ca="1" si="2"/>
        <v>8</v>
      </c>
      <c r="G16" s="60">
        <f t="shared" ca="1" si="5"/>
        <v>8</v>
      </c>
      <c r="H16" s="60" t="s">
        <v>73</v>
      </c>
      <c r="I16" s="62" t="s">
        <v>573</v>
      </c>
      <c r="J16" s="157" t="s">
        <v>574</v>
      </c>
    </row>
    <row r="17" spans="1:10" s="36" customFormat="1" ht="156">
      <c r="A17" s="41" t="s">
        <v>96</v>
      </c>
      <c r="B17" s="60">
        <v>4</v>
      </c>
      <c r="C17" s="60">
        <f t="shared" ref="C17:C24" ca="1" si="6">D17+B17-1</f>
        <v>44</v>
      </c>
      <c r="D17" s="60">
        <f t="shared" ref="D17:D24" ca="1" si="7">INDIRECT(ADDRESS(ROW()-1,COLUMN()-1))+1</f>
        <v>41</v>
      </c>
      <c r="E17" s="60">
        <f t="shared" ref="E17:E24" ca="1" si="8">ROUNDDOWN(C17/32,0)</f>
        <v>1</v>
      </c>
      <c r="F17" s="60">
        <f t="shared" ref="F17:F24" ca="1" si="9">C17-E17*32</f>
        <v>12</v>
      </c>
      <c r="G17" s="60">
        <f t="shared" ca="1" si="5"/>
        <v>9</v>
      </c>
      <c r="H17" s="60" t="s">
        <v>73</v>
      </c>
      <c r="I17" s="62" t="s">
        <v>1336</v>
      </c>
      <c r="J17" s="118" t="s">
        <v>95</v>
      </c>
    </row>
    <row r="18" spans="1:10" s="36" customFormat="1" ht="78">
      <c r="A18" s="41" t="s">
        <v>609</v>
      </c>
      <c r="B18" s="60">
        <v>4</v>
      </c>
      <c r="C18" s="60">
        <f t="shared" ca="1" si="6"/>
        <v>48</v>
      </c>
      <c r="D18" s="60">
        <f t="shared" ca="1" si="7"/>
        <v>45</v>
      </c>
      <c r="E18" s="60">
        <f t="shared" ca="1" si="8"/>
        <v>1</v>
      </c>
      <c r="F18" s="60">
        <f t="shared" ca="1" si="9"/>
        <v>16</v>
      </c>
      <c r="G18" s="60">
        <f t="shared" ca="1" si="5"/>
        <v>13</v>
      </c>
      <c r="H18" s="60" t="s">
        <v>73</v>
      </c>
      <c r="I18" s="62" t="s">
        <v>610</v>
      </c>
      <c r="J18" s="118" t="s">
        <v>95</v>
      </c>
    </row>
    <row r="19" spans="1:10" s="36" customFormat="1">
      <c r="A19" s="41" t="s">
        <v>87</v>
      </c>
      <c r="B19" s="60">
        <v>15</v>
      </c>
      <c r="C19" s="60">
        <f t="shared" ca="1" si="6"/>
        <v>63</v>
      </c>
      <c r="D19" s="60">
        <f t="shared" ca="1" si="7"/>
        <v>49</v>
      </c>
      <c r="E19" s="60">
        <f t="shared" ca="1" si="8"/>
        <v>1</v>
      </c>
      <c r="F19" s="60">
        <f t="shared" ca="1" si="9"/>
        <v>31</v>
      </c>
      <c r="G19" s="60">
        <f t="shared" ca="1" si="5"/>
        <v>17</v>
      </c>
      <c r="H19" s="60" t="s">
        <v>88</v>
      </c>
      <c r="I19" s="62" t="str">
        <f ca="1">CONCATENATE(INDIRECT("template!I19"))</f>
        <v>reserved (for CDMA src_hsize[31:16], GDMA must tie 0)</v>
      </c>
      <c r="J19" s="149">
        <v>0</v>
      </c>
    </row>
    <row r="20" spans="1:10" s="36" customFormat="1" ht="29.1" customHeight="1">
      <c r="A20" s="41" t="s">
        <v>97</v>
      </c>
      <c r="B20" s="60">
        <v>21</v>
      </c>
      <c r="C20" s="60">
        <f t="shared" ca="1" si="6"/>
        <v>84</v>
      </c>
      <c r="D20" s="60">
        <f t="shared" ca="1" si="7"/>
        <v>64</v>
      </c>
      <c r="E20" s="60">
        <f t="shared" ca="1" si="8"/>
        <v>2</v>
      </c>
      <c r="F20" s="60">
        <f t="shared" ca="1" si="9"/>
        <v>20</v>
      </c>
      <c r="G20" s="60">
        <f t="shared" ca="1" si="5"/>
        <v>0</v>
      </c>
      <c r="H20" s="60" t="s">
        <v>73</v>
      </c>
      <c r="I20" s="62" t="s">
        <v>1334</v>
      </c>
      <c r="J20" s="118" t="s">
        <v>95</v>
      </c>
    </row>
    <row r="21" spans="1:10">
      <c r="A21" s="41" t="s">
        <v>87</v>
      </c>
      <c r="B21" s="60">
        <v>2</v>
      </c>
      <c r="C21" s="60">
        <v>86</v>
      </c>
      <c r="D21" s="60">
        <v>85</v>
      </c>
      <c r="E21" s="60">
        <f t="shared" si="8"/>
        <v>2</v>
      </c>
      <c r="F21" s="60">
        <v>22</v>
      </c>
      <c r="G21" s="60">
        <f t="shared" si="5"/>
        <v>21</v>
      </c>
      <c r="H21" s="60" t="s">
        <v>988</v>
      </c>
      <c r="I21" s="62" t="s">
        <v>87</v>
      </c>
      <c r="J21" s="148"/>
    </row>
    <row r="22" spans="1:10">
      <c r="A22" s="41" t="s">
        <v>979</v>
      </c>
      <c r="B22" s="60">
        <v>1</v>
      </c>
      <c r="C22" s="60">
        <v>87</v>
      </c>
      <c r="D22" s="60">
        <v>87</v>
      </c>
      <c r="E22" s="60">
        <v>2</v>
      </c>
      <c r="F22" s="60">
        <v>23</v>
      </c>
      <c r="G22" s="60">
        <v>23</v>
      </c>
      <c r="H22" s="60" t="s">
        <v>989</v>
      </c>
      <c r="I22" s="62" t="s">
        <v>990</v>
      </c>
      <c r="J22" s="148"/>
    </row>
    <row r="23" spans="1:10">
      <c r="A23" s="41" t="s">
        <v>87</v>
      </c>
      <c r="B23" s="60">
        <v>8</v>
      </c>
      <c r="C23" s="60">
        <f t="shared" ref="C23" ca="1" si="10">D23+B23-1</f>
        <v>95</v>
      </c>
      <c r="D23" s="60">
        <f t="shared" ref="D23" ca="1" si="11">INDIRECT(ADDRESS(ROW()-1,COLUMN()-1))+1</f>
        <v>88</v>
      </c>
      <c r="E23" s="60">
        <f t="shared" ca="1" si="8"/>
        <v>2</v>
      </c>
      <c r="F23" s="60">
        <v>31</v>
      </c>
      <c r="G23" s="60">
        <f t="shared" ca="1" si="5"/>
        <v>24</v>
      </c>
      <c r="H23" s="60" t="s">
        <v>88</v>
      </c>
      <c r="I23" s="62" t="s">
        <v>87</v>
      </c>
      <c r="J23" s="148"/>
    </row>
    <row r="24" spans="1:10">
      <c r="A24" s="41" t="s">
        <v>98</v>
      </c>
      <c r="B24" s="60">
        <v>32</v>
      </c>
      <c r="C24" s="60">
        <f t="shared" ca="1" si="6"/>
        <v>127</v>
      </c>
      <c r="D24" s="60">
        <f t="shared" ca="1" si="7"/>
        <v>96</v>
      </c>
      <c r="E24" s="60">
        <f t="shared" ca="1" si="8"/>
        <v>3</v>
      </c>
      <c r="F24" s="60">
        <f t="shared" ca="1" si="9"/>
        <v>31</v>
      </c>
      <c r="G24" s="60">
        <f t="shared" ca="1" si="5"/>
        <v>0</v>
      </c>
      <c r="H24" s="60" t="s">
        <v>73</v>
      </c>
      <c r="I24" s="62" t="str">
        <f ca="1">CONCATENATE(INDIRECT("template!I24"))</f>
        <v>when cmd_special_function==fill constant, this field means constant value</v>
      </c>
      <c r="J24" s="157" t="s">
        <v>574</v>
      </c>
    </row>
    <row r="25" spans="1:10">
      <c r="A25" s="41" t="s">
        <v>1263</v>
      </c>
      <c r="B25" s="60">
        <v>32</v>
      </c>
      <c r="C25" s="60">
        <f t="shared" ca="1" si="0"/>
        <v>159</v>
      </c>
      <c r="D25" s="60">
        <f t="shared" ca="1" si="4"/>
        <v>128</v>
      </c>
      <c r="E25" s="60">
        <f t="shared" ca="1" si="1"/>
        <v>4</v>
      </c>
      <c r="F25" s="60">
        <f t="shared" ca="1" si="2"/>
        <v>31</v>
      </c>
      <c r="G25" s="60">
        <f t="shared" ca="1" si="3"/>
        <v>0</v>
      </c>
      <c r="H25" s="60" t="s">
        <v>73</v>
      </c>
      <c r="I25" s="62" t="s">
        <v>1263</v>
      </c>
      <c r="J25" s="157" t="s">
        <v>574</v>
      </c>
    </row>
    <row r="26" spans="1:10">
      <c r="A26" s="41" t="s">
        <v>1263</v>
      </c>
      <c r="B26" s="60">
        <v>32</v>
      </c>
      <c r="C26" s="60">
        <f t="shared" ca="1" si="0"/>
        <v>191</v>
      </c>
      <c r="D26" s="60">
        <f t="shared" ca="1" si="4"/>
        <v>160</v>
      </c>
      <c r="E26" s="60">
        <f t="shared" ca="1" si="1"/>
        <v>5</v>
      </c>
      <c r="F26" s="60">
        <f t="shared" ca="1" si="2"/>
        <v>31</v>
      </c>
      <c r="G26" s="60">
        <f t="shared" ca="1" si="3"/>
        <v>0</v>
      </c>
      <c r="H26" s="60" t="s">
        <v>73</v>
      </c>
      <c r="I26" s="62" t="s">
        <v>1263</v>
      </c>
      <c r="J26" s="157" t="s">
        <v>574</v>
      </c>
    </row>
    <row r="27" spans="1:10">
      <c r="A27" s="41" t="s">
        <v>1263</v>
      </c>
      <c r="B27" s="60">
        <v>32</v>
      </c>
      <c r="C27" s="60">
        <f t="shared" ca="1" si="0"/>
        <v>223</v>
      </c>
      <c r="D27" s="60">
        <f t="shared" ca="1" si="4"/>
        <v>192</v>
      </c>
      <c r="E27" s="60">
        <f t="shared" ca="1" si="1"/>
        <v>6</v>
      </c>
      <c r="F27" s="60">
        <f t="shared" ca="1" si="2"/>
        <v>31</v>
      </c>
      <c r="G27" s="60">
        <f t="shared" ca="1" si="3"/>
        <v>0</v>
      </c>
      <c r="H27" s="60" t="s">
        <v>73</v>
      </c>
      <c r="I27" s="62" t="s">
        <v>1263</v>
      </c>
      <c r="J27" s="157" t="s">
        <v>574</v>
      </c>
    </row>
    <row r="28" spans="1:10">
      <c r="A28" s="41" t="s">
        <v>1263</v>
      </c>
      <c r="B28" s="60">
        <v>32</v>
      </c>
      <c r="C28" s="60">
        <f t="shared" ca="1" si="0"/>
        <v>255</v>
      </c>
      <c r="D28" s="60">
        <f t="shared" ca="1" si="4"/>
        <v>224</v>
      </c>
      <c r="E28" s="60">
        <f t="shared" ca="1" si="1"/>
        <v>7</v>
      </c>
      <c r="F28" s="60">
        <f t="shared" ca="1" si="2"/>
        <v>31</v>
      </c>
      <c r="G28" s="60">
        <f t="shared" ca="1" si="3"/>
        <v>0</v>
      </c>
      <c r="H28" s="60" t="s">
        <v>73</v>
      </c>
      <c r="I28" s="62" t="s">
        <v>1263</v>
      </c>
      <c r="J28" s="157" t="s">
        <v>574</v>
      </c>
    </row>
    <row r="29" spans="1:10">
      <c r="A29" s="41" t="s">
        <v>611</v>
      </c>
      <c r="B29" s="60">
        <v>32</v>
      </c>
      <c r="C29" s="60">
        <f t="shared" ca="1" si="0"/>
        <v>287</v>
      </c>
      <c r="D29" s="60">
        <f t="shared" ca="1" si="4"/>
        <v>256</v>
      </c>
      <c r="E29" s="60">
        <f t="shared" ca="1" si="1"/>
        <v>8</v>
      </c>
      <c r="F29" s="60">
        <f t="shared" ca="1" si="2"/>
        <v>31</v>
      </c>
      <c r="G29" s="60">
        <f t="shared" ca="1" si="3"/>
        <v>0</v>
      </c>
      <c r="H29" s="60" t="s">
        <v>73</v>
      </c>
      <c r="I29" s="62" t="s">
        <v>612</v>
      </c>
      <c r="J29" s="118" t="s">
        <v>95</v>
      </c>
    </row>
    <row r="30" spans="1:10">
      <c r="A30" s="41" t="s">
        <v>1263</v>
      </c>
      <c r="B30" s="60">
        <v>32</v>
      </c>
      <c r="C30" s="60">
        <f t="shared" ca="1" si="0"/>
        <v>319</v>
      </c>
      <c r="D30" s="60">
        <f t="shared" ca="1" si="4"/>
        <v>288</v>
      </c>
      <c r="E30" s="60">
        <f t="shared" ca="1" si="1"/>
        <v>9</v>
      </c>
      <c r="F30" s="60">
        <f t="shared" ca="1" si="2"/>
        <v>31</v>
      </c>
      <c r="G30" s="60">
        <f t="shared" ca="1" si="3"/>
        <v>0</v>
      </c>
      <c r="H30" s="60" t="s">
        <v>73</v>
      </c>
      <c r="I30" s="62" t="s">
        <v>1263</v>
      </c>
      <c r="J30" s="157" t="s">
        <v>574</v>
      </c>
    </row>
    <row r="31" spans="1:10">
      <c r="A31" s="41" t="s">
        <v>1263</v>
      </c>
      <c r="B31" s="60">
        <v>32</v>
      </c>
      <c r="C31" s="60">
        <f t="shared" ca="1" si="0"/>
        <v>351</v>
      </c>
      <c r="D31" s="60">
        <f t="shared" ca="1" si="4"/>
        <v>320</v>
      </c>
      <c r="E31" s="60">
        <f t="shared" ca="1" si="1"/>
        <v>10</v>
      </c>
      <c r="F31" s="60">
        <f t="shared" ca="1" si="2"/>
        <v>31</v>
      </c>
      <c r="G31" s="60">
        <f t="shared" ca="1" si="3"/>
        <v>0</v>
      </c>
      <c r="H31" s="60" t="s">
        <v>73</v>
      </c>
      <c r="I31" s="62" t="s">
        <v>1263</v>
      </c>
      <c r="J31" s="157" t="s">
        <v>574</v>
      </c>
    </row>
    <row r="32" spans="1:10">
      <c r="A32" s="41" t="s">
        <v>1263</v>
      </c>
      <c r="B32" s="60">
        <v>32</v>
      </c>
      <c r="C32" s="60">
        <f t="shared" ca="1" si="0"/>
        <v>383</v>
      </c>
      <c r="D32" s="60">
        <f t="shared" ca="1" si="4"/>
        <v>352</v>
      </c>
      <c r="E32" s="60">
        <f t="shared" ca="1" si="1"/>
        <v>11</v>
      </c>
      <c r="F32" s="60">
        <f t="shared" ca="1" si="2"/>
        <v>31</v>
      </c>
      <c r="G32" s="60">
        <f t="shared" ca="1" si="3"/>
        <v>0</v>
      </c>
      <c r="H32" s="60" t="s">
        <v>73</v>
      </c>
      <c r="I32" s="62" t="s">
        <v>1263</v>
      </c>
      <c r="J32" s="157" t="s">
        <v>574</v>
      </c>
    </row>
    <row r="33" spans="1:10">
      <c r="A33" s="41" t="s">
        <v>116</v>
      </c>
      <c r="B33" s="60">
        <v>16</v>
      </c>
      <c r="C33" s="60">
        <f t="shared" ca="1" si="0"/>
        <v>399</v>
      </c>
      <c r="D33" s="60">
        <f t="shared" ca="1" si="4"/>
        <v>384</v>
      </c>
      <c r="E33" s="60">
        <f t="shared" ca="1" si="1"/>
        <v>12</v>
      </c>
      <c r="F33" s="60">
        <f t="shared" ca="1" si="2"/>
        <v>15</v>
      </c>
      <c r="G33" s="60">
        <f t="shared" ca="1" si="3"/>
        <v>0</v>
      </c>
      <c r="H33" s="60" t="s">
        <v>73</v>
      </c>
      <c r="I33" s="62" t="str">
        <f ca="1">INDIRECT("template!I33")</f>
        <v>Source Blob Number</v>
      </c>
      <c r="J33" s="118" t="s">
        <v>95</v>
      </c>
    </row>
    <row r="34" spans="1:10">
      <c r="A34" s="41" t="s">
        <v>118</v>
      </c>
      <c r="B34" s="60">
        <v>16</v>
      </c>
      <c r="C34" s="60">
        <f t="shared" ca="1" si="0"/>
        <v>415</v>
      </c>
      <c r="D34" s="60">
        <f t="shared" ca="1" si="4"/>
        <v>400</v>
      </c>
      <c r="E34" s="60">
        <f t="shared" ca="1" si="1"/>
        <v>12</v>
      </c>
      <c r="F34" s="60">
        <f t="shared" ca="1" si="2"/>
        <v>31</v>
      </c>
      <c r="G34" s="60">
        <f t="shared" ca="1" si="3"/>
        <v>16</v>
      </c>
      <c r="H34" s="60" t="s">
        <v>73</v>
      </c>
      <c r="I34" s="62" t="str">
        <f ca="1">INDIRECT("template!I34")</f>
        <v>Source blob C</v>
      </c>
      <c r="J34" s="118" t="s">
        <v>95</v>
      </c>
    </row>
    <row r="35" spans="1:10">
      <c r="A35" s="41" t="s">
        <v>120</v>
      </c>
      <c r="B35" s="60">
        <v>16</v>
      </c>
      <c r="C35" s="60">
        <f t="shared" ca="1" si="0"/>
        <v>431</v>
      </c>
      <c r="D35" s="60">
        <f t="shared" ca="1" si="4"/>
        <v>416</v>
      </c>
      <c r="E35" s="60">
        <f t="shared" ca="1" si="1"/>
        <v>13</v>
      </c>
      <c r="F35" s="60">
        <f t="shared" ca="1" si="2"/>
        <v>15</v>
      </c>
      <c r="G35" s="60">
        <f t="shared" ca="1" si="3"/>
        <v>0</v>
      </c>
      <c r="H35" s="60" t="s">
        <v>73</v>
      </c>
      <c r="I35" s="62" t="str">
        <f ca="1">INDIRECT("template!I35")</f>
        <v xml:space="preserve">Source blob H </v>
      </c>
      <c r="J35" s="118" t="s">
        <v>95</v>
      </c>
    </row>
    <row r="36" spans="1:10">
      <c r="A36" s="41" t="s">
        <v>122</v>
      </c>
      <c r="B36" s="60">
        <v>16</v>
      </c>
      <c r="C36" s="60">
        <f t="shared" ca="1" si="0"/>
        <v>447</v>
      </c>
      <c r="D36" s="60">
        <f t="shared" ca="1" si="4"/>
        <v>432</v>
      </c>
      <c r="E36" s="60">
        <f t="shared" ca="1" si="1"/>
        <v>13</v>
      </c>
      <c r="F36" s="60">
        <f t="shared" ca="1" si="2"/>
        <v>31</v>
      </c>
      <c r="G36" s="60">
        <f t="shared" ca="1" si="3"/>
        <v>16</v>
      </c>
      <c r="H36" s="60" t="s">
        <v>73</v>
      </c>
      <c r="I36" s="62" t="str">
        <f ca="1">INDIRECT("template!I36")</f>
        <v xml:space="preserve">Source blob W </v>
      </c>
      <c r="J36" s="118" t="s">
        <v>95</v>
      </c>
    </row>
    <row r="37" spans="1:10" s="36" customFormat="1">
      <c r="A37" s="41" t="s">
        <v>1263</v>
      </c>
      <c r="B37" s="60">
        <v>16</v>
      </c>
      <c r="C37" s="60">
        <f t="shared" ca="1" si="0"/>
        <v>463</v>
      </c>
      <c r="D37" s="60">
        <f t="shared" ca="1" si="4"/>
        <v>448</v>
      </c>
      <c r="E37" s="60">
        <f t="shared" ca="1" si="1"/>
        <v>14</v>
      </c>
      <c r="F37" s="60">
        <f t="shared" ca="1" si="2"/>
        <v>15</v>
      </c>
      <c r="G37" s="60">
        <f t="shared" ca="1" si="3"/>
        <v>0</v>
      </c>
      <c r="H37" s="60" t="s">
        <v>73</v>
      </c>
      <c r="I37" s="62" t="s">
        <v>1263</v>
      </c>
      <c r="J37" s="157" t="s">
        <v>574</v>
      </c>
    </row>
    <row r="38" spans="1:10" s="36" customFormat="1">
      <c r="A38" s="41" t="s">
        <v>1263</v>
      </c>
      <c r="B38" s="60">
        <v>16</v>
      </c>
      <c r="C38" s="60">
        <f t="shared" ca="1" si="0"/>
        <v>479</v>
      </c>
      <c r="D38" s="60">
        <f t="shared" ca="1" si="4"/>
        <v>464</v>
      </c>
      <c r="E38" s="60">
        <f t="shared" ca="1" si="1"/>
        <v>14</v>
      </c>
      <c r="F38" s="60">
        <f t="shared" ca="1" si="2"/>
        <v>31</v>
      </c>
      <c r="G38" s="60">
        <f t="shared" ca="1" si="3"/>
        <v>16</v>
      </c>
      <c r="H38" s="60" t="s">
        <v>73</v>
      </c>
      <c r="I38" s="62" t="s">
        <v>1263</v>
      </c>
      <c r="J38" s="157" t="s">
        <v>574</v>
      </c>
    </row>
    <row r="39" spans="1:10" s="36" customFormat="1">
      <c r="A39" s="44" t="s">
        <v>1265</v>
      </c>
      <c r="B39" s="125">
        <v>16</v>
      </c>
      <c r="C39" s="125">
        <f t="shared" ca="1" si="0"/>
        <v>495</v>
      </c>
      <c r="D39" s="125">
        <f t="shared" ca="1" si="4"/>
        <v>480</v>
      </c>
      <c r="E39" s="125">
        <f t="shared" ca="1" si="1"/>
        <v>15</v>
      </c>
      <c r="F39" s="125">
        <f t="shared" ca="1" si="2"/>
        <v>15</v>
      </c>
      <c r="G39" s="125">
        <f t="shared" ca="1" si="3"/>
        <v>0</v>
      </c>
      <c r="H39" s="125" t="s">
        <v>73</v>
      </c>
      <c r="I39" s="126" t="s">
        <v>1269</v>
      </c>
      <c r="J39" s="118" t="s">
        <v>95</v>
      </c>
    </row>
    <row r="40" spans="1:10" s="36" customFormat="1">
      <c r="A40" s="44" t="s">
        <v>1264</v>
      </c>
      <c r="B40" s="125">
        <v>16</v>
      </c>
      <c r="C40" s="125">
        <f t="shared" ca="1" si="0"/>
        <v>511</v>
      </c>
      <c r="D40" s="125">
        <f t="shared" ca="1" si="4"/>
        <v>496</v>
      </c>
      <c r="E40" s="125">
        <f t="shared" ca="1" si="1"/>
        <v>15</v>
      </c>
      <c r="F40" s="125">
        <f t="shared" ca="1" si="2"/>
        <v>31</v>
      </c>
      <c r="G40" s="125">
        <f t="shared" ca="1" si="3"/>
        <v>16</v>
      </c>
      <c r="H40" s="125" t="s">
        <v>73</v>
      </c>
      <c r="I40" s="126" t="s">
        <v>1268</v>
      </c>
      <c r="J40" s="118" t="s">
        <v>95</v>
      </c>
    </row>
    <row r="41" spans="1:10" s="36" customFormat="1">
      <c r="A41" s="41" t="s">
        <v>132</v>
      </c>
      <c r="B41" s="60">
        <v>32</v>
      </c>
      <c r="C41" s="60">
        <f t="shared" ca="1" si="0"/>
        <v>543</v>
      </c>
      <c r="D41" s="60">
        <f t="shared" ca="1" si="4"/>
        <v>512</v>
      </c>
      <c r="E41" s="60">
        <f t="shared" ca="1" si="1"/>
        <v>16</v>
      </c>
      <c r="F41" s="60">
        <f t="shared" ca="1" si="2"/>
        <v>31</v>
      </c>
      <c r="G41" s="60">
        <f t="shared" ca="1" si="3"/>
        <v>0</v>
      </c>
      <c r="H41" s="60" t="s">
        <v>73</v>
      </c>
      <c r="I41" s="62" t="str">
        <f ca="1">INDIRECT("template!I41")</f>
        <v>source blob start address[31:0]</v>
      </c>
      <c r="J41" s="150" t="s">
        <v>95</v>
      </c>
    </row>
    <row r="42" spans="1:10" s="36" customFormat="1" ht="280.8">
      <c r="A42" s="41" t="s">
        <v>134</v>
      </c>
      <c r="B42" s="60">
        <v>13</v>
      </c>
      <c r="C42" s="60">
        <f t="shared" ca="1" si="0"/>
        <v>556</v>
      </c>
      <c r="D42" s="60">
        <f t="shared" ca="1" si="4"/>
        <v>544</v>
      </c>
      <c r="E42" s="60">
        <f t="shared" ca="1" si="1"/>
        <v>17</v>
      </c>
      <c r="F42" s="60">
        <f t="shared" ca="1" si="2"/>
        <v>12</v>
      </c>
      <c r="G42" s="60">
        <f t="shared" ca="1" si="3"/>
        <v>0</v>
      </c>
      <c r="H42" s="60" t="s">
        <v>73</v>
      </c>
      <c r="I42" s="62"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42" s="150" t="s">
        <v>95</v>
      </c>
    </row>
    <row r="43" spans="1:10">
      <c r="A43" s="41" t="s">
        <v>87</v>
      </c>
      <c r="B43" s="60">
        <v>19</v>
      </c>
      <c r="C43" s="60">
        <f t="shared" ca="1" si="0"/>
        <v>575</v>
      </c>
      <c r="D43" s="60">
        <f t="shared" ca="1" si="4"/>
        <v>557</v>
      </c>
      <c r="E43" s="60">
        <f t="shared" ca="1" si="1"/>
        <v>17</v>
      </c>
      <c r="F43" s="60">
        <f t="shared" ca="1" si="2"/>
        <v>31</v>
      </c>
      <c r="G43" s="60">
        <f t="shared" ca="1" si="3"/>
        <v>13</v>
      </c>
      <c r="H43" s="60" t="s">
        <v>88</v>
      </c>
      <c r="I43" s="62" t="str">
        <f ca="1">INDIRECT("template!I43")</f>
        <v>reserved</v>
      </c>
      <c r="J43" s="149">
        <v>0</v>
      </c>
    </row>
    <row r="44" spans="1:10">
      <c r="A44" s="41" t="s">
        <v>135</v>
      </c>
      <c r="B44" s="60">
        <v>32</v>
      </c>
      <c r="C44" s="60">
        <f t="shared" ca="1" si="0"/>
        <v>607</v>
      </c>
      <c r="D44" s="60">
        <f t="shared" ca="1" si="4"/>
        <v>576</v>
      </c>
      <c r="E44" s="60">
        <f t="shared" ca="1" si="1"/>
        <v>18</v>
      </c>
      <c r="F44" s="60">
        <f t="shared" ca="1" si="2"/>
        <v>31</v>
      </c>
      <c r="G44" s="60">
        <f t="shared" ca="1" si="3"/>
        <v>0</v>
      </c>
      <c r="H44" s="60" t="s">
        <v>73</v>
      </c>
      <c r="I44" s="62" t="str">
        <f ca="1">INDIRECT("template!I44")</f>
        <v>destination blob start address[31:0]</v>
      </c>
      <c r="J44" s="118" t="s">
        <v>95</v>
      </c>
    </row>
    <row r="45" spans="1:10" ht="280.8">
      <c r="A45" s="41" t="s">
        <v>137</v>
      </c>
      <c r="B45" s="60">
        <v>13</v>
      </c>
      <c r="C45" s="60">
        <f t="shared" ca="1" si="0"/>
        <v>620</v>
      </c>
      <c r="D45" s="60">
        <f t="shared" ca="1" si="4"/>
        <v>608</v>
      </c>
      <c r="E45" s="60">
        <f t="shared" ca="1" si="1"/>
        <v>19</v>
      </c>
      <c r="F45" s="60">
        <f t="shared" ca="1" si="2"/>
        <v>12</v>
      </c>
      <c r="G45" s="60">
        <f t="shared" ca="1" si="3"/>
        <v>0</v>
      </c>
      <c r="H45" s="60" t="s">
        <v>73</v>
      </c>
      <c r="I45" s="62" t="str">
        <f ca="1">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dst is tiu, otherwise, dst is DTN</v>
      </c>
      <c r="J45" s="118" t="s">
        <v>95</v>
      </c>
    </row>
    <row r="46" spans="1:10">
      <c r="A46" s="41" t="s">
        <v>87</v>
      </c>
      <c r="B46" s="60">
        <v>19</v>
      </c>
      <c r="C46" s="60">
        <f t="shared" ca="1" si="0"/>
        <v>639</v>
      </c>
      <c r="D46" s="60">
        <f t="shared" ca="1" si="4"/>
        <v>621</v>
      </c>
      <c r="E46" s="60">
        <f t="shared" ca="1" si="1"/>
        <v>19</v>
      </c>
      <c r="F46" s="60">
        <f t="shared" ca="1" si="2"/>
        <v>31</v>
      </c>
      <c r="G46" s="60">
        <f t="shared" ca="1" si="3"/>
        <v>13</v>
      </c>
      <c r="H46" s="60" t="s">
        <v>88</v>
      </c>
      <c r="I46" s="62" t="str">
        <f ca="1">INDIRECT("template!I46")</f>
        <v>reserved</v>
      </c>
      <c r="J46" s="149">
        <v>0</v>
      </c>
    </row>
    <row r="47" spans="1:10">
      <c r="A47" s="41" t="s">
        <v>89</v>
      </c>
      <c r="B47" s="60">
        <v>32</v>
      </c>
      <c r="C47" s="60">
        <f t="shared" ca="1" si="0"/>
        <v>671</v>
      </c>
      <c r="D47" s="60">
        <f t="shared" ca="1" si="4"/>
        <v>640</v>
      </c>
      <c r="E47" s="60">
        <f t="shared" ca="1" si="1"/>
        <v>20</v>
      </c>
      <c r="F47" s="60">
        <f t="shared" ca="1" si="2"/>
        <v>31</v>
      </c>
      <c r="G47" s="60">
        <f t="shared" ca="1" si="3"/>
        <v>0</v>
      </c>
      <c r="H47" s="60" t="s">
        <v>88</v>
      </c>
      <c r="I47" s="62" t="str">
        <f ca="1">INDIRECT("template!I46")</f>
        <v>reserved</v>
      </c>
      <c r="J47" s="149">
        <v>0</v>
      </c>
    </row>
    <row r="48" spans="1:10">
      <c r="A48" s="41" t="s">
        <v>89</v>
      </c>
      <c r="B48" s="60">
        <v>32</v>
      </c>
      <c r="C48" s="60">
        <f t="shared" ca="1" si="0"/>
        <v>703</v>
      </c>
      <c r="D48" s="60">
        <f t="shared" ca="1" si="4"/>
        <v>672</v>
      </c>
      <c r="E48" s="60">
        <f t="shared" ca="1" si="1"/>
        <v>21</v>
      </c>
      <c r="F48" s="60">
        <f t="shared" ca="1" si="2"/>
        <v>31</v>
      </c>
      <c r="G48" s="60">
        <f t="shared" ca="1" si="3"/>
        <v>0</v>
      </c>
      <c r="H48" s="60" t="s">
        <v>88</v>
      </c>
      <c r="I48" s="62" t="str">
        <f ca="1">INDIRECT("template!I49")</f>
        <v>reserved</v>
      </c>
      <c r="J48" s="149">
        <v>0</v>
      </c>
    </row>
    <row r="49" spans="1:10">
      <c r="A49" s="41" t="s">
        <v>139</v>
      </c>
      <c r="B49" s="60">
        <v>32</v>
      </c>
      <c r="C49" s="60">
        <f t="shared" ca="1" si="0"/>
        <v>735</v>
      </c>
      <c r="D49" s="60">
        <f t="shared" ca="1" si="4"/>
        <v>704</v>
      </c>
      <c r="E49" s="60">
        <f t="shared" ca="1" si="1"/>
        <v>22</v>
      </c>
      <c r="F49" s="60">
        <f t="shared" ca="1" si="2"/>
        <v>31</v>
      </c>
      <c r="G49" s="60">
        <f t="shared" ca="1" si="3"/>
        <v>0</v>
      </c>
      <c r="H49" s="60" t="s">
        <v>73</v>
      </c>
      <c r="I49" s="62" t="str">
        <f ca="1">INDIRECT("template!I51")</f>
        <v>used to announce is the local memory mask or not, 1 means enable access, 0 means disable access (bit 0 corresponds local memory index32)</v>
      </c>
      <c r="J49" s="157" t="s">
        <v>574</v>
      </c>
    </row>
    <row r="50" spans="1:10">
      <c r="A50" s="41" t="s">
        <v>141</v>
      </c>
      <c r="B50" s="60">
        <v>32</v>
      </c>
      <c r="C50" s="60">
        <f t="shared" ca="1" si="0"/>
        <v>767</v>
      </c>
      <c r="D50" s="60">
        <f t="shared" ca="1" si="4"/>
        <v>736</v>
      </c>
      <c r="E50" s="60">
        <f t="shared" ca="1" si="1"/>
        <v>23</v>
      </c>
      <c r="F50" s="60">
        <f t="shared" ca="1" si="2"/>
        <v>31</v>
      </c>
      <c r="G50" s="60">
        <f t="shared" ca="1" si="3"/>
        <v>0</v>
      </c>
      <c r="H50" s="60" t="s">
        <v>73</v>
      </c>
      <c r="I50" s="62">
        <f ca="1">INDIRECT("template!I52")</f>
        <v>0</v>
      </c>
      <c r="J50" s="157" t="s">
        <v>574</v>
      </c>
    </row>
    <row r="51" spans="1:10">
      <c r="A51" s="159" t="s">
        <v>571</v>
      </c>
      <c r="B51" s="152"/>
      <c r="C51" s="152"/>
      <c r="D51" s="152"/>
      <c r="E51" s="152"/>
      <c r="F51" s="152"/>
      <c r="G51" s="152"/>
      <c r="H51" s="153"/>
      <c r="I51" s="154"/>
      <c r="J51" s="153"/>
    </row>
    <row r="52" spans="1:10">
      <c r="A52" s="159" t="s">
        <v>144</v>
      </c>
      <c r="B52" s="152"/>
      <c r="C52" s="152"/>
      <c r="D52" s="152"/>
      <c r="E52" s="152"/>
      <c r="F52" s="152"/>
      <c r="G52" s="152"/>
      <c r="H52" s="153"/>
      <c r="I52" s="154"/>
      <c r="J52" s="153"/>
    </row>
    <row r="53" spans="1:10">
      <c r="A53" s="159" t="s">
        <v>145</v>
      </c>
      <c r="B53" s="152"/>
      <c r="C53" s="152"/>
      <c r="D53" s="152"/>
      <c r="E53" s="152"/>
      <c r="F53" s="152"/>
      <c r="G53" s="152"/>
      <c r="H53" s="153"/>
      <c r="I53" s="154"/>
      <c r="J53" s="153"/>
    </row>
    <row r="54" spans="1:10">
      <c r="A54" s="159" t="s">
        <v>146</v>
      </c>
      <c r="B54" s="152"/>
      <c r="C54" s="152"/>
      <c r="D54" s="152"/>
      <c r="E54" s="152"/>
      <c r="F54" s="152"/>
      <c r="G54" s="152"/>
      <c r="H54" s="153"/>
      <c r="I54" s="154"/>
      <c r="J54" s="153"/>
    </row>
    <row r="55" spans="1:10">
      <c r="A55" s="159" t="s">
        <v>147</v>
      </c>
      <c r="B55" s="152"/>
      <c r="C55" s="152"/>
      <c r="D55" s="152"/>
      <c r="E55" s="152"/>
      <c r="F55" s="152"/>
      <c r="G55" s="152"/>
      <c r="H55" s="153"/>
      <c r="I55" s="154"/>
      <c r="J55" s="153"/>
    </row>
  </sheetData>
  <phoneticPr fontId="3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zoomScale="131" zoomScaleNormal="131" workbookViewId="0">
      <selection activeCell="B16" sqref="B16:B17"/>
    </sheetView>
  </sheetViews>
  <sheetFormatPr defaultColWidth="8.88671875" defaultRowHeight="16.2"/>
  <cols>
    <col min="1" max="1" width="32.88671875" customWidth="1"/>
    <col min="2" max="2" width="14.88671875" customWidth="1"/>
    <col min="3" max="3" width="13.109375" customWidth="1"/>
    <col min="4" max="4" width="12.44140625" customWidth="1"/>
    <col min="5" max="5" width="19.44140625" style="83" customWidth="1"/>
    <col min="6" max="6" width="14.109375" customWidth="1"/>
    <col min="7" max="7" width="16" customWidth="1"/>
    <col min="8" max="8" width="6.109375" customWidth="1"/>
    <col min="9" max="9" width="103.109375" customWidth="1"/>
    <col min="10" max="10" width="34" style="36" customWidth="1"/>
  </cols>
  <sheetData>
    <row r="1" spans="1:10">
      <c r="A1" s="38" t="s">
        <v>66</v>
      </c>
      <c r="B1" s="39" t="s">
        <v>67</v>
      </c>
      <c r="C1" s="39" t="s">
        <v>68</v>
      </c>
      <c r="D1" s="39" t="s">
        <v>69</v>
      </c>
      <c r="E1" s="39" t="s">
        <v>70</v>
      </c>
      <c r="F1" s="39" t="s">
        <v>71</v>
      </c>
      <c r="G1" s="39" t="s">
        <v>72</v>
      </c>
      <c r="H1" s="40" t="s">
        <v>73</v>
      </c>
      <c r="I1" s="45" t="s">
        <v>74</v>
      </c>
      <c r="J1" s="46" t="s">
        <v>555</v>
      </c>
    </row>
    <row r="2" spans="1:10" ht="46.8">
      <c r="A2" s="41" t="s">
        <v>75</v>
      </c>
      <c r="B2" s="42">
        <v>1</v>
      </c>
      <c r="C2" s="42">
        <f t="shared" ref="C2:C9" si="0">D2+B2-1</f>
        <v>0</v>
      </c>
      <c r="D2" s="42">
        <v>0</v>
      </c>
      <c r="E2" s="42">
        <f t="shared" ref="E2:E9" si="1">ROUNDDOWN(C2/32,0)</f>
        <v>0</v>
      </c>
      <c r="F2" s="42">
        <f t="shared" ref="F2:F9" si="2">C2-E2*32</f>
        <v>0</v>
      </c>
      <c r="G2" s="42">
        <f t="shared" ref="G2:G9" si="3">D2-E2*32</f>
        <v>0</v>
      </c>
      <c r="H2" s="42" t="s">
        <v>73</v>
      </c>
      <c r="I2" s="48" t="str">
        <f ca="1">CONCATENATE(INDIRECT("template!I2"))</f>
        <v>Interrupt Enable;if this bit is set, CPU COULD get interrupt when the instruction is finished 
0: disable interrupt
1: enable interrupt</v>
      </c>
      <c r="J2" s="47" t="s">
        <v>95</v>
      </c>
    </row>
    <row r="3" spans="1:10" ht="46.8">
      <c r="A3" s="41" t="s">
        <v>77</v>
      </c>
      <c r="B3" s="42">
        <v>1</v>
      </c>
      <c r="C3" s="42">
        <f t="shared" ca="1" si="0"/>
        <v>1</v>
      </c>
      <c r="D3" s="42">
        <f t="shared" ref="D3:D9" ca="1" si="4">INDIRECT(ADDRESS(ROW()-1,COLUMN()-1))+1</f>
        <v>1</v>
      </c>
      <c r="E3" s="42">
        <f t="shared" ca="1" si="1"/>
        <v>0</v>
      </c>
      <c r="F3" s="42">
        <f t="shared" ca="1" si="2"/>
        <v>1</v>
      </c>
      <c r="G3" s="42">
        <f t="shared" ca="1" si="3"/>
        <v>1</v>
      </c>
      <c r="H3" s="42" t="s">
        <v>73</v>
      </c>
      <c r="I3" s="48" t="str">
        <f ca="1">CONCATENATE(INDIRECT("template!I3"))</f>
        <v>Stride enable
0：No stride for all blob definition
1：Enable stride for all blob definition</v>
      </c>
      <c r="J3" s="51">
        <v>0</v>
      </c>
    </row>
    <row r="4" spans="1:10" ht="46.8">
      <c r="A4" s="41" t="s">
        <v>79</v>
      </c>
      <c r="B4" s="42">
        <v>1</v>
      </c>
      <c r="C4" s="42">
        <f t="shared" ca="1" si="0"/>
        <v>2</v>
      </c>
      <c r="D4" s="42">
        <f t="shared" ca="1" si="4"/>
        <v>2</v>
      </c>
      <c r="E4" s="42">
        <f t="shared" ca="1" si="1"/>
        <v>0</v>
      </c>
      <c r="F4" s="42">
        <f t="shared" ca="1" si="2"/>
        <v>2</v>
      </c>
      <c r="G4" s="42">
        <f t="shared" ca="1" si="3"/>
        <v>2</v>
      </c>
      <c r="H4" s="42" t="s">
        <v>73</v>
      </c>
      <c r="I4" s="48" t="str">
        <f ca="1">CONCATENATE(INDIRECT("template!I4"))</f>
        <v>NCHW copy bit
0: use separate src and dst NCHW value setting
1: reuse src NCHW value for dst NCHW value</v>
      </c>
      <c r="J4" s="51">
        <v>1</v>
      </c>
    </row>
    <row r="5" spans="1:10" s="36" customFormat="1" ht="31.2">
      <c r="A5" s="41" t="s">
        <v>559</v>
      </c>
      <c r="B5" s="42">
        <v>1</v>
      </c>
      <c r="C5" s="42">
        <f t="shared" ca="1" si="0"/>
        <v>3</v>
      </c>
      <c r="D5" s="42">
        <f t="shared" ca="1" si="4"/>
        <v>3</v>
      </c>
      <c r="E5" s="42">
        <f t="shared" ca="1" si="1"/>
        <v>0</v>
      </c>
      <c r="F5" s="42">
        <f t="shared" ca="1" si="2"/>
        <v>3</v>
      </c>
      <c r="G5" s="42">
        <f t="shared" ca="1" si="3"/>
        <v>3</v>
      </c>
      <c r="H5" s="42" t="s">
        <v>73</v>
      </c>
      <c r="I5" s="48" t="str">
        <f ca="1">CONCATENATE(INDIRECT("template!I5"))</f>
        <v>0:768bit full cmd;
1:128/256/384/512 short cmd</v>
      </c>
      <c r="J5" s="47" t="s">
        <v>95</v>
      </c>
    </row>
    <row r="6" spans="1:10" s="36" customFormat="1" ht="30.9" customHeight="1">
      <c r="A6" s="41" t="s">
        <v>87</v>
      </c>
      <c r="B6" s="42">
        <v>1</v>
      </c>
      <c r="C6" s="42">
        <f t="shared" ca="1" si="0"/>
        <v>4</v>
      </c>
      <c r="D6" s="42">
        <f t="shared" ca="1" si="4"/>
        <v>4</v>
      </c>
      <c r="E6" s="42">
        <f t="shared" ca="1" si="1"/>
        <v>0</v>
      </c>
      <c r="F6" s="42">
        <f t="shared" ca="1" si="2"/>
        <v>4</v>
      </c>
      <c r="G6" s="42">
        <f t="shared" ca="1" si="3"/>
        <v>4</v>
      </c>
      <c r="H6" s="42" t="s">
        <v>88</v>
      </c>
      <c r="I6" s="48" t="str">
        <f ca="1">CONCATENATE(INDIRECT("template!I6"))</f>
        <v>Read cache enable
0: Read not use cache
1: Read use cache</v>
      </c>
      <c r="J6" s="51">
        <v>0</v>
      </c>
    </row>
    <row r="7" spans="1:10" ht="60" customHeight="1">
      <c r="A7" s="41" t="s">
        <v>87</v>
      </c>
      <c r="B7" s="42">
        <v>4</v>
      </c>
      <c r="C7" s="42">
        <f t="shared" ca="1" si="0"/>
        <v>8</v>
      </c>
      <c r="D7" s="42">
        <f t="shared" ca="1" si="4"/>
        <v>5</v>
      </c>
      <c r="E7" s="42">
        <f t="shared" ca="1" si="1"/>
        <v>0</v>
      </c>
      <c r="F7" s="42">
        <f t="shared" ca="1" si="2"/>
        <v>8</v>
      </c>
      <c r="G7" s="42">
        <f t="shared" ca="1" si="3"/>
        <v>5</v>
      </c>
      <c r="H7" s="42" t="s">
        <v>88</v>
      </c>
      <c r="I7" s="48" t="str">
        <f ca="1">CONCATENATE(INDIRECT("template!I7"))</f>
        <v>Flush cache
0: Not Flush cache
1: Flush cache</v>
      </c>
      <c r="J7" s="51">
        <v>0</v>
      </c>
    </row>
    <row r="8" spans="1:10" ht="39" customHeight="1">
      <c r="A8" s="41" t="s">
        <v>87</v>
      </c>
      <c r="B8" s="42">
        <v>20</v>
      </c>
      <c r="C8" s="42">
        <f t="shared" ca="1" si="0"/>
        <v>28</v>
      </c>
      <c r="D8" s="42">
        <f t="shared" ca="1" si="4"/>
        <v>9</v>
      </c>
      <c r="E8" s="42">
        <f t="shared" ca="1" si="1"/>
        <v>0</v>
      </c>
      <c r="F8" s="42">
        <f t="shared" ca="1" si="2"/>
        <v>28</v>
      </c>
      <c r="G8" s="42">
        <f t="shared" ca="1" si="3"/>
        <v>9</v>
      </c>
      <c r="H8" s="42" t="s">
        <v>88</v>
      </c>
      <c r="I8" s="48" t="str">
        <f ca="1">CONCATENATE(INDIRECT("template!I8"))</f>
        <v>reserved</v>
      </c>
      <c r="J8" s="51">
        <v>0</v>
      </c>
    </row>
    <row r="9" spans="1:10" s="36" customFormat="1">
      <c r="A9" s="41" t="s">
        <v>89</v>
      </c>
      <c r="B9" s="42">
        <v>3</v>
      </c>
      <c r="C9" s="42">
        <f t="shared" ca="1" si="0"/>
        <v>31</v>
      </c>
      <c r="D9" s="42">
        <f t="shared" ca="1" si="4"/>
        <v>29</v>
      </c>
      <c r="E9" s="42">
        <f t="shared" ca="1" si="1"/>
        <v>0</v>
      </c>
      <c r="F9" s="42">
        <f t="shared" ca="1" si="2"/>
        <v>31</v>
      </c>
      <c r="G9" s="42">
        <f t="shared" ca="1" si="3"/>
        <v>29</v>
      </c>
      <c r="H9" s="42" t="s">
        <v>88</v>
      </c>
      <c r="I9" s="48" t="str">
        <f ca="1">CONCATENATE(INDIRECT("template!I9"))</f>
        <v/>
      </c>
      <c r="J9" s="51">
        <v>0</v>
      </c>
    </row>
    <row r="10" spans="1:10">
      <c r="A10" s="41" t="s">
        <v>90</v>
      </c>
      <c r="B10" s="42">
        <v>4</v>
      </c>
      <c r="C10" s="42">
        <f t="shared" ref="C10:C30" ca="1" si="5">D10+B10-1</f>
        <v>35</v>
      </c>
      <c r="D10" s="42">
        <f t="shared" ref="D10:D30" ca="1" si="6">INDIRECT(ADDRESS(ROW()-1,COLUMN()-1))+1</f>
        <v>32</v>
      </c>
      <c r="E10" s="42">
        <f t="shared" ref="E10:E30" ca="1" si="7">ROUNDDOWN(C10/32,0)</f>
        <v>1</v>
      </c>
      <c r="F10" s="42">
        <f t="shared" ref="F10:F30" ca="1" si="8">C10-E10*32</f>
        <v>3</v>
      </c>
      <c r="G10" s="42">
        <f t="shared" ref="G10:G30" ca="1" si="9">D10-E10*32</f>
        <v>0</v>
      </c>
      <c r="H10" s="42" t="s">
        <v>73</v>
      </c>
      <c r="I10" s="48" t="str">
        <f ca="1">CONCATENATE(INDIRECT("template!I10"))</f>
        <v/>
      </c>
      <c r="J10" s="47" t="s">
        <v>95</v>
      </c>
    </row>
    <row r="11" spans="1:10">
      <c r="A11" s="43" t="s">
        <v>91</v>
      </c>
      <c r="B11" s="42">
        <v>3</v>
      </c>
      <c r="C11" s="42">
        <f t="shared" ca="1" si="5"/>
        <v>38</v>
      </c>
      <c r="D11" s="42">
        <f t="shared" ca="1" si="6"/>
        <v>36</v>
      </c>
      <c r="E11" s="42">
        <f t="shared" ca="1" si="7"/>
        <v>1</v>
      </c>
      <c r="F11" s="42">
        <f t="shared" ca="1" si="8"/>
        <v>6</v>
      </c>
      <c r="G11" s="42">
        <f t="shared" ca="1" si="9"/>
        <v>4</v>
      </c>
      <c r="H11" s="42" t="s">
        <v>73</v>
      </c>
      <c r="I11" s="48" t="str">
        <f ca="1">CONCATENATE(INDIRECT("DMA_nonzero!I11"))</f>
        <v/>
      </c>
      <c r="J11" s="50" t="s">
        <v>574</v>
      </c>
    </row>
    <row r="12" spans="1:10">
      <c r="A12" s="43" t="s">
        <v>93</v>
      </c>
      <c r="B12" s="42">
        <v>1</v>
      </c>
      <c r="C12" s="42">
        <f t="shared" ca="1" si="5"/>
        <v>39</v>
      </c>
      <c r="D12" s="42">
        <f t="shared" ca="1" si="6"/>
        <v>39</v>
      </c>
      <c r="E12" s="42">
        <f t="shared" ca="1" si="7"/>
        <v>1</v>
      </c>
      <c r="F12" s="42">
        <f t="shared" ca="1" si="8"/>
        <v>7</v>
      </c>
      <c r="G12" s="42">
        <f t="shared" ca="1" si="9"/>
        <v>7</v>
      </c>
      <c r="H12" s="42" t="s">
        <v>73</v>
      </c>
      <c r="I12" s="48" t="str">
        <f ca="1">CONCATENATE(INDIRECT("DMA_nonzero!I12"))</f>
        <v/>
      </c>
      <c r="J12" s="50" t="s">
        <v>574</v>
      </c>
    </row>
    <row r="13" spans="1:10" s="36" customFormat="1">
      <c r="A13" s="41" t="s">
        <v>96</v>
      </c>
      <c r="B13" s="42">
        <v>3</v>
      </c>
      <c r="C13" s="42">
        <f t="shared" ca="1" si="5"/>
        <v>42</v>
      </c>
      <c r="D13" s="42">
        <f t="shared" ca="1" si="6"/>
        <v>40</v>
      </c>
      <c r="E13" s="42">
        <f t="shared" ca="1" si="7"/>
        <v>1</v>
      </c>
      <c r="F13" s="42">
        <f t="shared" ca="1" si="8"/>
        <v>10</v>
      </c>
      <c r="G13" s="42">
        <f t="shared" ca="1" si="9"/>
        <v>8</v>
      </c>
      <c r="H13" s="42" t="s">
        <v>73</v>
      </c>
      <c r="I13" s="48" t="str">
        <f ca="1">CONCATENATE(INDIRECT("template!I13"))</f>
        <v>reserved</v>
      </c>
      <c r="J13" s="47" t="s">
        <v>95</v>
      </c>
    </row>
    <row r="14" spans="1:10" ht="93.6">
      <c r="A14" s="43" t="s">
        <v>609</v>
      </c>
      <c r="B14" s="42">
        <v>3</v>
      </c>
      <c r="C14" s="42">
        <f t="shared" ca="1" si="5"/>
        <v>45</v>
      </c>
      <c r="D14" s="42">
        <f t="shared" ca="1" si="6"/>
        <v>43</v>
      </c>
      <c r="E14" s="42">
        <f t="shared" ca="1" si="7"/>
        <v>1</v>
      </c>
      <c r="F14" s="42">
        <f t="shared" ca="1" si="8"/>
        <v>13</v>
      </c>
      <c r="G14" s="42">
        <f t="shared" ca="1" si="9"/>
        <v>11</v>
      </c>
      <c r="H14" s="42" t="s">
        <v>73</v>
      </c>
      <c r="I14" s="48" t="str">
        <f ca="1">CONCATENATE(INDIRECT("DMA_nonzero!I14"))</f>
        <v>0x0:GDMA_tensor                     0x1:GDMA_matrix
0x2:GDMA_masked_select       0x3:GDMA_general
                                                   0x5:GDMA_nonzero
0x6:GDMA_sys                           0x7:GDMA_gather
0x8:GDMA_scatter                    0x9:GDMA_reverse
0xc:GDMA_lossy_compress      0xd:GDMA_lossy_decompress</v>
      </c>
      <c r="J14" s="47" t="s">
        <v>95</v>
      </c>
    </row>
    <row r="15" spans="1:10" s="36" customFormat="1" ht="93.6">
      <c r="A15" s="41" t="s">
        <v>87</v>
      </c>
      <c r="B15" s="42">
        <v>18</v>
      </c>
      <c r="C15" s="42">
        <f t="shared" ca="1" si="5"/>
        <v>63</v>
      </c>
      <c r="D15" s="42">
        <f t="shared" ca="1" si="6"/>
        <v>46</v>
      </c>
      <c r="E15" s="42">
        <f t="shared" ca="1" si="7"/>
        <v>1</v>
      </c>
      <c r="F15" s="42">
        <f t="shared" ca="1" si="8"/>
        <v>31</v>
      </c>
      <c r="G15" s="42">
        <f t="shared" ca="1" si="9"/>
        <v>14</v>
      </c>
      <c r="H15" s="42" t="s">
        <v>88</v>
      </c>
      <c r="I15" s="48" t="str">
        <f ca="1">CONCATENATE(INDIRECT("template!I14"))</f>
        <v>0x0:GDMA_tensor                     0x1:GDMA_matrix
0x2:GDMA_masked_select       0x3:GDMA_general
                                                   0x5:GDMA_nonzero
0x6:GDMA_sys                           0x7:GDMA_gather
0x8:GDMA_scatter                    0x9:GDMA_reverse
0xc:GDMA_lossy_compress      0xd:GDMA_lossy_decompress</v>
      </c>
      <c r="J15" s="51">
        <v>0</v>
      </c>
    </row>
    <row r="16" spans="1:10" s="36" customFormat="1" ht="78">
      <c r="A16" s="41" t="s">
        <v>97</v>
      </c>
      <c r="B16" s="42">
        <v>24</v>
      </c>
      <c r="C16" s="42">
        <f t="shared" ca="1" si="5"/>
        <v>87</v>
      </c>
      <c r="D16" s="42">
        <f t="shared" ca="1" si="6"/>
        <v>64</v>
      </c>
      <c r="E16" s="42">
        <f t="shared" ca="1" si="7"/>
        <v>2</v>
      </c>
      <c r="F16" s="42">
        <f t="shared" ca="1" si="8"/>
        <v>23</v>
      </c>
      <c r="G16" s="42">
        <f t="shared" ca="1" si="9"/>
        <v>0</v>
      </c>
      <c r="H16" s="42" t="s">
        <v>73</v>
      </c>
      <c r="I16" s="48" t="str">
        <f ca="1">CONCATENATE(INDIRECT("template!I15"))</f>
        <v>this field is connected with cmd_type. when cmd_type == DMA_tensor
000: No special function
001: Enable transposition write (For Neuron transposition case, the dest_N= src_C, dest_C=src_N)
011: broadcast：only support C size&lt;=64 and lmem mask invalid
others: reserved</v>
      </c>
      <c r="J16" s="47" t="s">
        <v>95</v>
      </c>
    </row>
    <row r="17" spans="1:10" s="36" customFormat="1" ht="31.2">
      <c r="A17" s="41" t="s">
        <v>87</v>
      </c>
      <c r="B17" s="42">
        <v>8</v>
      </c>
      <c r="C17" s="42">
        <f t="shared" ca="1" si="5"/>
        <v>95</v>
      </c>
      <c r="D17" s="42">
        <f t="shared" ca="1" si="6"/>
        <v>88</v>
      </c>
      <c r="E17" s="42">
        <f t="shared" ca="1" si="7"/>
        <v>2</v>
      </c>
      <c r="F17" s="42">
        <f t="shared" ca="1" si="8"/>
        <v>31</v>
      </c>
      <c r="G17" s="42">
        <f t="shared" ca="1" si="9"/>
        <v>24</v>
      </c>
      <c r="H17" s="42" t="s">
        <v>88</v>
      </c>
      <c r="I17" s="48" t="str">
        <f ca="1">CONCATENATE(INDIRECT("template!I16"))</f>
        <v>0: no fill constant
1: fill constant enable</v>
      </c>
      <c r="J17" s="47" t="s">
        <v>95</v>
      </c>
    </row>
    <row r="18" spans="1:10">
      <c r="A18" s="43" t="s">
        <v>611</v>
      </c>
      <c r="B18" s="42">
        <v>32</v>
      </c>
      <c r="C18" s="42">
        <f t="shared" ca="1" si="5"/>
        <v>127</v>
      </c>
      <c r="D18" s="42">
        <f t="shared" ca="1" si="6"/>
        <v>96</v>
      </c>
      <c r="E18" s="42">
        <f t="shared" ca="1" si="7"/>
        <v>3</v>
      </c>
      <c r="F18" s="42">
        <f t="shared" ca="1" si="8"/>
        <v>31</v>
      </c>
      <c r="G18" s="42">
        <f t="shared" ca="1" si="9"/>
        <v>0</v>
      </c>
      <c r="H18" s="42" t="s">
        <v>73</v>
      </c>
      <c r="I18" s="48" t="str">
        <f ca="1">CONCATENATE(INDIRECT("DMA_nonzero!I23"))</f>
        <v>reserved</v>
      </c>
      <c r="J18" s="47" t="s">
        <v>95</v>
      </c>
    </row>
    <row r="19" spans="1:10">
      <c r="A19" s="41" t="s">
        <v>116</v>
      </c>
      <c r="B19" s="42">
        <v>16</v>
      </c>
      <c r="C19" s="42">
        <f t="shared" ca="1" si="5"/>
        <v>143</v>
      </c>
      <c r="D19" s="42">
        <f t="shared" ca="1" si="6"/>
        <v>128</v>
      </c>
      <c r="E19" s="42">
        <f t="shared" ca="1" si="7"/>
        <v>4</v>
      </c>
      <c r="F19" s="42">
        <f t="shared" ca="1" si="8"/>
        <v>15</v>
      </c>
      <c r="G19" s="42">
        <f t="shared" ca="1" si="9"/>
        <v>0</v>
      </c>
      <c r="H19" s="42" t="s">
        <v>73</v>
      </c>
      <c r="I19" s="48" t="str">
        <f ca="1">INDIRECT("template!I26")</f>
        <v>unsigned number. Source blob C stride</v>
      </c>
      <c r="J19" s="47" t="s">
        <v>95</v>
      </c>
    </row>
    <row r="20" spans="1:10">
      <c r="A20" s="41" t="s">
        <v>118</v>
      </c>
      <c r="B20" s="42">
        <v>16</v>
      </c>
      <c r="C20" s="42">
        <f t="shared" ca="1" si="5"/>
        <v>159</v>
      </c>
      <c r="D20" s="42">
        <f t="shared" ca="1" si="6"/>
        <v>144</v>
      </c>
      <c r="E20" s="42">
        <f t="shared" ca="1" si="7"/>
        <v>4</v>
      </c>
      <c r="F20" s="42">
        <f t="shared" ca="1" si="8"/>
        <v>31</v>
      </c>
      <c r="G20" s="42">
        <f t="shared" ca="1" si="9"/>
        <v>16</v>
      </c>
      <c r="H20" s="42" t="s">
        <v>73</v>
      </c>
      <c r="I20" s="48" t="str">
        <f ca="1">INDIRECT("template!I27")</f>
        <v>unsigned number; Source blob H stride</v>
      </c>
      <c r="J20" s="47" t="s">
        <v>95</v>
      </c>
    </row>
    <row r="21" spans="1:10" ht="15.9" customHeight="1">
      <c r="A21" s="41" t="s">
        <v>120</v>
      </c>
      <c r="B21" s="42">
        <v>16</v>
      </c>
      <c r="C21" s="42">
        <f t="shared" ca="1" si="5"/>
        <v>175</v>
      </c>
      <c r="D21" s="42">
        <f t="shared" ca="1" si="6"/>
        <v>160</v>
      </c>
      <c r="E21" s="42">
        <f t="shared" ca="1" si="7"/>
        <v>5</v>
      </c>
      <c r="F21" s="42">
        <f t="shared" ca="1" si="8"/>
        <v>15</v>
      </c>
      <c r="G21" s="42">
        <f t="shared" ca="1" si="9"/>
        <v>0</v>
      </c>
      <c r="H21" s="42" t="s">
        <v>73</v>
      </c>
      <c r="I21" s="48" t="str">
        <f ca="1">INDIRECT("template!I28")</f>
        <v>unsigned number; Source blob W stride</v>
      </c>
      <c r="J21" s="47" t="s">
        <v>95</v>
      </c>
    </row>
    <row r="22" spans="1:10">
      <c r="A22" s="41" t="s">
        <v>122</v>
      </c>
      <c r="B22" s="42">
        <v>16</v>
      </c>
      <c r="C22" s="42">
        <f t="shared" ca="1" si="5"/>
        <v>191</v>
      </c>
      <c r="D22" s="42">
        <f t="shared" ca="1" si="6"/>
        <v>176</v>
      </c>
      <c r="E22" s="42">
        <f t="shared" ca="1" si="7"/>
        <v>5</v>
      </c>
      <c r="F22" s="42">
        <f t="shared" ca="1" si="8"/>
        <v>31</v>
      </c>
      <c r="G22" s="42">
        <f t="shared" ca="1" si="9"/>
        <v>16</v>
      </c>
      <c r="H22" s="42" t="s">
        <v>73</v>
      </c>
      <c r="I22" s="48" t="str">
        <f ca="1">INDIRECT("template!I29")</f>
        <v>unsigned number; desitination blob N stride</v>
      </c>
      <c r="J22" s="47" t="s">
        <v>95</v>
      </c>
    </row>
    <row r="23" spans="1:10" s="36" customFormat="1">
      <c r="A23" s="41" t="s">
        <v>132</v>
      </c>
      <c r="B23" s="42">
        <v>32</v>
      </c>
      <c r="C23" s="42">
        <f t="shared" ca="1" si="5"/>
        <v>223</v>
      </c>
      <c r="D23" s="42">
        <f t="shared" ca="1" si="6"/>
        <v>192</v>
      </c>
      <c r="E23" s="42">
        <f t="shared" ca="1" si="7"/>
        <v>6</v>
      </c>
      <c r="F23" s="42">
        <f t="shared" ca="1" si="8"/>
        <v>31</v>
      </c>
      <c r="G23" s="42">
        <f t="shared" ca="1" si="9"/>
        <v>0</v>
      </c>
      <c r="H23" s="42" t="s">
        <v>73</v>
      </c>
      <c r="I23" s="48" t="str">
        <f ca="1">INDIRECT("template!I34")</f>
        <v>Source blob C</v>
      </c>
      <c r="J23" s="52" t="s">
        <v>95</v>
      </c>
    </row>
    <row r="24" spans="1:10" s="36" customFormat="1">
      <c r="A24" s="41" t="s">
        <v>594</v>
      </c>
      <c r="B24" s="42">
        <v>8</v>
      </c>
      <c r="C24" s="42">
        <f t="shared" ca="1" si="5"/>
        <v>231</v>
      </c>
      <c r="D24" s="42">
        <f t="shared" ca="1" si="6"/>
        <v>224</v>
      </c>
      <c r="E24" s="42">
        <f t="shared" ca="1" si="7"/>
        <v>7</v>
      </c>
      <c r="F24" s="42">
        <f t="shared" ca="1" si="8"/>
        <v>7</v>
      </c>
      <c r="G24" s="42">
        <f t="shared" ca="1" si="9"/>
        <v>0</v>
      </c>
      <c r="H24" s="42" t="s">
        <v>73</v>
      </c>
      <c r="I24" s="48" t="str">
        <f ca="1">INDIRECT("template!I35")</f>
        <v xml:space="preserve">Source blob H </v>
      </c>
      <c r="J24" s="52" t="s">
        <v>95</v>
      </c>
    </row>
    <row r="25" spans="1:10" s="36" customFormat="1">
      <c r="A25" s="41" t="s">
        <v>87</v>
      </c>
      <c r="B25" s="42">
        <v>24</v>
      </c>
      <c r="C25" s="42">
        <f t="shared" ca="1" si="5"/>
        <v>255</v>
      </c>
      <c r="D25" s="42">
        <f t="shared" ca="1" si="6"/>
        <v>232</v>
      </c>
      <c r="E25" s="42">
        <f t="shared" ca="1" si="7"/>
        <v>7</v>
      </c>
      <c r="F25" s="42">
        <f t="shared" ca="1" si="8"/>
        <v>31</v>
      </c>
      <c r="G25" s="42">
        <f t="shared" ca="1" si="9"/>
        <v>8</v>
      </c>
      <c r="H25" s="42" t="s">
        <v>88</v>
      </c>
      <c r="I25" s="48" t="str">
        <f ca="1">INDIRECT("template!I36")</f>
        <v xml:space="preserve">Source blob W </v>
      </c>
      <c r="J25" s="51">
        <v>0</v>
      </c>
    </row>
    <row r="26" spans="1:10" s="36" customFormat="1">
      <c r="A26" s="41" t="s">
        <v>135</v>
      </c>
      <c r="B26" s="42">
        <v>32</v>
      </c>
      <c r="C26" s="42">
        <f t="shared" ca="1" si="5"/>
        <v>287</v>
      </c>
      <c r="D26" s="42">
        <f t="shared" ca="1" si="6"/>
        <v>256</v>
      </c>
      <c r="E26" s="42">
        <f t="shared" ca="1" si="7"/>
        <v>8</v>
      </c>
      <c r="F26" s="42">
        <f t="shared" ca="1" si="8"/>
        <v>31</v>
      </c>
      <c r="G26" s="42">
        <f t="shared" ca="1" si="9"/>
        <v>0</v>
      </c>
      <c r="H26" s="42" t="s">
        <v>73</v>
      </c>
      <c r="I26" s="48" t="str">
        <f ca="1">INDIRECT("template!I37")</f>
        <v xml:space="preserve">Destination Blob Number </v>
      </c>
      <c r="J26" s="47" t="s">
        <v>95</v>
      </c>
    </row>
    <row r="27" spans="1:10" s="36" customFormat="1">
      <c r="A27" s="41" t="s">
        <v>595</v>
      </c>
      <c r="B27" s="42">
        <v>8</v>
      </c>
      <c r="C27" s="42">
        <f t="shared" ca="1" si="5"/>
        <v>295</v>
      </c>
      <c r="D27" s="42">
        <f t="shared" ca="1" si="6"/>
        <v>288</v>
      </c>
      <c r="E27" s="42">
        <f t="shared" ca="1" si="7"/>
        <v>9</v>
      </c>
      <c r="F27" s="42">
        <f t="shared" ca="1" si="8"/>
        <v>7</v>
      </c>
      <c r="G27" s="42">
        <f t="shared" ca="1" si="9"/>
        <v>0</v>
      </c>
      <c r="H27" s="42" t="s">
        <v>73</v>
      </c>
      <c r="I27" s="48" t="str">
        <f ca="1">INDIRECT("template!I38")</f>
        <v xml:space="preserve">Destination blob C </v>
      </c>
      <c r="J27" s="47" t="s">
        <v>95</v>
      </c>
    </row>
    <row r="28" spans="1:10" s="36" customFormat="1">
      <c r="A28" s="41" t="s">
        <v>87</v>
      </c>
      <c r="B28" s="42">
        <v>24</v>
      </c>
      <c r="C28" s="42">
        <f t="shared" ca="1" si="5"/>
        <v>319</v>
      </c>
      <c r="D28" s="42">
        <f t="shared" ca="1" si="6"/>
        <v>296</v>
      </c>
      <c r="E28" s="42">
        <f t="shared" ca="1" si="7"/>
        <v>9</v>
      </c>
      <c r="F28" s="42">
        <f t="shared" ca="1" si="8"/>
        <v>31</v>
      </c>
      <c r="G28" s="42">
        <f t="shared" ca="1" si="9"/>
        <v>8</v>
      </c>
      <c r="H28" s="42" t="s">
        <v>88</v>
      </c>
      <c r="I28" s="48" t="str">
        <f ca="1">INDIRECT("template!I36")</f>
        <v xml:space="preserve">Source blob W </v>
      </c>
      <c r="J28" s="51">
        <v>0</v>
      </c>
    </row>
    <row r="29" spans="1:10" s="36" customFormat="1">
      <c r="A29" s="41" t="s">
        <v>87</v>
      </c>
      <c r="B29" s="42">
        <v>32</v>
      </c>
      <c r="C29" s="42">
        <f t="shared" ca="1" si="5"/>
        <v>351</v>
      </c>
      <c r="D29" s="42">
        <f t="shared" ca="1" si="6"/>
        <v>320</v>
      </c>
      <c r="E29" s="42">
        <f t="shared" ca="1" si="7"/>
        <v>10</v>
      </c>
      <c r="F29" s="42">
        <f t="shared" ca="1" si="8"/>
        <v>31</v>
      </c>
      <c r="G29" s="42">
        <f t="shared" ca="1" si="9"/>
        <v>0</v>
      </c>
      <c r="H29" s="42" t="s">
        <v>88</v>
      </c>
      <c r="I29" s="48" t="str">
        <f ca="1">INDIRECT("template!I36")</f>
        <v xml:space="preserve">Source blob W </v>
      </c>
      <c r="J29" s="51">
        <v>0</v>
      </c>
    </row>
    <row r="30" spans="1:10" s="36" customFormat="1">
      <c r="A30" s="41" t="s">
        <v>87</v>
      </c>
      <c r="B30" s="42">
        <v>32</v>
      </c>
      <c r="C30" s="42">
        <f t="shared" ca="1" si="5"/>
        <v>383</v>
      </c>
      <c r="D30" s="42">
        <f t="shared" ca="1" si="6"/>
        <v>352</v>
      </c>
      <c r="E30" s="42">
        <f t="shared" ca="1" si="7"/>
        <v>11</v>
      </c>
      <c r="F30" s="42">
        <f t="shared" ca="1" si="8"/>
        <v>31</v>
      </c>
      <c r="G30" s="42">
        <f t="shared" ca="1" si="9"/>
        <v>0</v>
      </c>
      <c r="H30" s="42" t="s">
        <v>88</v>
      </c>
      <c r="I30" s="48" t="str">
        <f ca="1">INDIRECT("template!I39")</f>
        <v>Destination blob H</v>
      </c>
      <c r="J30" s="51">
        <v>0</v>
      </c>
    </row>
    <row r="31" spans="1:10">
      <c r="A31" s="53" t="s">
        <v>571</v>
      </c>
      <c r="B31" s="35"/>
      <c r="C31" s="35"/>
      <c r="D31" s="35"/>
      <c r="E31" s="35"/>
      <c r="F31" s="35"/>
      <c r="G31" s="35"/>
      <c r="H31" s="36"/>
      <c r="I31" s="37"/>
    </row>
    <row r="32" spans="1:10" s="36" customFormat="1">
      <c r="A32" s="53" t="s">
        <v>144</v>
      </c>
      <c r="B32" s="35"/>
      <c r="C32" s="35"/>
      <c r="D32" s="35"/>
      <c r="E32" s="35"/>
      <c r="F32" s="35"/>
      <c r="G32" s="35"/>
      <c r="I32" s="37"/>
    </row>
    <row r="33" spans="1:9" s="36" customFormat="1">
      <c r="A33" s="53" t="s">
        <v>145</v>
      </c>
      <c r="B33" s="35"/>
      <c r="C33" s="35"/>
      <c r="D33" s="35"/>
      <c r="E33" s="35"/>
      <c r="F33" s="35"/>
      <c r="G33" s="35"/>
      <c r="I33" s="37"/>
    </row>
    <row r="34" spans="1:9" s="36" customFormat="1">
      <c r="A34" s="53" t="s">
        <v>146</v>
      </c>
      <c r="B34" s="35"/>
      <c r="C34" s="35"/>
      <c r="D34" s="35"/>
      <c r="E34" s="35"/>
      <c r="F34" s="35"/>
      <c r="G34" s="35"/>
      <c r="I34" s="37"/>
    </row>
    <row r="35" spans="1:9" s="36" customFormat="1">
      <c r="A35" s="53" t="s">
        <v>147</v>
      </c>
      <c r="B35" s="35"/>
      <c r="C35" s="35"/>
      <c r="D35" s="35"/>
      <c r="E35" s="35"/>
      <c r="F35" s="35"/>
      <c r="G35" s="35"/>
      <c r="I35" s="37"/>
    </row>
  </sheetData>
  <phoneticPr fontId="3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topLeftCell="A10" zoomScale="85" zoomScaleNormal="85" workbookViewId="0">
      <selection activeCell="I17" sqref="I17"/>
    </sheetView>
  </sheetViews>
  <sheetFormatPr defaultColWidth="8.88671875" defaultRowHeight="16.2"/>
  <cols>
    <col min="1" max="1" width="30.6640625" customWidth="1"/>
    <col min="2" max="2" width="14" customWidth="1"/>
    <col min="3" max="3" width="12.44140625" customWidth="1"/>
    <col min="4" max="4" width="11.88671875" customWidth="1"/>
    <col min="5" max="5" width="18.88671875" customWidth="1"/>
    <col min="6" max="6" width="13.44140625" customWidth="1"/>
    <col min="7" max="7" width="15.109375" customWidth="1"/>
    <col min="8" max="8" width="5.6640625" customWidth="1"/>
    <col min="9" max="9" width="170.109375" customWidth="1"/>
    <col min="10" max="10" width="37.88671875" style="36" customWidth="1"/>
  </cols>
  <sheetData>
    <row r="1" spans="1:10" ht="15.6">
      <c r="A1" s="38" t="s">
        <v>66</v>
      </c>
      <c r="B1" s="39" t="s">
        <v>67</v>
      </c>
      <c r="C1" s="39" t="s">
        <v>68</v>
      </c>
      <c r="D1" s="39" t="s">
        <v>69</v>
      </c>
      <c r="E1" s="39" t="s">
        <v>70</v>
      </c>
      <c r="F1" s="39" t="s">
        <v>71</v>
      </c>
      <c r="G1" s="39" t="s">
        <v>72</v>
      </c>
      <c r="H1" s="40" t="s">
        <v>73</v>
      </c>
      <c r="I1" s="45" t="s">
        <v>74</v>
      </c>
      <c r="J1" s="45" t="s">
        <v>555</v>
      </c>
    </row>
    <row r="2" spans="1:10" ht="46.8">
      <c r="A2" s="41" t="s">
        <v>75</v>
      </c>
      <c r="B2" s="60">
        <v>1</v>
      </c>
      <c r="C2" s="60">
        <f t="shared" ref="C2:C11" si="0">D2+B2-1</f>
        <v>0</v>
      </c>
      <c r="D2" s="60">
        <v>0</v>
      </c>
      <c r="E2" s="60">
        <f t="shared" ref="E2:E8" si="1">ROUNDDOWN(C2/32,0)</f>
        <v>0</v>
      </c>
      <c r="F2" s="60">
        <f t="shared" ref="F2:F8" si="2">C2-E2*32</f>
        <v>0</v>
      </c>
      <c r="G2" s="60">
        <f t="shared" ref="G2:G8" si="3">D2-E2*32</f>
        <v>0</v>
      </c>
      <c r="H2" s="60" t="s">
        <v>73</v>
      </c>
      <c r="I2" s="62" t="str">
        <f ca="1">CONCATENATE(INDIRECT("template!I2"))</f>
        <v>Interrupt Enable;if this bit is set, CPU COULD get interrupt when the instruction is finished 
0: disable interrupt
1: enable interrupt</v>
      </c>
      <c r="J2" s="118" t="s">
        <v>95</v>
      </c>
    </row>
    <row r="3" spans="1:10" ht="46.8">
      <c r="A3" s="41" t="s">
        <v>77</v>
      </c>
      <c r="B3" s="60">
        <v>1</v>
      </c>
      <c r="C3" s="60">
        <f t="shared" ca="1" si="0"/>
        <v>1</v>
      </c>
      <c r="D3" s="60">
        <f t="shared" ref="D3:D23" ca="1" si="4">INDIRECT(ADDRESS(ROW()-1,COLUMN()-1))+1</f>
        <v>1</v>
      </c>
      <c r="E3" s="60">
        <f t="shared" ca="1" si="1"/>
        <v>0</v>
      </c>
      <c r="F3" s="60">
        <f t="shared" ca="1" si="2"/>
        <v>1</v>
      </c>
      <c r="G3" s="60">
        <f t="shared" ca="1" si="3"/>
        <v>1</v>
      </c>
      <c r="H3" s="60" t="s">
        <v>73</v>
      </c>
      <c r="I3" s="62" t="str">
        <f ca="1">CONCATENATE(INDIRECT("template!I3"))</f>
        <v>Stride enable
0：No stride for all blob definition
1：Enable stride for all blob definition</v>
      </c>
      <c r="J3" s="149">
        <v>0</v>
      </c>
    </row>
    <row r="4" spans="1:10" ht="46.8">
      <c r="A4" s="41" t="s">
        <v>79</v>
      </c>
      <c r="B4" s="60">
        <v>1</v>
      </c>
      <c r="C4" s="60">
        <f t="shared" ca="1" si="0"/>
        <v>2</v>
      </c>
      <c r="D4" s="60">
        <f t="shared" ca="1" si="4"/>
        <v>2</v>
      </c>
      <c r="E4" s="60">
        <f t="shared" ca="1" si="1"/>
        <v>0</v>
      </c>
      <c r="F4" s="60">
        <f t="shared" ca="1" si="2"/>
        <v>2</v>
      </c>
      <c r="G4" s="60">
        <f t="shared" ca="1" si="3"/>
        <v>2</v>
      </c>
      <c r="H4" s="60" t="s">
        <v>73</v>
      </c>
      <c r="I4" s="62" t="str">
        <f ca="1">CONCATENATE(INDIRECT("template!I4"))</f>
        <v>NCHW copy bit
0: use separate src and dst NCHW value setting
1: reuse src NCHW value for dst NCHW value</v>
      </c>
      <c r="J4" s="149">
        <v>0</v>
      </c>
    </row>
    <row r="5" spans="1:10" s="36" customFormat="1" ht="30.9" customHeight="1">
      <c r="A5" s="41" t="s">
        <v>559</v>
      </c>
      <c r="B5" s="60">
        <v>1</v>
      </c>
      <c r="C5" s="60">
        <f t="shared" ca="1" si="0"/>
        <v>3</v>
      </c>
      <c r="D5" s="60">
        <f t="shared" ca="1" si="4"/>
        <v>3</v>
      </c>
      <c r="E5" s="60">
        <f t="shared" ca="1" si="1"/>
        <v>0</v>
      </c>
      <c r="F5" s="60">
        <f t="shared" ca="1" si="2"/>
        <v>3</v>
      </c>
      <c r="G5" s="60">
        <f t="shared" ca="1" si="3"/>
        <v>3</v>
      </c>
      <c r="H5" s="60" t="s">
        <v>73</v>
      </c>
      <c r="I5" s="62" t="str">
        <f ca="1">CONCATENATE(INDIRECT("template!I5"))</f>
        <v>0:768bit full cmd;
1:128/256/384/512 short cmd</v>
      </c>
      <c r="J5" s="118" t="s">
        <v>95</v>
      </c>
    </row>
    <row r="6" spans="1:10" s="36" customFormat="1" ht="30.9" customHeight="1">
      <c r="A6" s="41" t="s">
        <v>83</v>
      </c>
      <c r="B6" s="60">
        <v>1</v>
      </c>
      <c r="C6" s="60">
        <f t="shared" ca="1" si="0"/>
        <v>4</v>
      </c>
      <c r="D6" s="60">
        <f t="shared" ca="1" si="4"/>
        <v>4</v>
      </c>
      <c r="E6" s="60">
        <f t="shared" ca="1" si="1"/>
        <v>0</v>
      </c>
      <c r="F6" s="60">
        <f t="shared" ca="1" si="2"/>
        <v>4</v>
      </c>
      <c r="G6" s="60">
        <f t="shared" ca="1" si="3"/>
        <v>4</v>
      </c>
      <c r="H6" s="60" t="s">
        <v>73</v>
      </c>
      <c r="I6" s="62" t="str">
        <f ca="1">CONCATENATE(INDIRECT("template!I6"))</f>
        <v>Read cache enable
0: Read not use cache
1: Read use cache</v>
      </c>
      <c r="J6" s="149">
        <v>0</v>
      </c>
    </row>
    <row r="7" spans="1:10" ht="59.1" customHeight="1">
      <c r="A7" s="41" t="s">
        <v>85</v>
      </c>
      <c r="B7" s="60">
        <v>1</v>
      </c>
      <c r="C7" s="60">
        <f t="shared" ca="1" si="0"/>
        <v>5</v>
      </c>
      <c r="D7" s="60">
        <f t="shared" ca="1" si="4"/>
        <v>5</v>
      </c>
      <c r="E7" s="60">
        <f t="shared" ca="1" si="1"/>
        <v>0</v>
      </c>
      <c r="F7" s="60">
        <f t="shared" ca="1" si="2"/>
        <v>5</v>
      </c>
      <c r="G7" s="60">
        <f t="shared" ca="1" si="3"/>
        <v>5</v>
      </c>
      <c r="H7" s="60" t="s">
        <v>73</v>
      </c>
      <c r="I7" s="62" t="str">
        <f ca="1">CONCATENATE(INDIRECT("template!I7"))</f>
        <v>Flush cache
0: Not Flush cache
1: Flush cache</v>
      </c>
      <c r="J7" s="149">
        <v>0</v>
      </c>
    </row>
    <row r="8" spans="1:10">
      <c r="A8" s="41" t="s">
        <v>87</v>
      </c>
      <c r="B8" s="60">
        <v>2</v>
      </c>
      <c r="C8" s="60">
        <f t="shared" ca="1" si="0"/>
        <v>7</v>
      </c>
      <c r="D8" s="60">
        <f t="shared" ca="1" si="4"/>
        <v>6</v>
      </c>
      <c r="E8" s="60">
        <f t="shared" ca="1" si="1"/>
        <v>0</v>
      </c>
      <c r="F8" s="60">
        <f t="shared" ca="1" si="2"/>
        <v>7</v>
      </c>
      <c r="G8" s="60">
        <f t="shared" ca="1" si="3"/>
        <v>6</v>
      </c>
      <c r="H8" s="60" t="s">
        <v>88</v>
      </c>
      <c r="I8" s="62" t="str">
        <f ca="1">CONCATENATE(INDIRECT("template!I8"))</f>
        <v>reserved</v>
      </c>
      <c r="J8" s="149">
        <v>0</v>
      </c>
    </row>
    <row r="9" spans="1:10" s="36" customFormat="1" ht="15.9" customHeight="1">
      <c r="A9" s="41" t="s">
        <v>1234</v>
      </c>
      <c r="B9" s="60">
        <v>1</v>
      </c>
      <c r="C9" s="60">
        <f t="shared" si="0"/>
        <v>8</v>
      </c>
      <c r="D9" s="60">
        <v>8</v>
      </c>
      <c r="E9" s="60">
        <v>0</v>
      </c>
      <c r="F9" s="60">
        <v>8</v>
      </c>
      <c r="G9" s="60">
        <v>8</v>
      </c>
      <c r="H9" s="60" t="s">
        <v>1235</v>
      </c>
      <c r="I9" s="62"/>
      <c r="J9" s="118" t="s">
        <v>95</v>
      </c>
    </row>
    <row r="10" spans="1:10">
      <c r="A10" s="41" t="s">
        <v>1236</v>
      </c>
      <c r="B10" s="60">
        <v>1</v>
      </c>
      <c r="C10" s="60">
        <f t="shared" si="0"/>
        <v>9</v>
      </c>
      <c r="D10" s="60">
        <v>9</v>
      </c>
      <c r="E10" s="60">
        <v>0</v>
      </c>
      <c r="F10" s="60">
        <v>9</v>
      </c>
      <c r="G10" s="60">
        <v>9</v>
      </c>
      <c r="H10" s="60" t="s">
        <v>1235</v>
      </c>
      <c r="I10" s="62"/>
      <c r="J10" s="118" t="s">
        <v>95</v>
      </c>
    </row>
    <row r="11" spans="1:10">
      <c r="A11" s="41" t="s">
        <v>1237</v>
      </c>
      <c r="B11" s="60">
        <v>1</v>
      </c>
      <c r="C11" s="60">
        <f t="shared" si="0"/>
        <v>10</v>
      </c>
      <c r="D11" s="60">
        <v>10</v>
      </c>
      <c r="E11" s="60">
        <v>0</v>
      </c>
      <c r="F11" s="60">
        <v>10</v>
      </c>
      <c r="G11" s="60">
        <v>10</v>
      </c>
      <c r="H11" s="60" t="s">
        <v>1235</v>
      </c>
      <c r="I11" s="62"/>
      <c r="J11" s="118" t="s">
        <v>95</v>
      </c>
    </row>
    <row r="12" spans="1:10">
      <c r="A12" s="41" t="s">
        <v>1240</v>
      </c>
      <c r="B12" s="60">
        <v>1</v>
      </c>
      <c r="C12" s="60">
        <v>11</v>
      </c>
      <c r="D12" s="60">
        <v>11</v>
      </c>
      <c r="E12" s="60">
        <v>0</v>
      </c>
      <c r="F12" s="60">
        <v>11</v>
      </c>
      <c r="G12" s="60">
        <v>11</v>
      </c>
      <c r="H12" s="60" t="s">
        <v>1241</v>
      </c>
      <c r="I12" s="62"/>
      <c r="J12" s="118" t="s">
        <v>95</v>
      </c>
    </row>
    <row r="13" spans="1:10" s="36" customFormat="1">
      <c r="A13" s="41" t="s">
        <v>89</v>
      </c>
      <c r="B13" s="60">
        <v>20</v>
      </c>
      <c r="C13" s="60">
        <f t="shared" ref="C13:C23" ca="1" si="5">D13+B13-1</f>
        <v>31</v>
      </c>
      <c r="D13" s="60">
        <f t="shared" ca="1" si="4"/>
        <v>12</v>
      </c>
      <c r="E13" s="60">
        <f t="shared" ref="E13:E23" ca="1" si="6">ROUNDDOWN(C13/32,0)</f>
        <v>0</v>
      </c>
      <c r="F13" s="60">
        <f t="shared" ref="F13:F23" ca="1" si="7">C13-E13*32</f>
        <v>31</v>
      </c>
      <c r="G13" s="60">
        <f t="shared" ref="G13:G23" ca="1" si="8">D13-E13*32</f>
        <v>12</v>
      </c>
      <c r="H13" s="60" t="s">
        <v>88</v>
      </c>
      <c r="I13" s="62" t="str">
        <f ca="1">CONCATENATE(INDIRECT("template!I9"))</f>
        <v/>
      </c>
      <c r="J13" s="149">
        <v>0</v>
      </c>
    </row>
    <row r="14" spans="1:10" s="36" customFormat="1" ht="93.6">
      <c r="A14" s="41" t="s">
        <v>90</v>
      </c>
      <c r="B14" s="60">
        <v>5</v>
      </c>
      <c r="C14" s="60">
        <f t="shared" ca="1" si="5"/>
        <v>36</v>
      </c>
      <c r="D14" s="60">
        <f t="shared" ca="1" si="4"/>
        <v>32</v>
      </c>
      <c r="E14" s="60">
        <f t="shared" ca="1" si="6"/>
        <v>1</v>
      </c>
      <c r="F14" s="60">
        <f t="shared" ca="1" si="7"/>
        <v>4</v>
      </c>
      <c r="G14" s="60">
        <f t="shared" ca="1" si="8"/>
        <v>0</v>
      </c>
      <c r="H14" s="60" t="s">
        <v>73</v>
      </c>
      <c r="I14" s="62" t="str">
        <f ca="1">CONCATENATE(INDIRECT("template!I14"))</f>
        <v>0x0:GDMA_tensor                     0x1:GDMA_matrix
0x2:GDMA_masked_select       0x3:GDMA_general
                                                   0x5:GDMA_nonzero
0x6:GDMA_sys                           0x7:GDMA_gather
0x8:GDMA_scatter                    0x9:GDMA_reverse
0xc:GDMA_lossy_compress      0xd:GDMA_lossy_decompress</v>
      </c>
      <c r="J14" s="118" t="s">
        <v>95</v>
      </c>
    </row>
    <row r="15" spans="1:10" s="36" customFormat="1" ht="93.6">
      <c r="A15" s="41" t="s">
        <v>91</v>
      </c>
      <c r="B15" s="60">
        <v>3</v>
      </c>
      <c r="C15" s="60">
        <f t="shared" ca="1" si="5"/>
        <v>39</v>
      </c>
      <c r="D15" s="60">
        <f t="shared" ca="1" si="4"/>
        <v>37</v>
      </c>
      <c r="E15" s="60">
        <f t="shared" ca="1" si="6"/>
        <v>1</v>
      </c>
      <c r="F15" s="60">
        <f t="shared" ca="1" si="7"/>
        <v>7</v>
      </c>
      <c r="G15" s="60">
        <f t="shared" ca="1" si="8"/>
        <v>5</v>
      </c>
      <c r="H15" s="60" t="s">
        <v>73</v>
      </c>
      <c r="I15" s="62" t="s">
        <v>1337</v>
      </c>
      <c r="J15" s="118" t="s">
        <v>95</v>
      </c>
    </row>
    <row r="16" spans="1:10" s="36" customFormat="1">
      <c r="A16" s="41" t="s">
        <v>93</v>
      </c>
      <c r="B16" s="60">
        <v>1</v>
      </c>
      <c r="C16" s="60">
        <f t="shared" ca="1" si="5"/>
        <v>40</v>
      </c>
      <c r="D16" s="60">
        <f t="shared" ca="1" si="4"/>
        <v>40</v>
      </c>
      <c r="E16" s="60">
        <f t="shared" ca="1" si="6"/>
        <v>1</v>
      </c>
      <c r="F16" s="60">
        <f t="shared" ca="1" si="7"/>
        <v>8</v>
      </c>
      <c r="G16" s="60">
        <f t="shared" ca="1" si="8"/>
        <v>8</v>
      </c>
      <c r="H16" s="60" t="s">
        <v>73</v>
      </c>
      <c r="I16" s="62" t="s">
        <v>573</v>
      </c>
      <c r="J16" s="149">
        <v>0</v>
      </c>
    </row>
    <row r="17" spans="1:10" s="36" customFormat="1" ht="171.6">
      <c r="A17" s="41" t="s">
        <v>96</v>
      </c>
      <c r="B17" s="60">
        <v>4</v>
      </c>
      <c r="C17" s="60">
        <f t="shared" ca="1" si="5"/>
        <v>44</v>
      </c>
      <c r="D17" s="60">
        <f t="shared" ca="1" si="4"/>
        <v>41</v>
      </c>
      <c r="E17" s="60">
        <f t="shared" ca="1" si="6"/>
        <v>1</v>
      </c>
      <c r="F17" s="60">
        <f t="shared" ca="1" si="7"/>
        <v>12</v>
      </c>
      <c r="G17" s="60">
        <f t="shared" ca="1" si="8"/>
        <v>9</v>
      </c>
      <c r="H17" s="60" t="s">
        <v>73</v>
      </c>
      <c r="I17" s="62" t="str">
        <f ca="1">CONCATENATE(INDIRECT("template!I17"))</f>
        <v>Source Data Format
0:INT8
1:FP16
2:FP32
3:INT16
4:INT32
5:BFP16
6:FP20
7:FP8 E4M3
8:FP8 E5M2
others：not support</v>
      </c>
      <c r="J17" s="149">
        <v>0</v>
      </c>
    </row>
    <row r="18" spans="1:10" s="36" customFormat="1">
      <c r="A18" s="41" t="s">
        <v>87</v>
      </c>
      <c r="B18" s="60">
        <v>19</v>
      </c>
      <c r="C18" s="60">
        <f t="shared" ca="1" si="5"/>
        <v>63</v>
      </c>
      <c r="D18" s="60">
        <f t="shared" ca="1" si="4"/>
        <v>45</v>
      </c>
      <c r="E18" s="60">
        <f t="shared" ca="1" si="6"/>
        <v>1</v>
      </c>
      <c r="F18" s="60">
        <f t="shared" ca="1" si="7"/>
        <v>31</v>
      </c>
      <c r="G18" s="60">
        <f t="shared" ca="1" si="8"/>
        <v>13</v>
      </c>
      <c r="H18" s="60" t="s">
        <v>88</v>
      </c>
      <c r="I18" s="62" t="str">
        <f ca="1">CONCATENATE(INDIRECT("template!I18"))</f>
        <v>reserved</v>
      </c>
      <c r="J18" s="149">
        <v>0</v>
      </c>
    </row>
    <row r="19" spans="1:10" s="36" customFormat="1" ht="31.2">
      <c r="A19" s="41" t="s">
        <v>97</v>
      </c>
      <c r="B19" s="60">
        <v>21</v>
      </c>
      <c r="C19" s="60">
        <f ca="1">D19+B19-1</f>
        <v>84</v>
      </c>
      <c r="D19" s="60">
        <f t="shared" ca="1" si="4"/>
        <v>64</v>
      </c>
      <c r="E19" s="60">
        <f t="shared" ca="1" si="6"/>
        <v>2</v>
      </c>
      <c r="F19" s="60">
        <f t="shared" ca="1" si="7"/>
        <v>20</v>
      </c>
      <c r="G19" s="60">
        <f t="shared" ca="1" si="8"/>
        <v>0</v>
      </c>
      <c r="H19" s="60" t="s">
        <v>73</v>
      </c>
      <c r="I19" s="62" t="s">
        <v>1334</v>
      </c>
      <c r="J19" s="118" t="s">
        <v>95</v>
      </c>
    </row>
    <row r="20" spans="1:10">
      <c r="A20" s="41" t="s">
        <v>87</v>
      </c>
      <c r="B20" s="60">
        <v>2</v>
      </c>
      <c r="C20" s="60">
        <v>86</v>
      </c>
      <c r="D20" s="60">
        <f t="shared" ca="1" si="4"/>
        <v>85</v>
      </c>
      <c r="E20" s="60">
        <f t="shared" si="6"/>
        <v>2</v>
      </c>
      <c r="F20" s="60">
        <v>22</v>
      </c>
      <c r="G20" s="60">
        <f t="shared" ca="1" si="8"/>
        <v>21</v>
      </c>
      <c r="H20" s="60" t="s">
        <v>88</v>
      </c>
      <c r="I20" s="62" t="s">
        <v>87</v>
      </c>
      <c r="J20" s="118"/>
    </row>
    <row r="21" spans="1:10">
      <c r="A21" s="41" t="s">
        <v>979</v>
      </c>
      <c r="B21" s="60">
        <v>1</v>
      </c>
      <c r="C21" s="60">
        <v>87</v>
      </c>
      <c r="D21" s="60">
        <v>87</v>
      </c>
      <c r="E21" s="60">
        <v>2</v>
      </c>
      <c r="F21" s="60">
        <v>23</v>
      </c>
      <c r="G21" s="60">
        <v>23</v>
      </c>
      <c r="H21" s="60" t="s">
        <v>73</v>
      </c>
      <c r="I21" s="62" t="s">
        <v>990</v>
      </c>
      <c r="J21" s="118"/>
    </row>
    <row r="22" spans="1:10">
      <c r="A22" s="41" t="s">
        <v>613</v>
      </c>
      <c r="B22" s="60">
        <v>8</v>
      </c>
      <c r="C22" s="60">
        <v>95</v>
      </c>
      <c r="D22" s="60">
        <f t="shared" ca="1" si="4"/>
        <v>88</v>
      </c>
      <c r="E22" s="60">
        <f t="shared" si="6"/>
        <v>2</v>
      </c>
      <c r="F22" s="60">
        <v>31</v>
      </c>
      <c r="G22" s="60">
        <f t="shared" ca="1" si="8"/>
        <v>24</v>
      </c>
      <c r="H22" s="60" t="s">
        <v>88</v>
      </c>
      <c r="I22" s="62" t="s">
        <v>614</v>
      </c>
      <c r="J22" s="149">
        <v>0</v>
      </c>
    </row>
    <row r="23" spans="1:10" s="36" customFormat="1" ht="46.8">
      <c r="A23" s="41" t="s">
        <v>98</v>
      </c>
      <c r="B23" s="60">
        <v>32</v>
      </c>
      <c r="C23" s="60">
        <f t="shared" ca="1" si="5"/>
        <v>127</v>
      </c>
      <c r="D23" s="60">
        <f t="shared" ca="1" si="4"/>
        <v>96</v>
      </c>
      <c r="E23" s="60">
        <f t="shared" ca="1" si="6"/>
        <v>3</v>
      </c>
      <c r="F23" s="60">
        <f t="shared" ca="1" si="7"/>
        <v>31</v>
      </c>
      <c r="G23" s="60">
        <f t="shared" ca="1" si="8"/>
        <v>0</v>
      </c>
      <c r="H23" s="60" t="s">
        <v>73</v>
      </c>
      <c r="I23" s="62" t="s">
        <v>1338</v>
      </c>
      <c r="J23" s="150" t="s">
        <v>615</v>
      </c>
    </row>
    <row r="24" spans="1:10" s="36" customFormat="1">
      <c r="A24" s="159" t="s">
        <v>571</v>
      </c>
      <c r="B24" s="152"/>
      <c r="C24" s="152"/>
      <c r="D24" s="152"/>
      <c r="E24" s="152"/>
      <c r="F24" s="152"/>
      <c r="G24" s="152"/>
      <c r="H24" s="153"/>
      <c r="I24" s="154"/>
      <c r="J24" s="153"/>
    </row>
    <row r="25" spans="1:10">
      <c r="A25" s="159" t="s">
        <v>144</v>
      </c>
      <c r="B25" s="152"/>
      <c r="C25" s="152"/>
      <c r="D25" s="152"/>
      <c r="E25" s="152"/>
      <c r="F25" s="152"/>
      <c r="G25" s="152"/>
      <c r="H25" s="153"/>
      <c r="I25" s="154"/>
      <c r="J25" s="153"/>
    </row>
    <row r="26" spans="1:10">
      <c r="A26" s="159" t="s">
        <v>145</v>
      </c>
      <c r="B26" s="152"/>
      <c r="C26" s="152"/>
      <c r="D26" s="152"/>
      <c r="E26" s="152"/>
      <c r="F26" s="152"/>
      <c r="G26" s="152"/>
      <c r="H26" s="153"/>
      <c r="I26" s="154"/>
      <c r="J26" s="153"/>
    </row>
    <row r="27" spans="1:10">
      <c r="A27" s="159" t="s">
        <v>146</v>
      </c>
      <c r="B27" s="152"/>
      <c r="C27" s="152"/>
      <c r="D27" s="152"/>
      <c r="E27" s="152"/>
      <c r="F27" s="152"/>
      <c r="G27" s="152"/>
      <c r="H27" s="153"/>
      <c r="I27" s="154"/>
      <c r="J27" s="153"/>
    </row>
    <row r="28" spans="1:10">
      <c r="A28" s="159" t="s">
        <v>147</v>
      </c>
      <c r="B28" s="152"/>
      <c r="C28" s="152"/>
      <c r="D28" s="152"/>
      <c r="E28" s="152"/>
      <c r="F28" s="152"/>
      <c r="G28" s="152"/>
      <c r="H28" s="153"/>
      <c r="I28" s="154"/>
      <c r="J28" s="153"/>
    </row>
  </sheetData>
  <phoneticPr fontId="3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54"/>
  <sheetViews>
    <sheetView zoomScale="85" zoomScaleNormal="85" workbookViewId="0">
      <selection activeCell="I54" sqref="I54"/>
    </sheetView>
  </sheetViews>
  <sheetFormatPr defaultColWidth="8.88671875" defaultRowHeight="16.2"/>
  <cols>
    <col min="1" max="1" width="30.6640625" customWidth="1"/>
    <col min="2" max="2" width="14" customWidth="1"/>
    <col min="3" max="3" width="12.44140625" customWidth="1"/>
    <col min="4" max="4" width="11.88671875" customWidth="1"/>
    <col min="5" max="5" width="18.88671875" customWidth="1"/>
    <col min="6" max="6" width="13.44140625" customWidth="1"/>
    <col min="7" max="7" width="15.109375" customWidth="1"/>
    <col min="8" max="8" width="5.6640625" customWidth="1"/>
    <col min="9" max="9" width="170.109375" customWidth="1"/>
    <col min="10" max="10" width="28.88671875" style="36" customWidth="1"/>
  </cols>
  <sheetData>
    <row r="1" spans="1:53">
      <c r="A1" s="38" t="s">
        <v>66</v>
      </c>
      <c r="B1" s="39" t="s">
        <v>67</v>
      </c>
      <c r="C1" s="39" t="s">
        <v>68</v>
      </c>
      <c r="D1" s="39" t="s">
        <v>69</v>
      </c>
      <c r="E1" s="39" t="s">
        <v>70</v>
      </c>
      <c r="F1" s="39" t="s">
        <v>71</v>
      </c>
      <c r="G1" s="39" t="s">
        <v>72</v>
      </c>
      <c r="H1" s="40" t="s">
        <v>73</v>
      </c>
      <c r="I1" s="45" t="s">
        <v>74</v>
      </c>
      <c r="J1" s="148" t="s">
        <v>555</v>
      </c>
    </row>
    <row r="2" spans="1:53" ht="46.8">
      <c r="A2" s="41" t="s">
        <v>75</v>
      </c>
      <c r="B2" s="60">
        <v>1</v>
      </c>
      <c r="C2" s="60">
        <f t="shared" ref="C2:C49" si="0">D2+B2-1</f>
        <v>0</v>
      </c>
      <c r="D2" s="60">
        <v>0</v>
      </c>
      <c r="E2" s="60">
        <f t="shared" ref="E2:E49" si="1">ROUNDDOWN(C2/32,0)</f>
        <v>0</v>
      </c>
      <c r="F2" s="60">
        <f t="shared" ref="F2:F49" si="2">C2-E2*32</f>
        <v>0</v>
      </c>
      <c r="G2" s="60">
        <f>D2-E2*32</f>
        <v>0</v>
      </c>
      <c r="H2" s="60" t="s">
        <v>73</v>
      </c>
      <c r="I2" s="62" t="str">
        <f ca="1">CONCATENATE(INDIRECT("template!I2"))</f>
        <v>Interrupt Enable;if this bit is set, CPU COULD get interrupt when the instruction is finished 
0: disable interrupt
1: enable interrupt</v>
      </c>
      <c r="J2" s="118" t="s">
        <v>95</v>
      </c>
    </row>
    <row r="3" spans="1:53" ht="46.8">
      <c r="A3" s="41" t="s">
        <v>77</v>
      </c>
      <c r="B3" s="60">
        <v>1</v>
      </c>
      <c r="C3" s="60">
        <f t="shared" ca="1" si="0"/>
        <v>1</v>
      </c>
      <c r="D3" s="60">
        <f t="shared" ref="D3:D49" ca="1" si="3">INDIRECT(ADDRESS(ROW()-1,COLUMN()-1))+1</f>
        <v>1</v>
      </c>
      <c r="E3" s="60">
        <f t="shared" ca="1" si="1"/>
        <v>0</v>
      </c>
      <c r="F3" s="60">
        <f t="shared" ca="1" si="2"/>
        <v>1</v>
      </c>
      <c r="G3" s="60">
        <f ca="1">D3-E3*32</f>
        <v>1</v>
      </c>
      <c r="H3" s="60" t="s">
        <v>73</v>
      </c>
      <c r="I3" s="62" t="str">
        <f ca="1">CONCATENATE(INDIRECT("template!I3"))</f>
        <v>Stride enable
0：No stride for all blob definition
1：Enable stride for all blob definition</v>
      </c>
      <c r="J3" s="118" t="s">
        <v>95</v>
      </c>
    </row>
    <row r="4" spans="1:53" ht="46.8">
      <c r="A4" s="41" t="s">
        <v>79</v>
      </c>
      <c r="B4" s="60">
        <v>1</v>
      </c>
      <c r="C4" s="60">
        <f t="shared" ca="1" si="0"/>
        <v>2</v>
      </c>
      <c r="D4" s="60">
        <f t="shared" ca="1" si="3"/>
        <v>2</v>
      </c>
      <c r="E4" s="60">
        <f t="shared" ca="1" si="1"/>
        <v>0</v>
      </c>
      <c r="F4" s="60">
        <f t="shared" ca="1" si="2"/>
        <v>2</v>
      </c>
      <c r="G4" s="60">
        <f t="shared" ref="G4:G13" ca="1" si="4">D4-E4*32</f>
        <v>2</v>
      </c>
      <c r="H4" s="60" t="s">
        <v>73</v>
      </c>
      <c r="I4" s="62" t="str">
        <f ca="1">CONCATENATE(INDIRECT("template!I4"))</f>
        <v>NCHW copy bit
0: use separate src and dst NCHW value setting
1: reuse src NCHW value for dst NCHW value</v>
      </c>
      <c r="J4" s="118" t="s">
        <v>95</v>
      </c>
    </row>
    <row r="5" spans="1:53" s="36" customFormat="1" ht="31.2">
      <c r="A5" s="41" t="s">
        <v>559</v>
      </c>
      <c r="B5" s="60">
        <v>1</v>
      </c>
      <c r="C5" s="60">
        <f t="shared" ca="1" si="0"/>
        <v>3</v>
      </c>
      <c r="D5" s="60">
        <f t="shared" ca="1" si="3"/>
        <v>3</v>
      </c>
      <c r="E5" s="60">
        <f t="shared" ca="1" si="1"/>
        <v>0</v>
      </c>
      <c r="F5" s="60">
        <f t="shared" ca="1" si="2"/>
        <v>3</v>
      </c>
      <c r="G5" s="60">
        <f t="shared" ca="1" si="4"/>
        <v>3</v>
      </c>
      <c r="H5" s="60" t="s">
        <v>73</v>
      </c>
      <c r="I5" s="62" t="str">
        <f ca="1">CONCATENATE(INDIRECT("template!I5"))</f>
        <v>0:768bit full cmd;
1:128/256/384/512 short cmd</v>
      </c>
      <c r="J5" s="118" t="s">
        <v>95</v>
      </c>
    </row>
    <row r="6" spans="1:53" s="36" customFormat="1" ht="46.8">
      <c r="A6" s="41" t="s">
        <v>83</v>
      </c>
      <c r="B6" s="60">
        <v>1</v>
      </c>
      <c r="C6" s="60">
        <f t="shared" ca="1" si="0"/>
        <v>4</v>
      </c>
      <c r="D6" s="60">
        <f t="shared" ca="1" si="3"/>
        <v>4</v>
      </c>
      <c r="E6" s="60">
        <f t="shared" ca="1" si="1"/>
        <v>0</v>
      </c>
      <c r="F6" s="60">
        <f t="shared" ca="1" si="2"/>
        <v>4</v>
      </c>
      <c r="G6" s="60">
        <f t="shared" ca="1" si="4"/>
        <v>4</v>
      </c>
      <c r="H6" s="60" t="s">
        <v>88</v>
      </c>
      <c r="I6" s="62" t="str">
        <f ca="1">CONCATENATE(INDIRECT("template!I6"))</f>
        <v>Read cache enable
0: Read not use cache
1: Read use cache</v>
      </c>
      <c r="J6" s="118" t="s">
        <v>95</v>
      </c>
    </row>
    <row r="7" spans="1:53" ht="46.8">
      <c r="A7" s="41" t="s">
        <v>85</v>
      </c>
      <c r="B7" s="60">
        <v>1</v>
      </c>
      <c r="C7" s="60">
        <f t="shared" ca="1" si="0"/>
        <v>5</v>
      </c>
      <c r="D7" s="60">
        <f t="shared" ca="1" si="3"/>
        <v>5</v>
      </c>
      <c r="E7" s="60">
        <f t="shared" ca="1" si="1"/>
        <v>0</v>
      </c>
      <c r="F7" s="60">
        <f t="shared" ca="1" si="2"/>
        <v>5</v>
      </c>
      <c r="G7" s="60">
        <f t="shared" ca="1" si="4"/>
        <v>5</v>
      </c>
      <c r="H7" s="60" t="s">
        <v>88</v>
      </c>
      <c r="I7" s="62" t="str">
        <f ca="1">CONCATENATE(INDIRECT("template!I7"))</f>
        <v>Flush cache
0: Not Flush cache
1: Flush cache</v>
      </c>
      <c r="J7" s="118" t="s">
        <v>95</v>
      </c>
    </row>
    <row r="8" spans="1:53">
      <c r="A8" s="41" t="s">
        <v>87</v>
      </c>
      <c r="B8" s="60">
        <v>2</v>
      </c>
      <c r="C8" s="60">
        <f t="shared" ca="1" si="0"/>
        <v>7</v>
      </c>
      <c r="D8" s="60">
        <f t="shared" ca="1" si="3"/>
        <v>6</v>
      </c>
      <c r="E8" s="60">
        <f t="shared" ca="1" si="1"/>
        <v>0</v>
      </c>
      <c r="F8" s="60">
        <f t="shared" ca="1" si="2"/>
        <v>7</v>
      </c>
      <c r="G8" s="60">
        <f t="shared" ca="1" si="4"/>
        <v>6</v>
      </c>
      <c r="H8" s="60" t="s">
        <v>88</v>
      </c>
      <c r="I8" s="62" t="str">
        <f ca="1">CONCATENATE(INDIRECT("template!I8"))</f>
        <v>reserved</v>
      </c>
      <c r="J8" s="149">
        <v>0</v>
      </c>
    </row>
    <row r="9" spans="1:53" s="36" customFormat="1">
      <c r="A9" s="41" t="s">
        <v>1234</v>
      </c>
      <c r="B9" s="60">
        <v>1</v>
      </c>
      <c r="C9" s="60">
        <f t="shared" si="0"/>
        <v>8</v>
      </c>
      <c r="D9" s="60">
        <v>8</v>
      </c>
      <c r="E9" s="60">
        <v>0</v>
      </c>
      <c r="F9" s="60">
        <v>8</v>
      </c>
      <c r="G9" s="60">
        <v>8</v>
      </c>
      <c r="H9" s="60" t="s">
        <v>1235</v>
      </c>
      <c r="I9" s="62"/>
      <c r="J9" s="118" t="s">
        <v>95</v>
      </c>
    </row>
    <row r="10" spans="1:53">
      <c r="A10" s="41" t="s">
        <v>1236</v>
      </c>
      <c r="B10" s="60">
        <v>1</v>
      </c>
      <c r="C10" s="60">
        <f t="shared" si="0"/>
        <v>9</v>
      </c>
      <c r="D10" s="60">
        <v>9</v>
      </c>
      <c r="E10" s="60">
        <v>0</v>
      </c>
      <c r="F10" s="60">
        <v>9</v>
      </c>
      <c r="G10" s="60">
        <v>9</v>
      </c>
      <c r="H10" s="60" t="s">
        <v>1235</v>
      </c>
      <c r="I10" s="62"/>
      <c r="J10" s="118" t="s">
        <v>95</v>
      </c>
    </row>
    <row r="11" spans="1:53" s="36" customFormat="1">
      <c r="A11" s="41" t="s">
        <v>1237</v>
      </c>
      <c r="B11" s="60">
        <v>1</v>
      </c>
      <c r="C11" s="60">
        <f t="shared" si="0"/>
        <v>10</v>
      </c>
      <c r="D11" s="60">
        <v>10</v>
      </c>
      <c r="E11" s="60">
        <v>0</v>
      </c>
      <c r="F11" s="60">
        <v>10</v>
      </c>
      <c r="G11" s="60">
        <v>10</v>
      </c>
      <c r="H11" s="60" t="s">
        <v>1235</v>
      </c>
      <c r="I11" s="62"/>
      <c r="J11" s="118" t="s">
        <v>95</v>
      </c>
    </row>
    <row r="12" spans="1:53" s="56" customFormat="1">
      <c r="A12" s="41" t="s">
        <v>1240</v>
      </c>
      <c r="B12" s="60">
        <v>1</v>
      </c>
      <c r="C12" s="60">
        <v>11</v>
      </c>
      <c r="D12" s="60">
        <v>11</v>
      </c>
      <c r="E12" s="60">
        <v>0</v>
      </c>
      <c r="F12" s="60">
        <v>11</v>
      </c>
      <c r="G12" s="60">
        <v>11</v>
      </c>
      <c r="H12" s="60" t="s">
        <v>1241</v>
      </c>
      <c r="I12" s="62"/>
      <c r="J12" s="118" t="s">
        <v>95</v>
      </c>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row>
    <row r="13" spans="1:53" s="36" customFormat="1">
      <c r="A13" s="41" t="s">
        <v>89</v>
      </c>
      <c r="B13" s="60">
        <v>20</v>
      </c>
      <c r="C13" s="60">
        <f t="shared" ca="1" si="0"/>
        <v>31</v>
      </c>
      <c r="D13" s="60">
        <f t="shared" ca="1" si="3"/>
        <v>12</v>
      </c>
      <c r="E13" s="60">
        <f t="shared" ca="1" si="1"/>
        <v>0</v>
      </c>
      <c r="F13" s="60">
        <f t="shared" ca="1" si="2"/>
        <v>31</v>
      </c>
      <c r="G13" s="60">
        <f t="shared" ca="1" si="4"/>
        <v>12</v>
      </c>
      <c r="H13" s="60" t="s">
        <v>88</v>
      </c>
      <c r="I13" s="62" t="str">
        <f ca="1">CONCATENATE(INDIRECT("template!I9"))</f>
        <v/>
      </c>
      <c r="J13" s="149">
        <v>0</v>
      </c>
    </row>
    <row r="14" spans="1:53" s="36" customFormat="1" ht="93.6">
      <c r="A14" s="41" t="s">
        <v>90</v>
      </c>
      <c r="B14" s="60">
        <v>5</v>
      </c>
      <c r="C14" s="60">
        <f t="shared" ref="C14:C17" ca="1" si="5">D14+B14-1</f>
        <v>36</v>
      </c>
      <c r="D14" s="60">
        <f t="shared" ca="1" si="3"/>
        <v>32</v>
      </c>
      <c r="E14" s="60">
        <f t="shared" ref="E14:E17" ca="1" si="6">ROUNDDOWN(C14/32,0)</f>
        <v>1</v>
      </c>
      <c r="F14" s="60">
        <f t="shared" ref="F14:F17" ca="1" si="7">C14-E14*32</f>
        <v>4</v>
      </c>
      <c r="G14" s="60">
        <f t="shared" ref="G14:G17" ca="1" si="8">D14-E14*32</f>
        <v>0</v>
      </c>
      <c r="H14" s="60" t="s">
        <v>73</v>
      </c>
      <c r="I14" s="62" t="str">
        <f ca="1">CONCATENATE(INDIRECT("template!I14"))</f>
        <v>0x0:GDMA_tensor                     0x1:GDMA_matrix
0x2:GDMA_masked_select       0x3:GDMA_general
                                                   0x5:GDMA_nonzero
0x6:GDMA_sys                           0x7:GDMA_gather
0x8:GDMA_scatter                    0x9:GDMA_reverse
0xc:GDMA_lossy_compress      0xd:GDMA_lossy_decompress</v>
      </c>
      <c r="J14" s="118" t="s">
        <v>95</v>
      </c>
    </row>
    <row r="15" spans="1:53" s="36" customFormat="1">
      <c r="A15" s="41" t="s">
        <v>91</v>
      </c>
      <c r="B15" s="60">
        <v>3</v>
      </c>
      <c r="C15" s="60">
        <f t="shared" ca="1" si="5"/>
        <v>39</v>
      </c>
      <c r="D15" s="60">
        <f t="shared" ca="1" si="3"/>
        <v>37</v>
      </c>
      <c r="E15" s="60">
        <f t="shared" ca="1" si="6"/>
        <v>1</v>
      </c>
      <c r="F15" s="60">
        <f t="shared" ca="1" si="7"/>
        <v>7</v>
      </c>
      <c r="G15" s="60">
        <f t="shared" ca="1" si="8"/>
        <v>5</v>
      </c>
      <c r="H15" s="60" t="s">
        <v>73</v>
      </c>
      <c r="I15" s="62" t="s">
        <v>87</v>
      </c>
      <c r="J15" s="118" t="s">
        <v>95</v>
      </c>
    </row>
    <row r="16" spans="1:53" s="36" customFormat="1">
      <c r="A16" s="41" t="s">
        <v>93</v>
      </c>
      <c r="B16" s="60">
        <v>1</v>
      </c>
      <c r="C16" s="60">
        <f t="shared" ca="1" si="5"/>
        <v>40</v>
      </c>
      <c r="D16" s="60">
        <f t="shared" ca="1" si="3"/>
        <v>40</v>
      </c>
      <c r="E16" s="60">
        <f t="shared" ca="1" si="6"/>
        <v>1</v>
      </c>
      <c r="F16" s="60">
        <f t="shared" ca="1" si="7"/>
        <v>8</v>
      </c>
      <c r="G16" s="60">
        <f t="shared" ca="1" si="8"/>
        <v>8</v>
      </c>
      <c r="H16" s="60" t="s">
        <v>73</v>
      </c>
      <c r="I16" s="62" t="s">
        <v>87</v>
      </c>
      <c r="J16" s="61" t="s">
        <v>574</v>
      </c>
    </row>
    <row r="17" spans="1:53" s="36" customFormat="1" ht="156">
      <c r="A17" s="41" t="s">
        <v>96</v>
      </c>
      <c r="B17" s="60">
        <v>4</v>
      </c>
      <c r="C17" s="60">
        <f t="shared" ca="1" si="5"/>
        <v>44</v>
      </c>
      <c r="D17" s="60">
        <f t="shared" ca="1" si="3"/>
        <v>41</v>
      </c>
      <c r="E17" s="60">
        <f t="shared" ca="1" si="6"/>
        <v>1</v>
      </c>
      <c r="F17" s="60">
        <f t="shared" ca="1" si="7"/>
        <v>12</v>
      </c>
      <c r="G17" s="60">
        <f t="shared" ca="1" si="8"/>
        <v>9</v>
      </c>
      <c r="H17" s="60" t="s">
        <v>73</v>
      </c>
      <c r="I17" s="62" t="s">
        <v>1336</v>
      </c>
      <c r="J17" s="118" t="s">
        <v>95</v>
      </c>
    </row>
    <row r="18" spans="1:53" s="36" customFormat="1">
      <c r="A18" s="41" t="s">
        <v>87</v>
      </c>
      <c r="B18" s="60">
        <v>19</v>
      </c>
      <c r="C18" s="60">
        <f t="shared" ref="C18:C23" ca="1" si="9">D18+B18-1</f>
        <v>63</v>
      </c>
      <c r="D18" s="60">
        <f t="shared" ref="D18:D23" ca="1" si="10">INDIRECT(ADDRESS(ROW()-1,COLUMN()-1))+1</f>
        <v>45</v>
      </c>
      <c r="E18" s="60">
        <f t="shared" ref="E18:E23" ca="1" si="11">ROUNDDOWN(C18/32,0)</f>
        <v>1</v>
      </c>
      <c r="F18" s="60">
        <f t="shared" ref="F18:F23" ca="1" si="12">C18-E18*32</f>
        <v>31</v>
      </c>
      <c r="G18" s="60">
        <f t="shared" ref="G18:G49" ca="1" si="13">D18-E18*32</f>
        <v>13</v>
      </c>
      <c r="H18" s="60" t="s">
        <v>88</v>
      </c>
      <c r="I18" s="62" t="str">
        <f ca="1">CONCATENATE(INDIRECT("template!I18"))</f>
        <v>reserved</v>
      </c>
      <c r="J18" s="149">
        <v>0</v>
      </c>
    </row>
    <row r="19" spans="1:53" s="36" customFormat="1" ht="31.2">
      <c r="A19" s="41" t="s">
        <v>97</v>
      </c>
      <c r="B19" s="60">
        <v>21</v>
      </c>
      <c r="C19" s="60">
        <f t="shared" ca="1" si="9"/>
        <v>84</v>
      </c>
      <c r="D19" s="60">
        <f t="shared" ca="1" si="10"/>
        <v>64</v>
      </c>
      <c r="E19" s="60">
        <f t="shared" ca="1" si="11"/>
        <v>2</v>
      </c>
      <c r="F19" s="60">
        <f t="shared" ca="1" si="12"/>
        <v>20</v>
      </c>
      <c r="G19" s="60">
        <f t="shared" ca="1" si="13"/>
        <v>0</v>
      </c>
      <c r="H19" s="60" t="s">
        <v>73</v>
      </c>
      <c r="I19" s="62" t="s">
        <v>1334</v>
      </c>
      <c r="J19" s="118" t="s">
        <v>95</v>
      </c>
    </row>
    <row r="20" spans="1:53">
      <c r="A20" s="41" t="s">
        <v>87</v>
      </c>
      <c r="B20" s="60">
        <v>2</v>
      </c>
      <c r="C20" s="60">
        <v>86</v>
      </c>
      <c r="D20" s="60">
        <v>85</v>
      </c>
      <c r="E20" s="60">
        <f t="shared" si="11"/>
        <v>2</v>
      </c>
      <c r="F20" s="60">
        <v>22</v>
      </c>
      <c r="G20" s="60">
        <f t="shared" si="13"/>
        <v>21</v>
      </c>
      <c r="H20" s="60" t="s">
        <v>988</v>
      </c>
      <c r="I20" s="62" t="s">
        <v>87</v>
      </c>
      <c r="J20" s="148"/>
    </row>
    <row r="21" spans="1:53">
      <c r="A21" s="41" t="s">
        <v>979</v>
      </c>
      <c r="B21" s="60">
        <v>1</v>
      </c>
      <c r="C21" s="60">
        <v>87</v>
      </c>
      <c r="D21" s="60">
        <v>87</v>
      </c>
      <c r="E21" s="60">
        <v>2</v>
      </c>
      <c r="F21" s="60">
        <v>23</v>
      </c>
      <c r="G21" s="60">
        <v>23</v>
      </c>
      <c r="H21" s="60" t="s">
        <v>989</v>
      </c>
      <c r="I21" s="62" t="s">
        <v>990</v>
      </c>
      <c r="J21" s="148"/>
    </row>
    <row r="22" spans="1:53">
      <c r="A22" s="41" t="s">
        <v>87</v>
      </c>
      <c r="B22" s="60">
        <v>8</v>
      </c>
      <c r="C22" s="60">
        <f t="shared" ref="C22" ca="1" si="14">D22+B22-1</f>
        <v>95</v>
      </c>
      <c r="D22" s="60">
        <f t="shared" ref="D22" ca="1" si="15">INDIRECT(ADDRESS(ROW()-1,COLUMN()-1))+1</f>
        <v>88</v>
      </c>
      <c r="E22" s="60">
        <f t="shared" ca="1" si="11"/>
        <v>2</v>
      </c>
      <c r="F22" s="60">
        <v>31</v>
      </c>
      <c r="G22" s="60">
        <f t="shared" ca="1" si="13"/>
        <v>24</v>
      </c>
      <c r="H22" s="60" t="s">
        <v>88</v>
      </c>
      <c r="I22" s="62" t="s">
        <v>87</v>
      </c>
      <c r="J22" s="148"/>
    </row>
    <row r="23" spans="1:53">
      <c r="A23" s="41" t="s">
        <v>98</v>
      </c>
      <c r="B23" s="60">
        <v>32</v>
      </c>
      <c r="C23" s="60">
        <f t="shared" ca="1" si="9"/>
        <v>127</v>
      </c>
      <c r="D23" s="60">
        <f t="shared" ca="1" si="10"/>
        <v>96</v>
      </c>
      <c r="E23" s="60">
        <f t="shared" ca="1" si="11"/>
        <v>3</v>
      </c>
      <c r="F23" s="60">
        <f t="shared" ca="1" si="12"/>
        <v>31</v>
      </c>
      <c r="G23" s="60">
        <f t="shared" ca="1" si="13"/>
        <v>0</v>
      </c>
      <c r="H23" s="60" t="s">
        <v>73</v>
      </c>
      <c r="I23" s="62" t="s">
        <v>1339</v>
      </c>
      <c r="J23" s="118" t="s">
        <v>95</v>
      </c>
    </row>
    <row r="24" spans="1:53">
      <c r="A24" s="41" t="s">
        <v>102</v>
      </c>
      <c r="B24" s="60">
        <v>32</v>
      </c>
      <c r="C24" s="60">
        <f t="shared" ca="1" si="0"/>
        <v>159</v>
      </c>
      <c r="D24" s="60">
        <f t="shared" ca="1" si="3"/>
        <v>128</v>
      </c>
      <c r="E24" s="60">
        <f t="shared" ca="1" si="1"/>
        <v>4</v>
      </c>
      <c r="F24" s="60">
        <f t="shared" ca="1" si="2"/>
        <v>31</v>
      </c>
      <c r="G24" s="60">
        <f t="shared" ca="1" si="13"/>
        <v>0</v>
      </c>
      <c r="H24" s="60" t="s">
        <v>73</v>
      </c>
      <c r="I24" s="62" t="s">
        <v>616</v>
      </c>
      <c r="J24" s="118" t="s">
        <v>95</v>
      </c>
    </row>
    <row r="25" spans="1:53" s="79" customFormat="1">
      <c r="A25" s="41" t="s">
        <v>104</v>
      </c>
      <c r="B25" s="60">
        <v>32</v>
      </c>
      <c r="C25" s="60">
        <f t="shared" ca="1" si="0"/>
        <v>191</v>
      </c>
      <c r="D25" s="60">
        <f t="shared" ca="1" si="3"/>
        <v>160</v>
      </c>
      <c r="E25" s="60">
        <f t="shared" ca="1" si="1"/>
        <v>5</v>
      </c>
      <c r="F25" s="60">
        <f t="shared" ca="1" si="2"/>
        <v>31</v>
      </c>
      <c r="G25" s="60">
        <f t="shared" ca="1" si="13"/>
        <v>0</v>
      </c>
      <c r="H25" s="60" t="s">
        <v>73</v>
      </c>
      <c r="I25" s="62" t="s">
        <v>617</v>
      </c>
      <c r="J25" s="118" t="s">
        <v>95</v>
      </c>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row>
    <row r="26" spans="1:53">
      <c r="A26" s="41" t="s">
        <v>110</v>
      </c>
      <c r="B26" s="60">
        <v>32</v>
      </c>
      <c r="C26" s="60">
        <f t="shared" ca="1" si="0"/>
        <v>223</v>
      </c>
      <c r="D26" s="60">
        <f t="shared" ca="1" si="3"/>
        <v>192</v>
      </c>
      <c r="E26" s="60">
        <f t="shared" ca="1" si="1"/>
        <v>6</v>
      </c>
      <c r="F26" s="60">
        <f t="shared" ca="1" si="2"/>
        <v>31</v>
      </c>
      <c r="G26" s="60">
        <f t="shared" ca="1" si="13"/>
        <v>0</v>
      </c>
      <c r="H26" s="60" t="s">
        <v>73</v>
      </c>
      <c r="I26" s="62" t="s">
        <v>1340</v>
      </c>
      <c r="J26" s="118" t="s">
        <v>95</v>
      </c>
    </row>
    <row r="27" spans="1:53">
      <c r="A27" s="41" t="s">
        <v>112</v>
      </c>
      <c r="B27" s="60">
        <v>32</v>
      </c>
      <c r="C27" s="60">
        <f t="shared" ca="1" si="0"/>
        <v>255</v>
      </c>
      <c r="D27" s="60">
        <f t="shared" ca="1" si="3"/>
        <v>224</v>
      </c>
      <c r="E27" s="60">
        <f t="shared" ca="1" si="1"/>
        <v>7</v>
      </c>
      <c r="F27" s="60">
        <f t="shared" ca="1" si="2"/>
        <v>31</v>
      </c>
      <c r="G27" s="60">
        <f t="shared" ca="1" si="13"/>
        <v>0</v>
      </c>
      <c r="H27" s="60" t="s">
        <v>73</v>
      </c>
      <c r="I27" s="62" t="s">
        <v>1341</v>
      </c>
      <c r="J27" s="118" t="s">
        <v>95</v>
      </c>
    </row>
    <row r="28" spans="1:53">
      <c r="A28" s="41" t="s">
        <v>618</v>
      </c>
      <c r="B28" s="60">
        <v>32</v>
      </c>
      <c r="C28" s="60">
        <f t="shared" ca="1" si="0"/>
        <v>287</v>
      </c>
      <c r="D28" s="60">
        <f t="shared" ca="1" si="3"/>
        <v>256</v>
      </c>
      <c r="E28" s="60">
        <f t="shared" ca="1" si="1"/>
        <v>8</v>
      </c>
      <c r="F28" s="60">
        <f t="shared" ca="1" si="2"/>
        <v>31</v>
      </c>
      <c r="G28" s="60">
        <f t="shared" ca="1" si="13"/>
        <v>0</v>
      </c>
      <c r="H28" s="60" t="s">
        <v>73</v>
      </c>
      <c r="I28" s="62" t="s">
        <v>1342</v>
      </c>
      <c r="J28" s="118" t="s">
        <v>95</v>
      </c>
    </row>
    <row r="29" spans="1:53">
      <c r="A29" s="41" t="s">
        <v>1343</v>
      </c>
      <c r="B29" s="60">
        <v>32</v>
      </c>
      <c r="C29" s="60">
        <f t="shared" ca="1" si="0"/>
        <v>319</v>
      </c>
      <c r="D29" s="60">
        <f t="shared" ca="1" si="3"/>
        <v>288</v>
      </c>
      <c r="E29" s="60">
        <f t="shared" ca="1" si="1"/>
        <v>9</v>
      </c>
      <c r="F29" s="60">
        <f t="shared" ca="1" si="2"/>
        <v>31</v>
      </c>
      <c r="G29" s="60">
        <f t="shared" ca="1" si="13"/>
        <v>0</v>
      </c>
      <c r="H29" s="60" t="s">
        <v>73</v>
      </c>
      <c r="I29" s="62" t="s">
        <v>1344</v>
      </c>
      <c r="J29" s="61" t="s">
        <v>574</v>
      </c>
    </row>
    <row r="30" spans="1:53" s="80" customFormat="1">
      <c r="A30" s="41" t="s">
        <v>87</v>
      </c>
      <c r="B30" s="60">
        <v>16</v>
      </c>
      <c r="C30" s="60">
        <f t="shared" ca="1" si="0"/>
        <v>335</v>
      </c>
      <c r="D30" s="60">
        <f t="shared" ca="1" si="3"/>
        <v>320</v>
      </c>
      <c r="E30" s="60">
        <f t="shared" ca="1" si="1"/>
        <v>10</v>
      </c>
      <c r="F30" s="60">
        <f t="shared" ca="1" si="2"/>
        <v>15</v>
      </c>
      <c r="G30" s="60">
        <f t="shared" ca="1" si="13"/>
        <v>0</v>
      </c>
      <c r="H30" s="60" t="s">
        <v>73</v>
      </c>
      <c r="I30" s="62" t="s">
        <v>87</v>
      </c>
      <c r="J30" s="149">
        <v>0</v>
      </c>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row>
    <row r="31" spans="1:53" ht="17.100000000000001" customHeight="1">
      <c r="A31" s="41" t="s">
        <v>118</v>
      </c>
      <c r="B31" s="60">
        <v>16</v>
      </c>
      <c r="C31" s="60">
        <f t="shared" ca="1" si="0"/>
        <v>351</v>
      </c>
      <c r="D31" s="60">
        <f t="shared" ca="1" si="3"/>
        <v>336</v>
      </c>
      <c r="E31" s="60">
        <f t="shared" ca="1" si="1"/>
        <v>10</v>
      </c>
      <c r="F31" s="60">
        <f t="shared" ca="1" si="2"/>
        <v>31</v>
      </c>
      <c r="G31" s="60">
        <f t="shared" ca="1" si="13"/>
        <v>16</v>
      </c>
      <c r="H31" s="60" t="s">
        <v>73</v>
      </c>
      <c r="I31" s="62" t="s">
        <v>1345</v>
      </c>
      <c r="J31" s="118" t="s">
        <v>95</v>
      </c>
    </row>
    <row r="32" spans="1:53" s="80" customFormat="1">
      <c r="A32" s="41" t="s">
        <v>120</v>
      </c>
      <c r="B32" s="60">
        <v>32</v>
      </c>
      <c r="C32" s="60">
        <f t="shared" ca="1" si="0"/>
        <v>383</v>
      </c>
      <c r="D32" s="60">
        <f t="shared" ca="1" si="3"/>
        <v>352</v>
      </c>
      <c r="E32" s="60">
        <f t="shared" ca="1" si="1"/>
        <v>11</v>
      </c>
      <c r="F32" s="60">
        <f t="shared" ca="1" si="2"/>
        <v>31</v>
      </c>
      <c r="G32" s="60">
        <f t="shared" ca="1" si="13"/>
        <v>0</v>
      </c>
      <c r="H32" s="60" t="s">
        <v>73</v>
      </c>
      <c r="I32" s="62" t="s">
        <v>1346</v>
      </c>
      <c r="J32" s="118" t="s">
        <v>95</v>
      </c>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row>
    <row r="33" spans="1:53">
      <c r="A33" s="41" t="s">
        <v>122</v>
      </c>
      <c r="B33" s="60">
        <v>16</v>
      </c>
      <c r="C33" s="60">
        <f t="shared" ca="1" si="0"/>
        <v>399</v>
      </c>
      <c r="D33" s="60">
        <f t="shared" ca="1" si="3"/>
        <v>384</v>
      </c>
      <c r="E33" s="60">
        <f t="shared" ca="1" si="1"/>
        <v>12</v>
      </c>
      <c r="F33" s="60">
        <f t="shared" ca="1" si="2"/>
        <v>15</v>
      </c>
      <c r="G33" s="60">
        <f t="shared" ca="1" si="13"/>
        <v>0</v>
      </c>
      <c r="H33" s="60" t="s">
        <v>73</v>
      </c>
      <c r="I33" s="62" t="s">
        <v>1347</v>
      </c>
      <c r="J33" s="118" t="s">
        <v>95</v>
      </c>
    </row>
    <row r="34" spans="1:53" s="80" customFormat="1">
      <c r="A34" s="41" t="s">
        <v>126</v>
      </c>
      <c r="B34" s="60">
        <v>16</v>
      </c>
      <c r="C34" s="60">
        <f t="shared" ca="1" si="0"/>
        <v>415</v>
      </c>
      <c r="D34" s="60">
        <f t="shared" ca="1" si="3"/>
        <v>400</v>
      </c>
      <c r="E34" s="60">
        <f t="shared" ca="1" si="1"/>
        <v>12</v>
      </c>
      <c r="F34" s="60">
        <f t="shared" ca="1" si="2"/>
        <v>31</v>
      </c>
      <c r="G34" s="60">
        <f t="shared" ca="1" si="13"/>
        <v>16</v>
      </c>
      <c r="H34" s="60" t="s">
        <v>73</v>
      </c>
      <c r="I34" s="62" t="s">
        <v>1348</v>
      </c>
      <c r="J34" s="61" t="s">
        <v>574</v>
      </c>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row>
    <row r="35" spans="1:53" s="36" customFormat="1" ht="48.6">
      <c r="A35" s="41" t="s">
        <v>128</v>
      </c>
      <c r="B35" s="60">
        <v>32</v>
      </c>
      <c r="C35" s="60">
        <f t="shared" ca="1" si="0"/>
        <v>447</v>
      </c>
      <c r="D35" s="60">
        <f t="shared" ca="1" si="3"/>
        <v>416</v>
      </c>
      <c r="E35" s="60">
        <f t="shared" ca="1" si="1"/>
        <v>13</v>
      </c>
      <c r="F35" s="60">
        <f t="shared" ca="1" si="2"/>
        <v>31</v>
      </c>
      <c r="G35" s="60">
        <f t="shared" ca="1" si="13"/>
        <v>0</v>
      </c>
      <c r="H35" s="60" t="s">
        <v>73</v>
      </c>
      <c r="I35" s="62" t="s">
        <v>1349</v>
      </c>
      <c r="J35" s="150" t="s">
        <v>607</v>
      </c>
    </row>
    <row r="36" spans="1:53" s="57" customFormat="1">
      <c r="A36" s="41" t="s">
        <v>130</v>
      </c>
      <c r="B36" s="60">
        <v>16</v>
      </c>
      <c r="C36" s="60">
        <f t="shared" ca="1" si="0"/>
        <v>463</v>
      </c>
      <c r="D36" s="60">
        <f t="shared" ca="1" si="3"/>
        <v>448</v>
      </c>
      <c r="E36" s="60">
        <f t="shared" ca="1" si="1"/>
        <v>14</v>
      </c>
      <c r="F36" s="60">
        <f t="shared" ca="1" si="2"/>
        <v>15</v>
      </c>
      <c r="G36" s="60">
        <f t="shared" ca="1" si="13"/>
        <v>0</v>
      </c>
      <c r="H36" s="60" t="s">
        <v>73</v>
      </c>
      <c r="I36" s="62" t="s">
        <v>1350</v>
      </c>
      <c r="J36" s="61" t="s">
        <v>574</v>
      </c>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row>
    <row r="37" spans="1:53" s="36" customFormat="1">
      <c r="A37" s="41" t="s">
        <v>619</v>
      </c>
      <c r="B37" s="60">
        <v>16</v>
      </c>
      <c r="C37" s="60">
        <f t="shared" ca="1" si="0"/>
        <v>479</v>
      </c>
      <c r="D37" s="60">
        <f t="shared" ca="1" si="3"/>
        <v>464</v>
      </c>
      <c r="E37" s="60">
        <f t="shared" ca="1" si="1"/>
        <v>14</v>
      </c>
      <c r="F37" s="60">
        <f t="shared" ca="1" si="2"/>
        <v>31</v>
      </c>
      <c r="G37" s="60">
        <f t="shared" ca="1" si="13"/>
        <v>16</v>
      </c>
      <c r="H37" s="60" t="s">
        <v>73</v>
      </c>
      <c r="I37" s="62" t="s">
        <v>1351</v>
      </c>
      <c r="J37" s="150" t="s">
        <v>95</v>
      </c>
    </row>
    <row r="38" spans="1:53" s="36" customFormat="1">
      <c r="A38" s="41" t="s">
        <v>620</v>
      </c>
      <c r="B38" s="60">
        <v>32</v>
      </c>
      <c r="C38" s="60">
        <f t="shared" ca="1" si="0"/>
        <v>511</v>
      </c>
      <c r="D38" s="60">
        <f t="shared" ca="1" si="3"/>
        <v>480</v>
      </c>
      <c r="E38" s="60">
        <f t="shared" ca="1" si="1"/>
        <v>15</v>
      </c>
      <c r="F38" s="60">
        <f t="shared" ca="1" si="2"/>
        <v>31</v>
      </c>
      <c r="G38" s="60">
        <f t="shared" ca="1" si="13"/>
        <v>0</v>
      </c>
      <c r="H38" s="60" t="s">
        <v>73</v>
      </c>
      <c r="I38" s="62" t="s">
        <v>1352</v>
      </c>
      <c r="J38" s="61" t="s">
        <v>574</v>
      </c>
    </row>
    <row r="39" spans="1:53" s="57" customFormat="1">
      <c r="A39" s="41" t="s">
        <v>132</v>
      </c>
      <c r="B39" s="60">
        <v>32</v>
      </c>
      <c r="C39" s="60">
        <f t="shared" ca="1" si="0"/>
        <v>543</v>
      </c>
      <c r="D39" s="60">
        <f t="shared" ca="1" si="3"/>
        <v>512</v>
      </c>
      <c r="E39" s="60">
        <f t="shared" ca="1" si="1"/>
        <v>16</v>
      </c>
      <c r="F39" s="60">
        <f t="shared" ca="1" si="2"/>
        <v>31</v>
      </c>
      <c r="G39" s="60">
        <f t="shared" ca="1" si="13"/>
        <v>0</v>
      </c>
      <c r="H39" s="60" t="s">
        <v>73</v>
      </c>
      <c r="I39" s="62" t="str">
        <f>template!I41</f>
        <v>source blob start address[31:0]</v>
      </c>
      <c r="J39" s="150" t="s">
        <v>95</v>
      </c>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row>
    <row r="40" spans="1:53" s="36" customFormat="1" ht="280.8">
      <c r="A40" s="41" t="s">
        <v>134</v>
      </c>
      <c r="B40" s="60">
        <v>13</v>
      </c>
      <c r="C40" s="60">
        <f t="shared" ca="1" si="0"/>
        <v>556</v>
      </c>
      <c r="D40" s="60">
        <f t="shared" ca="1" si="3"/>
        <v>544</v>
      </c>
      <c r="E40" s="60">
        <f t="shared" ca="1" si="1"/>
        <v>17</v>
      </c>
      <c r="F40" s="60">
        <f t="shared" ca="1" si="2"/>
        <v>12</v>
      </c>
      <c r="G40" s="60">
        <f t="shared" ca="1" si="13"/>
        <v>0</v>
      </c>
      <c r="H40" s="60" t="s">
        <v>73</v>
      </c>
      <c r="I40" s="62" t="str">
        <f>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40" s="150" t="s">
        <v>95</v>
      </c>
    </row>
    <row r="41" spans="1:53">
      <c r="A41" s="41" t="s">
        <v>87</v>
      </c>
      <c r="B41" s="60">
        <v>19</v>
      </c>
      <c r="C41" s="60">
        <f t="shared" ca="1" si="0"/>
        <v>575</v>
      </c>
      <c r="D41" s="60">
        <f t="shared" ca="1" si="3"/>
        <v>557</v>
      </c>
      <c r="E41" s="60">
        <f t="shared" ca="1" si="1"/>
        <v>17</v>
      </c>
      <c r="F41" s="60">
        <f t="shared" ca="1" si="2"/>
        <v>31</v>
      </c>
      <c r="G41" s="60">
        <f t="shared" ca="1" si="13"/>
        <v>13</v>
      </c>
      <c r="H41" s="60" t="s">
        <v>88</v>
      </c>
      <c r="I41" s="62" t="str">
        <f ca="1">INDIRECT("template!I43")</f>
        <v>reserved</v>
      </c>
      <c r="J41" s="149">
        <v>0</v>
      </c>
    </row>
    <row r="42" spans="1:53" s="81" customFormat="1">
      <c r="A42" s="41" t="s">
        <v>135</v>
      </c>
      <c r="B42" s="60">
        <v>32</v>
      </c>
      <c r="C42" s="60">
        <f t="shared" ca="1" si="0"/>
        <v>607</v>
      </c>
      <c r="D42" s="60">
        <f t="shared" ca="1" si="3"/>
        <v>576</v>
      </c>
      <c r="E42" s="60">
        <f t="shared" ca="1" si="1"/>
        <v>18</v>
      </c>
      <c r="F42" s="60">
        <f t="shared" ca="1" si="2"/>
        <v>31</v>
      </c>
      <c r="G42" s="60">
        <f t="shared" ca="1" si="13"/>
        <v>0</v>
      </c>
      <c r="H42" s="60" t="s">
        <v>73</v>
      </c>
      <c r="I42" s="62" t="str">
        <f>template!I44</f>
        <v>destination blob start address[31:0]</v>
      </c>
      <c r="J42" s="118" t="s">
        <v>95</v>
      </c>
    </row>
    <row r="43" spans="1:53" ht="280.8">
      <c r="A43" s="41" t="s">
        <v>137</v>
      </c>
      <c r="B43" s="60">
        <v>13</v>
      </c>
      <c r="C43" s="60">
        <f t="shared" ca="1" si="0"/>
        <v>620</v>
      </c>
      <c r="D43" s="60">
        <f t="shared" ca="1" si="3"/>
        <v>608</v>
      </c>
      <c r="E43" s="60">
        <f t="shared" ca="1" si="1"/>
        <v>19</v>
      </c>
      <c r="F43" s="60">
        <f t="shared" ca="1" si="2"/>
        <v>12</v>
      </c>
      <c r="G43" s="60">
        <f t="shared" ca="1" si="13"/>
        <v>0</v>
      </c>
      <c r="H43" s="60" t="s">
        <v>73</v>
      </c>
      <c r="I43" s="62" t="str">
        <f>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dst is tiu, otherwise, dst is DTN</v>
      </c>
      <c r="J43" s="150" t="s">
        <v>95</v>
      </c>
    </row>
    <row r="44" spans="1:53">
      <c r="A44" s="41" t="s">
        <v>87</v>
      </c>
      <c r="B44" s="60">
        <v>19</v>
      </c>
      <c r="C44" s="60">
        <f t="shared" ca="1" si="0"/>
        <v>639</v>
      </c>
      <c r="D44" s="60">
        <f t="shared" ca="1" si="3"/>
        <v>621</v>
      </c>
      <c r="E44" s="60">
        <f t="shared" ca="1" si="1"/>
        <v>19</v>
      </c>
      <c r="F44" s="60">
        <f t="shared" ca="1" si="2"/>
        <v>31</v>
      </c>
      <c r="G44" s="60">
        <f t="shared" ca="1" si="13"/>
        <v>13</v>
      </c>
      <c r="H44" s="60" t="s">
        <v>88</v>
      </c>
      <c r="I44" s="62" t="str">
        <f ca="1">INDIRECT("template!I46")</f>
        <v>reserved</v>
      </c>
      <c r="J44" s="149">
        <v>0</v>
      </c>
    </row>
    <row r="45" spans="1:53">
      <c r="A45" s="41" t="s">
        <v>621</v>
      </c>
      <c r="B45" s="60">
        <v>32</v>
      </c>
      <c r="C45" s="60">
        <f t="shared" ca="1" si="0"/>
        <v>671</v>
      </c>
      <c r="D45" s="60">
        <f t="shared" ca="1" si="3"/>
        <v>640</v>
      </c>
      <c r="E45" s="60">
        <f t="shared" ca="1" si="1"/>
        <v>20</v>
      </c>
      <c r="F45" s="60">
        <f t="shared" ca="1" si="2"/>
        <v>31</v>
      </c>
      <c r="G45" s="60">
        <f t="shared" ca="1" si="13"/>
        <v>0</v>
      </c>
      <c r="H45" s="60" t="s">
        <v>73</v>
      </c>
      <c r="I45" s="62" t="str">
        <f>template!I47</f>
        <v>mask/index blob start address[31:0]</v>
      </c>
      <c r="J45" s="118" t="s">
        <v>95</v>
      </c>
    </row>
    <row r="46" spans="1:53" ht="280.8">
      <c r="A46" s="41" t="s">
        <v>622</v>
      </c>
      <c r="B46" s="60">
        <v>13</v>
      </c>
      <c r="C46" s="60">
        <f t="shared" ca="1" si="0"/>
        <v>684</v>
      </c>
      <c r="D46" s="60">
        <f t="shared" ca="1" si="3"/>
        <v>672</v>
      </c>
      <c r="E46" s="60">
        <f t="shared" ca="1" si="1"/>
        <v>21</v>
      </c>
      <c r="F46" s="60">
        <f t="shared" ca="1" si="2"/>
        <v>12</v>
      </c>
      <c r="G46" s="60">
        <f t="shared" ca="1" si="13"/>
        <v>0</v>
      </c>
      <c r="H46" s="60" t="s">
        <v>73</v>
      </c>
      <c r="I46" s="62" t="str">
        <f>template!I48</f>
        <v>bit[7:0]=mask/index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mask/index is tiu, otherwise, mask/index is DTN</v>
      </c>
      <c r="J46" s="161" t="s">
        <v>95</v>
      </c>
    </row>
    <row r="47" spans="1:53">
      <c r="A47" s="41" t="s">
        <v>623</v>
      </c>
      <c r="B47" s="60">
        <v>19</v>
      </c>
      <c r="C47" s="60">
        <f t="shared" ca="1" si="0"/>
        <v>703</v>
      </c>
      <c r="D47" s="60">
        <f t="shared" ca="1" si="3"/>
        <v>685</v>
      </c>
      <c r="E47" s="60">
        <f t="shared" ca="1" si="1"/>
        <v>21</v>
      </c>
      <c r="F47" s="60">
        <f t="shared" ca="1" si="2"/>
        <v>31</v>
      </c>
      <c r="G47" s="60">
        <f t="shared" ca="1" si="13"/>
        <v>13</v>
      </c>
      <c r="H47" s="60" t="s">
        <v>88</v>
      </c>
      <c r="I47" s="62" t="s">
        <v>87</v>
      </c>
      <c r="J47" s="149">
        <v>0</v>
      </c>
    </row>
    <row r="48" spans="1:53">
      <c r="A48" s="41" t="s">
        <v>139</v>
      </c>
      <c r="B48" s="60">
        <v>32</v>
      </c>
      <c r="C48" s="60">
        <f t="shared" ca="1" si="0"/>
        <v>735</v>
      </c>
      <c r="D48" s="60">
        <f t="shared" ca="1" si="3"/>
        <v>704</v>
      </c>
      <c r="E48" s="60">
        <f t="shared" ca="1" si="1"/>
        <v>22</v>
      </c>
      <c r="F48" s="60">
        <f t="shared" ca="1" si="2"/>
        <v>31</v>
      </c>
      <c r="G48" s="60">
        <f t="shared" ca="1" si="13"/>
        <v>0</v>
      </c>
      <c r="H48" s="60" t="s">
        <v>73</v>
      </c>
      <c r="I48" s="54" t="s">
        <v>139</v>
      </c>
      <c r="J48" s="118" t="s">
        <v>95</v>
      </c>
    </row>
    <row r="49" spans="1:10">
      <c r="A49" s="41" t="s">
        <v>1021</v>
      </c>
      <c r="B49" s="60">
        <v>32</v>
      </c>
      <c r="C49" s="60">
        <f t="shared" ca="1" si="0"/>
        <v>767</v>
      </c>
      <c r="D49" s="60">
        <f t="shared" ca="1" si="3"/>
        <v>736</v>
      </c>
      <c r="E49" s="60">
        <f t="shared" ca="1" si="1"/>
        <v>23</v>
      </c>
      <c r="F49" s="60">
        <f t="shared" ca="1" si="2"/>
        <v>31</v>
      </c>
      <c r="G49" s="60">
        <f t="shared" ca="1" si="13"/>
        <v>0</v>
      </c>
      <c r="H49" s="60" t="s">
        <v>73</v>
      </c>
      <c r="I49" s="54" t="s">
        <v>1021</v>
      </c>
      <c r="J49" s="149">
        <v>0</v>
      </c>
    </row>
    <row r="50" spans="1:10">
      <c r="A50" s="159" t="s">
        <v>571</v>
      </c>
      <c r="B50" s="152"/>
      <c r="C50" s="152"/>
      <c r="D50" s="152"/>
      <c r="E50" s="152"/>
      <c r="F50" s="152"/>
      <c r="G50" s="152"/>
      <c r="H50" s="153"/>
      <c r="I50" s="154"/>
      <c r="J50" s="153"/>
    </row>
    <row r="51" spans="1:10">
      <c r="A51" s="159" t="s">
        <v>144</v>
      </c>
      <c r="B51" s="152"/>
      <c r="C51" s="152"/>
      <c r="D51" s="152"/>
      <c r="E51" s="152"/>
      <c r="F51" s="152"/>
      <c r="G51" s="152"/>
      <c r="H51" s="153"/>
      <c r="I51" s="154"/>
      <c r="J51" s="153"/>
    </row>
    <row r="52" spans="1:10">
      <c r="A52" s="159" t="s">
        <v>145</v>
      </c>
      <c r="B52" s="152"/>
      <c r="C52" s="152"/>
      <c r="D52" s="152"/>
      <c r="E52" s="152"/>
      <c r="F52" s="152"/>
      <c r="G52" s="152"/>
      <c r="H52" s="153"/>
      <c r="I52" s="154"/>
      <c r="J52" s="153"/>
    </row>
    <row r="53" spans="1:10">
      <c r="A53" s="159" t="s">
        <v>146</v>
      </c>
      <c r="B53" s="152"/>
      <c r="C53" s="152"/>
      <c r="D53" s="152"/>
      <c r="E53" s="152"/>
      <c r="F53" s="152"/>
      <c r="G53" s="152"/>
      <c r="H53" s="153"/>
      <c r="I53" s="154"/>
      <c r="J53" s="153"/>
    </row>
    <row r="54" spans="1:10">
      <c r="A54" s="159" t="s">
        <v>147</v>
      </c>
      <c r="B54" s="152"/>
      <c r="C54" s="152"/>
      <c r="D54" s="152"/>
      <c r="E54" s="152"/>
      <c r="F54" s="152"/>
      <c r="G54" s="152"/>
      <c r="H54" s="153"/>
      <c r="I54" s="154"/>
      <c r="J54" s="153"/>
    </row>
  </sheetData>
  <phoneticPr fontId="32"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selection activeCell="D2" sqref="D2"/>
    </sheetView>
  </sheetViews>
  <sheetFormatPr defaultColWidth="8.88671875" defaultRowHeight="14.4"/>
  <cols>
    <col min="1" max="1" width="22.109375" customWidth="1"/>
    <col min="2" max="2" width="14.88671875" customWidth="1"/>
    <col min="3" max="3" width="13.33203125" customWidth="1"/>
    <col min="4" max="4" width="12.44140625" customWidth="1"/>
    <col min="5" max="5" width="19.88671875" customWidth="1"/>
    <col min="6" max="6" width="14.109375" customWidth="1"/>
    <col min="7" max="7" width="15.88671875" customWidth="1"/>
    <col min="8" max="8" width="5" customWidth="1"/>
    <col min="10" max="10" width="175.109375" customWidth="1"/>
  </cols>
  <sheetData>
    <row r="1" spans="1:10" s="36" customFormat="1" ht="16.2">
      <c r="A1" s="38" t="s">
        <v>66</v>
      </c>
      <c r="B1" s="39" t="s">
        <v>67</v>
      </c>
      <c r="C1" s="39" t="s">
        <v>68</v>
      </c>
      <c r="D1" s="39" t="s">
        <v>69</v>
      </c>
      <c r="E1" s="40" t="s">
        <v>70</v>
      </c>
      <c r="F1" s="39" t="s">
        <v>71</v>
      </c>
      <c r="G1" s="39" t="s">
        <v>72</v>
      </c>
      <c r="H1" s="40" t="s">
        <v>73</v>
      </c>
      <c r="I1" s="40" t="s">
        <v>624</v>
      </c>
      <c r="J1" s="45" t="s">
        <v>74</v>
      </c>
    </row>
    <row r="2" spans="1:10" s="36" customFormat="1" ht="49.35" customHeight="1">
      <c r="A2" s="41" t="s">
        <v>625</v>
      </c>
      <c r="B2" s="42">
        <v>1</v>
      </c>
      <c r="C2" s="42" t="e">
        <f t="shared" ref="C2:C33" si="0">D2+B2-1</f>
        <v>#REF!</v>
      </c>
      <c r="D2" s="42" t="e">
        <f>#REF!+1</f>
        <v>#REF!</v>
      </c>
      <c r="E2" s="63" t="e">
        <f t="shared" ref="E2:E33" si="1">ROUNDDOWN(C2/32,0)</f>
        <v>#REF!</v>
      </c>
      <c r="F2" s="42" t="e">
        <f t="shared" ref="F2:F33" si="2">C2-E2*32</f>
        <v>#REF!</v>
      </c>
      <c r="G2" s="42" t="e">
        <f t="shared" ref="G2:G33" si="3">D2-E2*32</f>
        <v>#REF!</v>
      </c>
      <c r="H2" s="64" t="s">
        <v>73</v>
      </c>
      <c r="I2" s="63" t="s">
        <v>626</v>
      </c>
      <c r="J2" s="74" t="s">
        <v>627</v>
      </c>
    </row>
    <row r="3" spans="1:10" s="36" customFormat="1" ht="37.799999999999997">
      <c r="A3" s="41" t="s">
        <v>628</v>
      </c>
      <c r="B3" s="42">
        <v>1</v>
      </c>
      <c r="C3" s="42" t="e">
        <f t="shared" si="0"/>
        <v>#REF!</v>
      </c>
      <c r="D3" s="42" t="e">
        <f t="shared" ref="D3:D34" si="4">C2+1</f>
        <v>#REF!</v>
      </c>
      <c r="E3" s="63" t="e">
        <f t="shared" si="1"/>
        <v>#REF!</v>
      </c>
      <c r="F3" s="42" t="e">
        <f t="shared" si="2"/>
        <v>#REF!</v>
      </c>
      <c r="G3" s="42" t="e">
        <f t="shared" si="3"/>
        <v>#REF!</v>
      </c>
      <c r="H3" s="64" t="s">
        <v>73</v>
      </c>
      <c r="I3" s="63" t="s">
        <v>626</v>
      </c>
      <c r="J3" s="75" t="s">
        <v>629</v>
      </c>
    </row>
    <row r="4" spans="1:10" s="36" customFormat="1" ht="37.799999999999997">
      <c r="A4" s="41" t="s">
        <v>630</v>
      </c>
      <c r="B4" s="42">
        <v>1</v>
      </c>
      <c r="C4" s="42" t="e">
        <f t="shared" si="0"/>
        <v>#REF!</v>
      </c>
      <c r="D4" s="42" t="e">
        <f t="shared" si="4"/>
        <v>#REF!</v>
      </c>
      <c r="E4" s="63" t="e">
        <f t="shared" si="1"/>
        <v>#REF!</v>
      </c>
      <c r="F4" s="42" t="e">
        <f t="shared" si="2"/>
        <v>#REF!</v>
      </c>
      <c r="G4" s="42" t="e">
        <f t="shared" si="3"/>
        <v>#REF!</v>
      </c>
      <c r="H4" s="64" t="s">
        <v>73</v>
      </c>
      <c r="I4" s="63" t="s">
        <v>626</v>
      </c>
      <c r="J4" s="74" t="s">
        <v>631</v>
      </c>
    </row>
    <row r="5" spans="1:10" s="36" customFormat="1" ht="62.4">
      <c r="A5" s="41" t="s">
        <v>75</v>
      </c>
      <c r="B5" s="42">
        <v>1</v>
      </c>
      <c r="C5" s="42" t="e">
        <f t="shared" si="0"/>
        <v>#REF!</v>
      </c>
      <c r="D5" s="42" t="e">
        <f t="shared" si="4"/>
        <v>#REF!</v>
      </c>
      <c r="E5" s="63" t="e">
        <f t="shared" si="1"/>
        <v>#REF!</v>
      </c>
      <c r="F5" s="42" t="e">
        <f t="shared" si="2"/>
        <v>#REF!</v>
      </c>
      <c r="G5" s="42" t="e">
        <f t="shared" si="3"/>
        <v>#REF!</v>
      </c>
      <c r="H5" s="64" t="s">
        <v>73</v>
      </c>
      <c r="I5" s="63" t="s">
        <v>626</v>
      </c>
      <c r="J5" s="48" t="s">
        <v>632</v>
      </c>
    </row>
    <row r="6" spans="1:10" s="36" customFormat="1" ht="62.4">
      <c r="A6" s="41" t="s">
        <v>633</v>
      </c>
      <c r="B6" s="42">
        <v>1</v>
      </c>
      <c r="C6" s="42" t="e">
        <f t="shared" si="0"/>
        <v>#REF!</v>
      </c>
      <c r="D6" s="42" t="e">
        <f t="shared" si="4"/>
        <v>#REF!</v>
      </c>
      <c r="E6" s="63" t="e">
        <f t="shared" si="1"/>
        <v>#REF!</v>
      </c>
      <c r="F6" s="42" t="e">
        <f t="shared" si="2"/>
        <v>#REF!</v>
      </c>
      <c r="G6" s="42" t="e">
        <f t="shared" si="3"/>
        <v>#REF!</v>
      </c>
      <c r="H6" s="64" t="s">
        <v>73</v>
      </c>
      <c r="I6" s="63" t="s">
        <v>626</v>
      </c>
      <c r="J6" s="48" t="s">
        <v>634</v>
      </c>
    </row>
    <row r="7" spans="1:10" s="36" customFormat="1" ht="62.4">
      <c r="A7" s="41" t="s">
        <v>77</v>
      </c>
      <c r="B7" s="42">
        <v>1</v>
      </c>
      <c r="C7" s="42" t="e">
        <f t="shared" si="0"/>
        <v>#REF!</v>
      </c>
      <c r="D7" s="42" t="e">
        <f t="shared" si="4"/>
        <v>#REF!</v>
      </c>
      <c r="E7" s="63" t="e">
        <f t="shared" si="1"/>
        <v>#REF!</v>
      </c>
      <c r="F7" s="42" t="e">
        <f t="shared" si="2"/>
        <v>#REF!</v>
      </c>
      <c r="G7" s="42" t="e">
        <f t="shared" si="3"/>
        <v>#REF!</v>
      </c>
      <c r="H7" s="64" t="s">
        <v>73</v>
      </c>
      <c r="I7" s="63" t="s">
        <v>626</v>
      </c>
      <c r="J7" s="48" t="s">
        <v>635</v>
      </c>
    </row>
    <row r="8" spans="1:10" s="36" customFormat="1" ht="78">
      <c r="A8" s="41" t="s">
        <v>636</v>
      </c>
      <c r="B8" s="42">
        <v>2</v>
      </c>
      <c r="C8" s="42" t="e">
        <f t="shared" si="0"/>
        <v>#REF!</v>
      </c>
      <c r="D8" s="42" t="e">
        <f t="shared" si="4"/>
        <v>#REF!</v>
      </c>
      <c r="E8" s="63" t="e">
        <f t="shared" si="1"/>
        <v>#REF!</v>
      </c>
      <c r="F8" s="42" t="e">
        <f t="shared" si="2"/>
        <v>#REF!</v>
      </c>
      <c r="G8" s="42" t="e">
        <f t="shared" si="3"/>
        <v>#REF!</v>
      </c>
      <c r="H8" s="64" t="s">
        <v>73</v>
      </c>
      <c r="I8" s="63" t="s">
        <v>637</v>
      </c>
      <c r="J8" s="48" t="s">
        <v>638</v>
      </c>
    </row>
    <row r="9" spans="1:10" s="36" customFormat="1" ht="46.8">
      <c r="A9" s="41" t="s">
        <v>639</v>
      </c>
      <c r="B9" s="42">
        <v>1</v>
      </c>
      <c r="C9" s="42" t="e">
        <f t="shared" si="0"/>
        <v>#REF!</v>
      </c>
      <c r="D9" s="42" t="e">
        <f t="shared" si="4"/>
        <v>#REF!</v>
      </c>
      <c r="E9" s="63" t="e">
        <f t="shared" si="1"/>
        <v>#REF!</v>
      </c>
      <c r="F9" s="42" t="e">
        <f t="shared" si="2"/>
        <v>#REF!</v>
      </c>
      <c r="G9" s="42" t="e">
        <f t="shared" si="3"/>
        <v>#REF!</v>
      </c>
      <c r="H9" s="64" t="s">
        <v>73</v>
      </c>
      <c r="I9" s="63" t="s">
        <v>626</v>
      </c>
      <c r="J9" s="48" t="s">
        <v>640</v>
      </c>
    </row>
    <row r="10" spans="1:10" s="36" customFormat="1" ht="62.4">
      <c r="A10" s="41" t="s">
        <v>641</v>
      </c>
      <c r="B10" s="42">
        <v>1</v>
      </c>
      <c r="C10" s="42" t="e">
        <f t="shared" si="0"/>
        <v>#REF!</v>
      </c>
      <c r="D10" s="42" t="e">
        <f t="shared" si="4"/>
        <v>#REF!</v>
      </c>
      <c r="E10" s="63" t="e">
        <f t="shared" si="1"/>
        <v>#REF!</v>
      </c>
      <c r="F10" s="42" t="e">
        <f t="shared" si="2"/>
        <v>#REF!</v>
      </c>
      <c r="G10" s="42" t="e">
        <f t="shared" si="3"/>
        <v>#REF!</v>
      </c>
      <c r="H10" s="64" t="s">
        <v>73</v>
      </c>
      <c r="I10" s="63" t="s">
        <v>626</v>
      </c>
      <c r="J10" s="48" t="s">
        <v>642</v>
      </c>
    </row>
    <row r="11" spans="1:10" s="36" customFormat="1" ht="31.2">
      <c r="A11" s="65" t="s">
        <v>643</v>
      </c>
      <c r="B11" s="42">
        <v>1</v>
      </c>
      <c r="C11" s="42" t="e">
        <f t="shared" si="0"/>
        <v>#REF!</v>
      </c>
      <c r="D11" s="42" t="e">
        <f t="shared" si="4"/>
        <v>#REF!</v>
      </c>
      <c r="E11" s="63" t="e">
        <f t="shared" si="1"/>
        <v>#REF!</v>
      </c>
      <c r="F11" s="42" t="e">
        <f t="shared" si="2"/>
        <v>#REF!</v>
      </c>
      <c r="G11" s="42" t="e">
        <f t="shared" si="3"/>
        <v>#REF!</v>
      </c>
      <c r="H11" s="64" t="s">
        <v>73</v>
      </c>
      <c r="I11" s="63" t="s">
        <v>644</v>
      </c>
      <c r="J11" s="48" t="s">
        <v>645</v>
      </c>
    </row>
    <row r="12" spans="1:10" s="36" customFormat="1" ht="62.4">
      <c r="A12" s="41" t="s">
        <v>646</v>
      </c>
      <c r="B12" s="42">
        <v>1</v>
      </c>
      <c r="C12" s="42" t="e">
        <f t="shared" si="0"/>
        <v>#REF!</v>
      </c>
      <c r="D12" s="42" t="e">
        <f t="shared" si="4"/>
        <v>#REF!</v>
      </c>
      <c r="E12" s="63" t="e">
        <f t="shared" si="1"/>
        <v>#REF!</v>
      </c>
      <c r="F12" s="42" t="e">
        <f t="shared" si="2"/>
        <v>#REF!</v>
      </c>
      <c r="G12" s="42" t="e">
        <f t="shared" si="3"/>
        <v>#REF!</v>
      </c>
      <c r="H12" s="64" t="s">
        <v>73</v>
      </c>
      <c r="I12" s="63" t="s">
        <v>626</v>
      </c>
      <c r="J12" s="48" t="s">
        <v>647</v>
      </c>
    </row>
    <row r="13" spans="1:10" s="34" customFormat="1" ht="15.6">
      <c r="A13" s="66" t="s">
        <v>89</v>
      </c>
      <c r="B13" s="67">
        <v>4</v>
      </c>
      <c r="C13" s="67" t="e">
        <f t="shared" si="0"/>
        <v>#REF!</v>
      </c>
      <c r="D13" s="67" t="e">
        <f t="shared" si="4"/>
        <v>#REF!</v>
      </c>
      <c r="E13" s="68" t="e">
        <f t="shared" si="1"/>
        <v>#REF!</v>
      </c>
      <c r="F13" s="67" t="e">
        <f t="shared" si="2"/>
        <v>#REF!</v>
      </c>
      <c r="G13" s="67" t="e">
        <f t="shared" si="3"/>
        <v>#REF!</v>
      </c>
      <c r="H13" s="69" t="s">
        <v>88</v>
      </c>
      <c r="I13" s="114" t="s">
        <v>648</v>
      </c>
      <c r="J13" s="76" t="s">
        <v>89</v>
      </c>
    </row>
    <row r="14" spans="1:10" s="36" customFormat="1" ht="16.2">
      <c r="A14" s="41" t="s">
        <v>649</v>
      </c>
      <c r="B14" s="42">
        <v>16</v>
      </c>
      <c r="C14" s="42" t="e">
        <f t="shared" si="0"/>
        <v>#REF!</v>
      </c>
      <c r="D14" s="42" t="e">
        <f t="shared" si="4"/>
        <v>#REF!</v>
      </c>
      <c r="E14" s="63" t="e">
        <f t="shared" si="1"/>
        <v>#REF!</v>
      </c>
      <c r="F14" s="42" t="e">
        <f t="shared" si="2"/>
        <v>#REF!</v>
      </c>
      <c r="G14" s="42" t="e">
        <f t="shared" si="3"/>
        <v>#REF!</v>
      </c>
      <c r="H14" s="64" t="s">
        <v>73</v>
      </c>
      <c r="I14" s="63" t="s">
        <v>650</v>
      </c>
      <c r="J14" s="48" t="s">
        <v>651</v>
      </c>
    </row>
    <row r="15" spans="1:10" s="36" customFormat="1" ht="93.6">
      <c r="A15" s="41" t="s">
        <v>652</v>
      </c>
      <c r="B15" s="42">
        <v>3</v>
      </c>
      <c r="C15" s="42" t="e">
        <f t="shared" si="0"/>
        <v>#REF!</v>
      </c>
      <c r="D15" s="42" t="e">
        <f t="shared" si="4"/>
        <v>#REF!</v>
      </c>
      <c r="E15" s="63" t="e">
        <f t="shared" si="1"/>
        <v>#REF!</v>
      </c>
      <c r="F15" s="42" t="e">
        <f t="shared" si="2"/>
        <v>#REF!</v>
      </c>
      <c r="G15" s="42" t="e">
        <f t="shared" si="3"/>
        <v>#REF!</v>
      </c>
      <c r="H15" s="64" t="s">
        <v>73</v>
      </c>
      <c r="I15" s="63" t="s">
        <v>653</v>
      </c>
      <c r="J15" s="48" t="s">
        <v>654</v>
      </c>
    </row>
    <row r="16" spans="1:10" s="36" customFormat="1" ht="93.6">
      <c r="A16" s="41" t="s">
        <v>655</v>
      </c>
      <c r="B16" s="42">
        <v>3</v>
      </c>
      <c r="C16" s="42" t="e">
        <f t="shared" si="0"/>
        <v>#REF!</v>
      </c>
      <c r="D16" s="42" t="e">
        <f t="shared" si="4"/>
        <v>#REF!</v>
      </c>
      <c r="E16" s="63" t="e">
        <f t="shared" si="1"/>
        <v>#REF!</v>
      </c>
      <c r="F16" s="42" t="e">
        <f t="shared" si="2"/>
        <v>#REF!</v>
      </c>
      <c r="G16" s="42" t="e">
        <f t="shared" si="3"/>
        <v>#REF!</v>
      </c>
      <c r="H16" s="64" t="s">
        <v>73</v>
      </c>
      <c r="I16" s="63" t="s">
        <v>653</v>
      </c>
      <c r="J16" s="48" t="s">
        <v>656</v>
      </c>
    </row>
    <row r="17" spans="1:10" s="36" customFormat="1" ht="46.8">
      <c r="A17" s="41" t="s">
        <v>657</v>
      </c>
      <c r="B17" s="42">
        <v>1</v>
      </c>
      <c r="C17" s="42" t="e">
        <f t="shared" si="0"/>
        <v>#REF!</v>
      </c>
      <c r="D17" s="42" t="e">
        <f t="shared" si="4"/>
        <v>#REF!</v>
      </c>
      <c r="E17" s="63" t="e">
        <f t="shared" si="1"/>
        <v>#REF!</v>
      </c>
      <c r="F17" s="42" t="e">
        <f t="shared" si="2"/>
        <v>#REF!</v>
      </c>
      <c r="G17" s="42" t="e">
        <f t="shared" si="3"/>
        <v>#REF!</v>
      </c>
      <c r="H17" s="64" t="s">
        <v>73</v>
      </c>
      <c r="I17" s="63" t="s">
        <v>658</v>
      </c>
      <c r="J17" s="48" t="s">
        <v>659</v>
      </c>
    </row>
    <row r="18" spans="1:10" s="36" customFormat="1" ht="46.8">
      <c r="A18" s="41" t="s">
        <v>660</v>
      </c>
      <c r="B18" s="42">
        <v>1</v>
      </c>
      <c r="C18" s="42" t="e">
        <f t="shared" si="0"/>
        <v>#REF!</v>
      </c>
      <c r="D18" s="42" t="e">
        <f t="shared" si="4"/>
        <v>#REF!</v>
      </c>
      <c r="E18" s="63" t="e">
        <f t="shared" si="1"/>
        <v>#REF!</v>
      </c>
      <c r="F18" s="42" t="e">
        <f t="shared" si="2"/>
        <v>#REF!</v>
      </c>
      <c r="G18" s="42" t="e">
        <f t="shared" si="3"/>
        <v>#REF!</v>
      </c>
      <c r="H18" s="64" t="s">
        <v>73</v>
      </c>
      <c r="I18" s="63" t="s">
        <v>658</v>
      </c>
      <c r="J18" s="48" t="s">
        <v>661</v>
      </c>
    </row>
    <row r="19" spans="1:10" s="36" customFormat="1" ht="93.6">
      <c r="A19" s="41" t="s">
        <v>96</v>
      </c>
      <c r="B19" s="42">
        <v>3</v>
      </c>
      <c r="C19" s="42" t="e">
        <f t="shared" si="0"/>
        <v>#REF!</v>
      </c>
      <c r="D19" s="42" t="e">
        <f t="shared" si="4"/>
        <v>#REF!</v>
      </c>
      <c r="E19" s="63" t="e">
        <f t="shared" si="1"/>
        <v>#REF!</v>
      </c>
      <c r="F19" s="42" t="e">
        <f t="shared" si="2"/>
        <v>#REF!</v>
      </c>
      <c r="G19" s="42" t="e">
        <f t="shared" si="3"/>
        <v>#REF!</v>
      </c>
      <c r="H19" s="64" t="s">
        <v>73</v>
      </c>
      <c r="I19" s="63" t="s">
        <v>653</v>
      </c>
      <c r="J19" s="48" t="s">
        <v>662</v>
      </c>
    </row>
    <row r="20" spans="1:10" s="36" customFormat="1" ht="16.2">
      <c r="A20" s="41" t="s">
        <v>663</v>
      </c>
      <c r="B20" s="42">
        <v>4</v>
      </c>
      <c r="C20" s="42" t="e">
        <f t="shared" si="0"/>
        <v>#REF!</v>
      </c>
      <c r="D20" s="42" t="e">
        <f t="shared" si="4"/>
        <v>#REF!</v>
      </c>
      <c r="E20" s="63" t="e">
        <f t="shared" si="1"/>
        <v>#REF!</v>
      </c>
      <c r="F20" s="42" t="e">
        <f t="shared" si="2"/>
        <v>#REF!</v>
      </c>
      <c r="G20" s="42" t="e">
        <f t="shared" si="3"/>
        <v>#REF!</v>
      </c>
      <c r="H20" s="64" t="s">
        <v>73</v>
      </c>
      <c r="I20" s="63" t="s">
        <v>664</v>
      </c>
      <c r="J20" s="48" t="s">
        <v>665</v>
      </c>
    </row>
    <row r="21" spans="1:10" s="36" customFormat="1" ht="46.8">
      <c r="A21" s="41" t="s">
        <v>666</v>
      </c>
      <c r="B21" s="42">
        <v>1</v>
      </c>
      <c r="C21" s="42" t="e">
        <f t="shared" si="0"/>
        <v>#REF!</v>
      </c>
      <c r="D21" s="42" t="e">
        <f t="shared" si="4"/>
        <v>#REF!</v>
      </c>
      <c r="E21" s="63" t="e">
        <f t="shared" si="1"/>
        <v>#REF!</v>
      </c>
      <c r="F21" s="42" t="e">
        <f t="shared" si="2"/>
        <v>#REF!</v>
      </c>
      <c r="G21" s="42" t="e">
        <f t="shared" si="3"/>
        <v>#REF!</v>
      </c>
      <c r="H21" s="64" t="s">
        <v>73</v>
      </c>
      <c r="I21" s="63" t="s">
        <v>667</v>
      </c>
      <c r="J21" s="48" t="s">
        <v>668</v>
      </c>
    </row>
    <row r="22" spans="1:10" s="36" customFormat="1" ht="16.2">
      <c r="A22" s="41" t="s">
        <v>669</v>
      </c>
      <c r="B22" s="42">
        <v>16</v>
      </c>
      <c r="C22" s="42" t="e">
        <f t="shared" si="0"/>
        <v>#REF!</v>
      </c>
      <c r="D22" s="42" t="e">
        <f t="shared" si="4"/>
        <v>#REF!</v>
      </c>
      <c r="E22" s="63" t="e">
        <f t="shared" si="1"/>
        <v>#REF!</v>
      </c>
      <c r="F22" s="42" t="e">
        <f t="shared" si="2"/>
        <v>#REF!</v>
      </c>
      <c r="G22" s="42" t="e">
        <f t="shared" si="3"/>
        <v>#REF!</v>
      </c>
      <c r="H22" s="64" t="s">
        <v>73</v>
      </c>
      <c r="I22" s="63" t="s">
        <v>650</v>
      </c>
      <c r="J22" s="48" t="s">
        <v>670</v>
      </c>
    </row>
    <row r="23" spans="1:10" s="36" customFormat="1" ht="16.2">
      <c r="A23" s="41" t="s">
        <v>671</v>
      </c>
      <c r="B23" s="42">
        <v>16</v>
      </c>
      <c r="C23" s="42" t="e">
        <f t="shared" si="0"/>
        <v>#REF!</v>
      </c>
      <c r="D23" s="42" t="e">
        <f t="shared" si="4"/>
        <v>#REF!</v>
      </c>
      <c r="E23" s="63" t="e">
        <f t="shared" si="1"/>
        <v>#REF!</v>
      </c>
      <c r="F23" s="42" t="e">
        <f t="shared" si="2"/>
        <v>#REF!</v>
      </c>
      <c r="G23" s="42" t="e">
        <f t="shared" si="3"/>
        <v>#REF!</v>
      </c>
      <c r="H23" s="64" t="s">
        <v>73</v>
      </c>
      <c r="I23" s="63" t="s">
        <v>650</v>
      </c>
      <c r="J23" s="48" t="s">
        <v>672</v>
      </c>
    </row>
    <row r="24" spans="1:10" s="36" customFormat="1" ht="16.2">
      <c r="A24" s="41" t="s">
        <v>673</v>
      </c>
      <c r="B24" s="42">
        <v>16</v>
      </c>
      <c r="C24" s="42" t="e">
        <f t="shared" si="0"/>
        <v>#REF!</v>
      </c>
      <c r="D24" s="42" t="e">
        <f t="shared" si="4"/>
        <v>#REF!</v>
      </c>
      <c r="E24" s="63" t="e">
        <f t="shared" si="1"/>
        <v>#REF!</v>
      </c>
      <c r="F24" s="42" t="e">
        <f t="shared" si="2"/>
        <v>#REF!</v>
      </c>
      <c r="G24" s="42" t="e">
        <f t="shared" si="3"/>
        <v>#REF!</v>
      </c>
      <c r="H24" s="64" t="s">
        <v>73</v>
      </c>
      <c r="I24" s="63" t="s">
        <v>650</v>
      </c>
      <c r="J24" s="48" t="s">
        <v>674</v>
      </c>
    </row>
    <row r="25" spans="1:10" s="36" customFormat="1" ht="16.2">
      <c r="A25" s="41" t="s">
        <v>98</v>
      </c>
      <c r="B25" s="42">
        <v>32</v>
      </c>
      <c r="C25" s="42" t="e">
        <f t="shared" si="0"/>
        <v>#REF!</v>
      </c>
      <c r="D25" s="42" t="e">
        <f t="shared" si="4"/>
        <v>#REF!</v>
      </c>
      <c r="E25" s="63" t="e">
        <f t="shared" si="1"/>
        <v>#REF!</v>
      </c>
      <c r="F25" s="42" t="e">
        <f t="shared" si="2"/>
        <v>#REF!</v>
      </c>
      <c r="G25" s="42" t="e">
        <f t="shared" si="3"/>
        <v>#REF!</v>
      </c>
      <c r="H25" s="64" t="s">
        <v>73</v>
      </c>
      <c r="I25" s="63" t="s">
        <v>675</v>
      </c>
      <c r="J25" s="48" t="s">
        <v>676</v>
      </c>
    </row>
    <row r="26" spans="1:10" s="36" customFormat="1" ht="31.2">
      <c r="A26" s="41" t="s">
        <v>100</v>
      </c>
      <c r="B26" s="42">
        <v>32</v>
      </c>
      <c r="C26" s="42" t="e">
        <f t="shared" si="0"/>
        <v>#REF!</v>
      </c>
      <c r="D26" s="42" t="e">
        <f t="shared" si="4"/>
        <v>#REF!</v>
      </c>
      <c r="E26" s="63" t="e">
        <f t="shared" si="1"/>
        <v>#REF!</v>
      </c>
      <c r="F26" s="42" t="e">
        <f t="shared" si="2"/>
        <v>#REF!</v>
      </c>
      <c r="G26" s="42" t="e">
        <f t="shared" si="3"/>
        <v>#REF!</v>
      </c>
      <c r="H26" s="64" t="s">
        <v>73</v>
      </c>
      <c r="I26" s="63" t="s">
        <v>677</v>
      </c>
      <c r="J26" s="48" t="s">
        <v>678</v>
      </c>
    </row>
    <row r="27" spans="1:10" s="36" customFormat="1" ht="16.2">
      <c r="A27" s="41" t="s">
        <v>102</v>
      </c>
      <c r="B27" s="42">
        <v>32</v>
      </c>
      <c r="C27" s="42" t="e">
        <f t="shared" si="0"/>
        <v>#REF!</v>
      </c>
      <c r="D27" s="42" t="e">
        <f t="shared" si="4"/>
        <v>#REF!</v>
      </c>
      <c r="E27" s="63" t="e">
        <f t="shared" si="1"/>
        <v>#REF!</v>
      </c>
      <c r="F27" s="42" t="e">
        <f t="shared" si="2"/>
        <v>#REF!</v>
      </c>
      <c r="G27" s="42" t="e">
        <f t="shared" si="3"/>
        <v>#REF!</v>
      </c>
      <c r="H27" s="64" t="s">
        <v>73</v>
      </c>
      <c r="I27" s="63" t="s">
        <v>677</v>
      </c>
      <c r="J27" s="48" t="s">
        <v>679</v>
      </c>
    </row>
    <row r="28" spans="1:10" s="36" customFormat="1" ht="16.2">
      <c r="A28" s="41" t="s">
        <v>104</v>
      </c>
      <c r="B28" s="42">
        <v>32</v>
      </c>
      <c r="C28" s="42" t="e">
        <f t="shared" si="0"/>
        <v>#REF!</v>
      </c>
      <c r="D28" s="42" t="e">
        <f t="shared" si="4"/>
        <v>#REF!</v>
      </c>
      <c r="E28" s="63" t="e">
        <f t="shared" si="1"/>
        <v>#REF!</v>
      </c>
      <c r="F28" s="42" t="e">
        <f t="shared" si="2"/>
        <v>#REF!</v>
      </c>
      <c r="G28" s="42" t="e">
        <f t="shared" si="3"/>
        <v>#REF!</v>
      </c>
      <c r="H28" s="64" t="s">
        <v>73</v>
      </c>
      <c r="I28" s="63" t="s">
        <v>677</v>
      </c>
      <c r="J28" s="48" t="s">
        <v>680</v>
      </c>
    </row>
    <row r="29" spans="1:10" s="36" customFormat="1" ht="16.2">
      <c r="A29" s="41" t="s">
        <v>106</v>
      </c>
      <c r="B29" s="42">
        <v>32</v>
      </c>
      <c r="C29" s="42" t="e">
        <f t="shared" si="0"/>
        <v>#REF!</v>
      </c>
      <c r="D29" s="42" t="e">
        <f t="shared" si="4"/>
        <v>#REF!</v>
      </c>
      <c r="E29" s="63" t="e">
        <f t="shared" si="1"/>
        <v>#REF!</v>
      </c>
      <c r="F29" s="42" t="e">
        <f t="shared" si="2"/>
        <v>#REF!</v>
      </c>
      <c r="G29" s="42" t="e">
        <f t="shared" si="3"/>
        <v>#REF!</v>
      </c>
      <c r="H29" s="64" t="s">
        <v>73</v>
      </c>
      <c r="I29" s="63" t="s">
        <v>677</v>
      </c>
      <c r="J29" s="48" t="s">
        <v>681</v>
      </c>
    </row>
    <row r="30" spans="1:10" s="36" customFormat="1" ht="16.2">
      <c r="A30" s="41" t="s">
        <v>108</v>
      </c>
      <c r="B30" s="42">
        <v>32</v>
      </c>
      <c r="C30" s="42" t="e">
        <f t="shared" si="0"/>
        <v>#REF!</v>
      </c>
      <c r="D30" s="42" t="e">
        <f t="shared" si="4"/>
        <v>#REF!</v>
      </c>
      <c r="E30" s="63" t="e">
        <f t="shared" si="1"/>
        <v>#REF!</v>
      </c>
      <c r="F30" s="42" t="e">
        <f t="shared" si="2"/>
        <v>#REF!</v>
      </c>
      <c r="G30" s="42" t="e">
        <f t="shared" si="3"/>
        <v>#REF!</v>
      </c>
      <c r="H30" s="64" t="s">
        <v>73</v>
      </c>
      <c r="I30" s="63" t="s">
        <v>677</v>
      </c>
      <c r="J30" s="48" t="s">
        <v>682</v>
      </c>
    </row>
    <row r="31" spans="1:10" s="36" customFormat="1" ht="16.2">
      <c r="A31" s="41" t="s">
        <v>110</v>
      </c>
      <c r="B31" s="42">
        <v>32</v>
      </c>
      <c r="C31" s="42" t="e">
        <f t="shared" si="0"/>
        <v>#REF!</v>
      </c>
      <c r="D31" s="42" t="e">
        <f t="shared" si="4"/>
        <v>#REF!</v>
      </c>
      <c r="E31" s="63" t="e">
        <f t="shared" si="1"/>
        <v>#REF!</v>
      </c>
      <c r="F31" s="42" t="e">
        <f t="shared" si="2"/>
        <v>#REF!</v>
      </c>
      <c r="G31" s="42" t="e">
        <f t="shared" si="3"/>
        <v>#REF!</v>
      </c>
      <c r="H31" s="64" t="s">
        <v>73</v>
      </c>
      <c r="I31" s="63" t="s">
        <v>677</v>
      </c>
      <c r="J31" s="48" t="s">
        <v>683</v>
      </c>
    </row>
    <row r="32" spans="1:10" s="36" customFormat="1" ht="16.2">
      <c r="A32" s="41" t="s">
        <v>112</v>
      </c>
      <c r="B32" s="42">
        <v>32</v>
      </c>
      <c r="C32" s="42" t="e">
        <f t="shared" si="0"/>
        <v>#REF!</v>
      </c>
      <c r="D32" s="42" t="e">
        <f t="shared" si="4"/>
        <v>#REF!</v>
      </c>
      <c r="E32" s="63" t="e">
        <f t="shared" si="1"/>
        <v>#REF!</v>
      </c>
      <c r="F32" s="42" t="e">
        <f t="shared" si="2"/>
        <v>#REF!</v>
      </c>
      <c r="G32" s="42" t="e">
        <f t="shared" si="3"/>
        <v>#REF!</v>
      </c>
      <c r="H32" s="64" t="s">
        <v>73</v>
      </c>
      <c r="I32" s="63" t="s">
        <v>677</v>
      </c>
      <c r="J32" s="48" t="s">
        <v>684</v>
      </c>
    </row>
    <row r="33" spans="1:10" s="36" customFormat="1" ht="16.2">
      <c r="A33" s="41" t="s">
        <v>114</v>
      </c>
      <c r="B33" s="42">
        <v>32</v>
      </c>
      <c r="C33" s="42" t="e">
        <f t="shared" si="0"/>
        <v>#REF!</v>
      </c>
      <c r="D33" s="42" t="e">
        <f t="shared" si="4"/>
        <v>#REF!</v>
      </c>
      <c r="E33" s="63" t="e">
        <f t="shared" si="1"/>
        <v>#REF!</v>
      </c>
      <c r="F33" s="42" t="e">
        <f t="shared" si="2"/>
        <v>#REF!</v>
      </c>
      <c r="G33" s="42" t="e">
        <f t="shared" si="3"/>
        <v>#REF!</v>
      </c>
      <c r="H33" s="64" t="s">
        <v>73</v>
      </c>
      <c r="I33" s="63" t="s">
        <v>677</v>
      </c>
      <c r="J33" s="48" t="s">
        <v>685</v>
      </c>
    </row>
    <row r="34" spans="1:10" s="36" customFormat="1" ht="31.2">
      <c r="A34" s="41" t="s">
        <v>116</v>
      </c>
      <c r="B34" s="42">
        <v>16</v>
      </c>
      <c r="C34" s="42" t="e">
        <f t="shared" ref="C34:C54" si="5">D34+B34-1</f>
        <v>#REF!</v>
      </c>
      <c r="D34" s="42" t="e">
        <f t="shared" si="4"/>
        <v>#REF!</v>
      </c>
      <c r="E34" s="63" t="e">
        <f t="shared" ref="E34:E54" si="6">ROUNDDOWN(C34/32,0)</f>
        <v>#REF!</v>
      </c>
      <c r="F34" s="42" t="e">
        <f t="shared" ref="F34:F54" si="7">C34-E34*32</f>
        <v>#REF!</v>
      </c>
      <c r="G34" s="42" t="e">
        <f t="shared" ref="G34:G54" si="8">D34-E34*32</f>
        <v>#REF!</v>
      </c>
      <c r="H34" s="64" t="s">
        <v>73</v>
      </c>
      <c r="I34" s="63" t="s">
        <v>686</v>
      </c>
      <c r="J34" s="48" t="s">
        <v>687</v>
      </c>
    </row>
    <row r="35" spans="1:10" s="36" customFormat="1" ht="16.2">
      <c r="A35" s="41" t="s">
        <v>118</v>
      </c>
      <c r="B35" s="42">
        <v>16</v>
      </c>
      <c r="C35" s="42" t="e">
        <f t="shared" si="5"/>
        <v>#REF!</v>
      </c>
      <c r="D35" s="42" t="e">
        <f t="shared" ref="D35:D54" si="9">C34+1</f>
        <v>#REF!</v>
      </c>
      <c r="E35" s="63" t="e">
        <f t="shared" si="6"/>
        <v>#REF!</v>
      </c>
      <c r="F35" s="42" t="e">
        <f t="shared" si="7"/>
        <v>#REF!</v>
      </c>
      <c r="G35" s="42" t="e">
        <f t="shared" si="8"/>
        <v>#REF!</v>
      </c>
      <c r="H35" s="64" t="s">
        <v>73</v>
      </c>
      <c r="I35" s="63" t="s">
        <v>686</v>
      </c>
      <c r="J35" s="48" t="s">
        <v>688</v>
      </c>
    </row>
    <row r="36" spans="1:10" s="36" customFormat="1" ht="16.2">
      <c r="A36" s="41" t="s">
        <v>120</v>
      </c>
      <c r="B36" s="42">
        <v>16</v>
      </c>
      <c r="C36" s="42" t="e">
        <f t="shared" si="5"/>
        <v>#REF!</v>
      </c>
      <c r="D36" s="42" t="e">
        <f t="shared" si="9"/>
        <v>#REF!</v>
      </c>
      <c r="E36" s="63" t="e">
        <f t="shared" si="6"/>
        <v>#REF!</v>
      </c>
      <c r="F36" s="42" t="e">
        <f t="shared" si="7"/>
        <v>#REF!</v>
      </c>
      <c r="G36" s="42" t="e">
        <f t="shared" si="8"/>
        <v>#REF!</v>
      </c>
      <c r="H36" s="64" t="s">
        <v>73</v>
      </c>
      <c r="I36" s="63" t="s">
        <v>686</v>
      </c>
      <c r="J36" s="48" t="s">
        <v>689</v>
      </c>
    </row>
    <row r="37" spans="1:10" s="36" customFormat="1" ht="16.2">
      <c r="A37" s="41" t="s">
        <v>122</v>
      </c>
      <c r="B37" s="42">
        <v>16</v>
      </c>
      <c r="C37" s="42" t="e">
        <f t="shared" si="5"/>
        <v>#REF!</v>
      </c>
      <c r="D37" s="42" t="e">
        <f t="shared" si="9"/>
        <v>#REF!</v>
      </c>
      <c r="E37" s="63" t="e">
        <f t="shared" si="6"/>
        <v>#REF!</v>
      </c>
      <c r="F37" s="42" t="e">
        <f t="shared" si="7"/>
        <v>#REF!</v>
      </c>
      <c r="G37" s="42" t="e">
        <f t="shared" si="8"/>
        <v>#REF!</v>
      </c>
      <c r="H37" s="64" t="s">
        <v>73</v>
      </c>
      <c r="I37" s="63" t="s">
        <v>686</v>
      </c>
      <c r="J37" s="48" t="s">
        <v>690</v>
      </c>
    </row>
    <row r="38" spans="1:10" s="36" customFormat="1" ht="31.2">
      <c r="A38" s="41" t="s">
        <v>124</v>
      </c>
      <c r="B38" s="42">
        <v>16</v>
      </c>
      <c r="C38" s="42" t="e">
        <f t="shared" si="5"/>
        <v>#REF!</v>
      </c>
      <c r="D38" s="42" t="e">
        <f t="shared" si="9"/>
        <v>#REF!</v>
      </c>
      <c r="E38" s="63" t="e">
        <f t="shared" si="6"/>
        <v>#REF!</v>
      </c>
      <c r="F38" s="42" t="e">
        <f t="shared" si="7"/>
        <v>#REF!</v>
      </c>
      <c r="G38" s="42" t="e">
        <f t="shared" si="8"/>
        <v>#REF!</v>
      </c>
      <c r="H38" s="64" t="s">
        <v>73</v>
      </c>
      <c r="I38" s="63" t="s">
        <v>686</v>
      </c>
      <c r="J38" s="48" t="s">
        <v>691</v>
      </c>
    </row>
    <row r="39" spans="1:10" s="36" customFormat="1" ht="16.2">
      <c r="A39" s="41" t="s">
        <v>126</v>
      </c>
      <c r="B39" s="42">
        <v>16</v>
      </c>
      <c r="C39" s="42" t="e">
        <f t="shared" si="5"/>
        <v>#REF!</v>
      </c>
      <c r="D39" s="42" t="e">
        <f t="shared" si="9"/>
        <v>#REF!</v>
      </c>
      <c r="E39" s="63" t="e">
        <f t="shared" si="6"/>
        <v>#REF!</v>
      </c>
      <c r="F39" s="42" t="e">
        <f t="shared" si="7"/>
        <v>#REF!</v>
      </c>
      <c r="G39" s="42" t="e">
        <f t="shared" si="8"/>
        <v>#REF!</v>
      </c>
      <c r="H39" s="64" t="s">
        <v>73</v>
      </c>
      <c r="I39" s="63" t="s">
        <v>686</v>
      </c>
      <c r="J39" s="48" t="s">
        <v>692</v>
      </c>
    </row>
    <row r="40" spans="1:10" s="36" customFormat="1" ht="16.2">
      <c r="A40" s="41" t="s">
        <v>128</v>
      </c>
      <c r="B40" s="42">
        <v>16</v>
      </c>
      <c r="C40" s="42" t="e">
        <f t="shared" si="5"/>
        <v>#REF!</v>
      </c>
      <c r="D40" s="42" t="e">
        <f t="shared" si="9"/>
        <v>#REF!</v>
      </c>
      <c r="E40" s="63" t="e">
        <f t="shared" si="6"/>
        <v>#REF!</v>
      </c>
      <c r="F40" s="42" t="e">
        <f t="shared" si="7"/>
        <v>#REF!</v>
      </c>
      <c r="G40" s="42" t="e">
        <f t="shared" si="8"/>
        <v>#REF!</v>
      </c>
      <c r="H40" s="64" t="s">
        <v>73</v>
      </c>
      <c r="I40" s="63" t="s">
        <v>686</v>
      </c>
      <c r="J40" s="48" t="s">
        <v>693</v>
      </c>
    </row>
    <row r="41" spans="1:10" s="36" customFormat="1" ht="16.2">
      <c r="A41" s="41" t="s">
        <v>130</v>
      </c>
      <c r="B41" s="42">
        <v>16</v>
      </c>
      <c r="C41" s="42" t="e">
        <f t="shared" si="5"/>
        <v>#REF!</v>
      </c>
      <c r="D41" s="42" t="e">
        <f t="shared" si="9"/>
        <v>#REF!</v>
      </c>
      <c r="E41" s="63" t="e">
        <f t="shared" si="6"/>
        <v>#REF!</v>
      </c>
      <c r="F41" s="42" t="e">
        <f t="shared" si="7"/>
        <v>#REF!</v>
      </c>
      <c r="G41" s="42" t="e">
        <f t="shared" si="8"/>
        <v>#REF!</v>
      </c>
      <c r="H41" s="64" t="s">
        <v>73</v>
      </c>
      <c r="I41" s="63" t="s">
        <v>686</v>
      </c>
      <c r="J41" s="48" t="s">
        <v>694</v>
      </c>
    </row>
    <row r="42" spans="1:10" s="36" customFormat="1" ht="16.2">
      <c r="A42" s="41" t="s">
        <v>132</v>
      </c>
      <c r="B42" s="42">
        <v>32</v>
      </c>
      <c r="C42" s="42" t="e">
        <f t="shared" si="5"/>
        <v>#REF!</v>
      </c>
      <c r="D42" s="42" t="e">
        <f t="shared" si="9"/>
        <v>#REF!</v>
      </c>
      <c r="E42" s="63" t="e">
        <f t="shared" si="6"/>
        <v>#REF!</v>
      </c>
      <c r="F42" s="42" t="e">
        <f t="shared" si="7"/>
        <v>#REF!</v>
      </c>
      <c r="G42" s="42" t="e">
        <f t="shared" si="8"/>
        <v>#REF!</v>
      </c>
      <c r="H42" s="64" t="s">
        <v>73</v>
      </c>
      <c r="I42" s="63" t="s">
        <v>675</v>
      </c>
      <c r="J42" s="48" t="s">
        <v>695</v>
      </c>
    </row>
    <row r="43" spans="1:10" s="36" customFormat="1" ht="16.2">
      <c r="A43" s="41" t="s">
        <v>135</v>
      </c>
      <c r="B43" s="42">
        <v>32</v>
      </c>
      <c r="C43" s="42" t="e">
        <f t="shared" si="5"/>
        <v>#REF!</v>
      </c>
      <c r="D43" s="42" t="e">
        <f t="shared" si="9"/>
        <v>#REF!</v>
      </c>
      <c r="E43" s="63" t="e">
        <f t="shared" si="6"/>
        <v>#REF!</v>
      </c>
      <c r="F43" s="42" t="e">
        <f t="shared" si="7"/>
        <v>#REF!</v>
      </c>
      <c r="G43" s="42" t="e">
        <f t="shared" si="8"/>
        <v>#REF!</v>
      </c>
      <c r="H43" s="64" t="s">
        <v>73</v>
      </c>
      <c r="I43" s="63" t="s">
        <v>675</v>
      </c>
      <c r="J43" s="55" t="s">
        <v>696</v>
      </c>
    </row>
    <row r="44" spans="1:10" s="36" customFormat="1" ht="16.2">
      <c r="A44" s="41" t="s">
        <v>594</v>
      </c>
      <c r="B44" s="42">
        <v>8</v>
      </c>
      <c r="C44" s="42" t="e">
        <f t="shared" si="5"/>
        <v>#REF!</v>
      </c>
      <c r="D44" s="42" t="e">
        <f t="shared" si="9"/>
        <v>#REF!</v>
      </c>
      <c r="E44" s="63" t="e">
        <f t="shared" si="6"/>
        <v>#REF!</v>
      </c>
      <c r="F44" s="42" t="e">
        <f t="shared" si="7"/>
        <v>#REF!</v>
      </c>
      <c r="G44" s="42" t="e">
        <f t="shared" si="8"/>
        <v>#REF!</v>
      </c>
      <c r="H44" s="64" t="s">
        <v>73</v>
      </c>
      <c r="I44" s="63" t="s">
        <v>697</v>
      </c>
      <c r="J44" s="48" t="s">
        <v>698</v>
      </c>
    </row>
    <row r="45" spans="1:10" s="36" customFormat="1" ht="16.2">
      <c r="A45" s="41" t="s">
        <v>595</v>
      </c>
      <c r="B45" s="42">
        <v>8</v>
      </c>
      <c r="C45" s="42" t="e">
        <f t="shared" si="5"/>
        <v>#REF!</v>
      </c>
      <c r="D45" s="42" t="e">
        <f t="shared" si="9"/>
        <v>#REF!</v>
      </c>
      <c r="E45" s="63" t="e">
        <f t="shared" si="6"/>
        <v>#REF!</v>
      </c>
      <c r="F45" s="42" t="e">
        <f t="shared" si="7"/>
        <v>#REF!</v>
      </c>
      <c r="G45" s="42" t="e">
        <f t="shared" si="8"/>
        <v>#REF!</v>
      </c>
      <c r="H45" s="64" t="s">
        <v>73</v>
      </c>
      <c r="I45" s="63" t="s">
        <v>699</v>
      </c>
      <c r="J45" s="48" t="s">
        <v>700</v>
      </c>
    </row>
    <row r="46" spans="1:10" s="34" customFormat="1" ht="15.6">
      <c r="A46" s="66" t="s">
        <v>89</v>
      </c>
      <c r="B46" s="67">
        <v>16</v>
      </c>
      <c r="C46" s="67" t="e">
        <f t="shared" si="5"/>
        <v>#REF!</v>
      </c>
      <c r="D46" s="67" t="e">
        <f t="shared" si="9"/>
        <v>#REF!</v>
      </c>
      <c r="E46" s="68" t="e">
        <f t="shared" si="6"/>
        <v>#REF!</v>
      </c>
      <c r="F46" s="67" t="e">
        <f t="shared" si="7"/>
        <v>#REF!</v>
      </c>
      <c r="G46" s="67" t="e">
        <f t="shared" si="8"/>
        <v>#REF!</v>
      </c>
      <c r="H46" s="69" t="s">
        <v>88</v>
      </c>
      <c r="I46" s="68" t="s">
        <v>650</v>
      </c>
      <c r="J46" s="77" t="s">
        <v>89</v>
      </c>
    </row>
    <row r="47" spans="1:10" s="36" customFormat="1" ht="16.2">
      <c r="A47" s="41" t="s">
        <v>701</v>
      </c>
      <c r="B47" s="42">
        <v>8</v>
      </c>
      <c r="C47" s="42" t="e">
        <f t="shared" si="5"/>
        <v>#REF!</v>
      </c>
      <c r="D47" s="42" t="e">
        <f t="shared" si="9"/>
        <v>#REF!</v>
      </c>
      <c r="E47" s="63" t="e">
        <f t="shared" si="6"/>
        <v>#REF!</v>
      </c>
      <c r="F47" s="42" t="e">
        <f t="shared" si="7"/>
        <v>#REF!</v>
      </c>
      <c r="G47" s="42" t="e">
        <f t="shared" si="8"/>
        <v>#REF!</v>
      </c>
      <c r="H47" s="64" t="s">
        <v>73</v>
      </c>
      <c r="I47" s="63" t="s">
        <v>702</v>
      </c>
      <c r="J47" s="48" t="s">
        <v>703</v>
      </c>
    </row>
    <row r="48" spans="1:10" s="36" customFormat="1" ht="16.2">
      <c r="A48" s="41" t="s">
        <v>704</v>
      </c>
      <c r="B48" s="42">
        <v>8</v>
      </c>
      <c r="C48" s="42" t="e">
        <f t="shared" si="5"/>
        <v>#REF!</v>
      </c>
      <c r="D48" s="42" t="e">
        <f t="shared" si="9"/>
        <v>#REF!</v>
      </c>
      <c r="E48" s="63" t="e">
        <f t="shared" si="6"/>
        <v>#REF!</v>
      </c>
      <c r="F48" s="42" t="e">
        <f t="shared" si="7"/>
        <v>#REF!</v>
      </c>
      <c r="G48" s="42" t="e">
        <f t="shared" si="8"/>
        <v>#REF!</v>
      </c>
      <c r="H48" s="64" t="s">
        <v>73</v>
      </c>
      <c r="I48" s="63" t="s">
        <v>702</v>
      </c>
      <c r="J48" s="48" t="s">
        <v>705</v>
      </c>
    </row>
    <row r="49" spans="1:10" s="36" customFormat="1" ht="16.2">
      <c r="A49" s="41" t="s">
        <v>706</v>
      </c>
      <c r="B49" s="42">
        <v>8</v>
      </c>
      <c r="C49" s="42" t="e">
        <f t="shared" si="5"/>
        <v>#REF!</v>
      </c>
      <c r="D49" s="42" t="e">
        <f t="shared" si="9"/>
        <v>#REF!</v>
      </c>
      <c r="E49" s="63" t="e">
        <f t="shared" si="6"/>
        <v>#REF!</v>
      </c>
      <c r="F49" s="42" t="e">
        <f t="shared" si="7"/>
        <v>#REF!</v>
      </c>
      <c r="G49" s="42" t="e">
        <f t="shared" si="8"/>
        <v>#REF!</v>
      </c>
      <c r="H49" s="64" t="s">
        <v>73</v>
      </c>
      <c r="I49" s="63" t="s">
        <v>707</v>
      </c>
      <c r="J49" s="48" t="s">
        <v>708</v>
      </c>
    </row>
    <row r="50" spans="1:10" s="36" customFormat="1" ht="16.2">
      <c r="A50" s="41" t="s">
        <v>709</v>
      </c>
      <c r="B50" s="42">
        <v>8</v>
      </c>
      <c r="C50" s="42" t="e">
        <f t="shared" si="5"/>
        <v>#REF!</v>
      </c>
      <c r="D50" s="42" t="e">
        <f t="shared" si="9"/>
        <v>#REF!</v>
      </c>
      <c r="E50" s="63" t="e">
        <f t="shared" si="6"/>
        <v>#REF!</v>
      </c>
      <c r="F50" s="42" t="e">
        <f t="shared" si="7"/>
        <v>#REF!</v>
      </c>
      <c r="G50" s="42" t="e">
        <f t="shared" si="8"/>
        <v>#REF!</v>
      </c>
      <c r="H50" s="64" t="s">
        <v>73</v>
      </c>
      <c r="I50" s="63" t="s">
        <v>707</v>
      </c>
      <c r="J50" s="48" t="s">
        <v>710</v>
      </c>
    </row>
    <row r="51" spans="1:10" s="36" customFormat="1" ht="16.2">
      <c r="A51" s="41" t="s">
        <v>711</v>
      </c>
      <c r="B51" s="42">
        <v>32</v>
      </c>
      <c r="C51" s="42" t="e">
        <f t="shared" si="5"/>
        <v>#REF!</v>
      </c>
      <c r="D51" s="42" t="e">
        <f t="shared" si="9"/>
        <v>#REF!</v>
      </c>
      <c r="E51" s="63" t="e">
        <f t="shared" si="6"/>
        <v>#REF!</v>
      </c>
      <c r="F51" s="42" t="e">
        <f t="shared" si="7"/>
        <v>#REF!</v>
      </c>
      <c r="G51" s="42" t="e">
        <f t="shared" si="8"/>
        <v>#REF!</v>
      </c>
      <c r="H51" s="64" t="s">
        <v>73</v>
      </c>
      <c r="I51" s="63" t="s">
        <v>675</v>
      </c>
      <c r="J51" s="48" t="s">
        <v>712</v>
      </c>
    </row>
    <row r="52" spans="1:10" s="36" customFormat="1" ht="16.2">
      <c r="A52" s="41" t="s">
        <v>141</v>
      </c>
      <c r="B52" s="42">
        <v>32</v>
      </c>
      <c r="C52" s="42" t="e">
        <f t="shared" si="5"/>
        <v>#REF!</v>
      </c>
      <c r="D52" s="42" t="e">
        <f t="shared" si="9"/>
        <v>#REF!</v>
      </c>
      <c r="E52" s="63" t="e">
        <f t="shared" si="6"/>
        <v>#REF!</v>
      </c>
      <c r="F52" s="42" t="e">
        <f t="shared" si="7"/>
        <v>#REF!</v>
      </c>
      <c r="G52" s="42" t="e">
        <f t="shared" si="8"/>
        <v>#REF!</v>
      </c>
      <c r="H52" s="64" t="s">
        <v>73</v>
      </c>
      <c r="I52" s="63" t="s">
        <v>675</v>
      </c>
      <c r="J52" s="48" t="s">
        <v>713</v>
      </c>
    </row>
    <row r="53" spans="1:10" s="36" customFormat="1" ht="31.2">
      <c r="A53" s="41" t="s">
        <v>714</v>
      </c>
      <c r="B53" s="42">
        <v>1</v>
      </c>
      <c r="C53" s="42" t="e">
        <f t="shared" si="5"/>
        <v>#REF!</v>
      </c>
      <c r="D53" s="42" t="e">
        <f t="shared" si="9"/>
        <v>#REF!</v>
      </c>
      <c r="E53" s="63" t="e">
        <f t="shared" si="6"/>
        <v>#REF!</v>
      </c>
      <c r="F53" s="42" t="e">
        <f t="shared" si="7"/>
        <v>#REF!</v>
      </c>
      <c r="G53" s="42" t="e">
        <f t="shared" si="8"/>
        <v>#REF!</v>
      </c>
      <c r="H53" s="64" t="s">
        <v>73</v>
      </c>
      <c r="I53" s="63" t="s">
        <v>658</v>
      </c>
      <c r="J53" s="48" t="s">
        <v>715</v>
      </c>
    </row>
    <row r="54" spans="1:10" s="36" customFormat="1" ht="31.2">
      <c r="A54" s="70" t="s">
        <v>716</v>
      </c>
      <c r="B54" s="71">
        <v>1</v>
      </c>
      <c r="C54" s="71" t="e">
        <f t="shared" si="5"/>
        <v>#REF!</v>
      </c>
      <c r="D54" s="71" t="e">
        <f t="shared" si="9"/>
        <v>#REF!</v>
      </c>
      <c r="E54" s="72" t="e">
        <f t="shared" si="6"/>
        <v>#REF!</v>
      </c>
      <c r="F54" s="71" t="e">
        <f t="shared" si="7"/>
        <v>#REF!</v>
      </c>
      <c r="G54" s="71" t="e">
        <f t="shared" si="8"/>
        <v>#REF!</v>
      </c>
      <c r="H54" s="73" t="s">
        <v>73</v>
      </c>
      <c r="I54" s="72" t="s">
        <v>658</v>
      </c>
      <c r="J54" s="78" t="s">
        <v>717</v>
      </c>
    </row>
  </sheetData>
  <phoneticPr fontId="32" type="noConversion"/>
  <pageMargins left="0.7" right="0.7" top="0.75" bottom="0.75" header="0.3" footer="0.3"/>
  <pageSetup paperSize="9" orientation="portrait" horizontalDpi="2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4"/>
  <sheetViews>
    <sheetView topLeftCell="A43" zoomScale="85" zoomScaleNormal="85" workbookViewId="0">
      <selection activeCell="I53" sqref="I53"/>
    </sheetView>
  </sheetViews>
  <sheetFormatPr defaultColWidth="8.88671875" defaultRowHeight="16.2"/>
  <cols>
    <col min="1" max="1" width="30.6640625" style="59" customWidth="1"/>
    <col min="2" max="2" width="14" customWidth="1"/>
    <col min="3" max="3" width="12.44140625" customWidth="1"/>
    <col min="4" max="4" width="11.88671875" customWidth="1"/>
    <col min="5" max="5" width="18.88671875" customWidth="1"/>
    <col min="6" max="6" width="13.44140625" customWidth="1"/>
    <col min="7" max="7" width="15.109375" customWidth="1"/>
    <col min="8" max="8" width="5.6640625" customWidth="1"/>
    <col min="9" max="9" width="170.109375" customWidth="1"/>
    <col min="10" max="10" width="28.88671875" style="36" customWidth="1"/>
  </cols>
  <sheetData>
    <row r="1" spans="1:58">
      <c r="A1" s="38" t="s">
        <v>66</v>
      </c>
      <c r="B1" s="39" t="s">
        <v>67</v>
      </c>
      <c r="C1" s="39" t="s">
        <v>68</v>
      </c>
      <c r="D1" s="39" t="s">
        <v>69</v>
      </c>
      <c r="E1" s="39" t="s">
        <v>70</v>
      </c>
      <c r="F1" s="39" t="s">
        <v>71</v>
      </c>
      <c r="G1" s="39" t="s">
        <v>72</v>
      </c>
      <c r="H1" s="40" t="s">
        <v>73</v>
      </c>
      <c r="I1" s="45" t="s">
        <v>74</v>
      </c>
      <c r="J1" s="148" t="s">
        <v>555</v>
      </c>
    </row>
    <row r="2" spans="1:58" ht="46.8">
      <c r="A2" s="41" t="s">
        <v>75</v>
      </c>
      <c r="B2" s="60">
        <v>1</v>
      </c>
      <c r="C2" s="60">
        <f t="shared" ref="C2:C47" si="0">D2+B2-1</f>
        <v>0</v>
      </c>
      <c r="D2" s="60">
        <v>0</v>
      </c>
      <c r="E2" s="60">
        <f t="shared" ref="E2:E47" si="1">ROUNDDOWN(C2/32,0)</f>
        <v>0</v>
      </c>
      <c r="F2" s="60">
        <f t="shared" ref="F2:F47" si="2">C2-E2*32</f>
        <v>0</v>
      </c>
      <c r="G2" s="60">
        <f>D2-E2*32</f>
        <v>0</v>
      </c>
      <c r="H2" s="60" t="s">
        <v>73</v>
      </c>
      <c r="I2" s="62" t="str">
        <f ca="1">CONCATENATE(INDIRECT("template!I2"))</f>
        <v>Interrupt Enable;if this bit is set, CPU COULD get interrupt when the instruction is finished 
0: disable interrupt
1: enable interrupt</v>
      </c>
      <c r="J2" s="118" t="s">
        <v>95</v>
      </c>
    </row>
    <row r="3" spans="1:58" ht="46.8">
      <c r="A3" s="41" t="s">
        <v>77</v>
      </c>
      <c r="B3" s="60">
        <v>1</v>
      </c>
      <c r="C3" s="60">
        <f t="shared" ca="1" si="0"/>
        <v>1</v>
      </c>
      <c r="D3" s="60">
        <f t="shared" ref="D3:D47" ca="1" si="3">INDIRECT(ADDRESS(ROW()-1,COLUMN()-1))+1</f>
        <v>1</v>
      </c>
      <c r="E3" s="60">
        <f t="shared" ca="1" si="1"/>
        <v>0</v>
      </c>
      <c r="F3" s="60">
        <f t="shared" ca="1" si="2"/>
        <v>1</v>
      </c>
      <c r="G3" s="60">
        <f ca="1">D3-E3*32</f>
        <v>1</v>
      </c>
      <c r="H3" s="60" t="s">
        <v>73</v>
      </c>
      <c r="I3" s="62" t="str">
        <f ca="1">CONCATENATE(INDIRECT("template!I3"))</f>
        <v>Stride enable
0：No stride for all blob definition
1：Enable stride for all blob definition</v>
      </c>
      <c r="J3" s="118" t="s">
        <v>95</v>
      </c>
    </row>
    <row r="4" spans="1:58" ht="46.8">
      <c r="A4" s="41" t="s">
        <v>79</v>
      </c>
      <c r="B4" s="60">
        <v>1</v>
      </c>
      <c r="C4" s="60">
        <f t="shared" ca="1" si="0"/>
        <v>2</v>
      </c>
      <c r="D4" s="60">
        <f t="shared" ca="1" si="3"/>
        <v>2</v>
      </c>
      <c r="E4" s="60">
        <f t="shared" ca="1" si="1"/>
        <v>0</v>
      </c>
      <c r="F4" s="60">
        <f t="shared" ca="1" si="2"/>
        <v>2</v>
      </c>
      <c r="G4" s="60">
        <f t="shared" ref="G4:G47" ca="1" si="4">D4-E4*32</f>
        <v>2</v>
      </c>
      <c r="H4" s="60" t="s">
        <v>73</v>
      </c>
      <c r="I4" s="62" t="str">
        <f ca="1">CONCATENATE(INDIRECT("template!I4"))</f>
        <v>NCHW copy bit
0: use separate src and dst NCHW value setting
1: reuse src NCHW value for dst NCHW value</v>
      </c>
      <c r="J4" s="118" t="s">
        <v>95</v>
      </c>
    </row>
    <row r="5" spans="1:58" s="36" customFormat="1" ht="31.2">
      <c r="A5" s="41" t="s">
        <v>559</v>
      </c>
      <c r="B5" s="60">
        <v>1</v>
      </c>
      <c r="C5" s="60">
        <f t="shared" ca="1" si="0"/>
        <v>3</v>
      </c>
      <c r="D5" s="60">
        <f t="shared" ca="1" si="3"/>
        <v>3</v>
      </c>
      <c r="E5" s="60">
        <f t="shared" ca="1" si="1"/>
        <v>0</v>
      </c>
      <c r="F5" s="60">
        <f t="shared" ca="1" si="2"/>
        <v>3</v>
      </c>
      <c r="G5" s="60">
        <f t="shared" ca="1" si="4"/>
        <v>3</v>
      </c>
      <c r="H5" s="60" t="s">
        <v>73</v>
      </c>
      <c r="I5" s="62" t="str">
        <f ca="1">CONCATENATE(INDIRECT("template!I5"))</f>
        <v>0:768bit full cmd;
1:128/256/384/512 short cmd</v>
      </c>
      <c r="J5" s="118" t="s">
        <v>95</v>
      </c>
    </row>
    <row r="6" spans="1:58" s="36" customFormat="1" ht="46.8">
      <c r="A6" s="41" t="s">
        <v>83</v>
      </c>
      <c r="B6" s="60">
        <v>1</v>
      </c>
      <c r="C6" s="60">
        <f t="shared" ca="1" si="0"/>
        <v>4</v>
      </c>
      <c r="D6" s="60">
        <f t="shared" ca="1" si="3"/>
        <v>4</v>
      </c>
      <c r="E6" s="60">
        <f t="shared" ca="1" si="1"/>
        <v>0</v>
      </c>
      <c r="F6" s="60">
        <f t="shared" ca="1" si="2"/>
        <v>4</v>
      </c>
      <c r="G6" s="60">
        <f t="shared" ca="1" si="4"/>
        <v>4</v>
      </c>
      <c r="H6" s="60" t="s">
        <v>88</v>
      </c>
      <c r="I6" s="62" t="str">
        <f ca="1">CONCATENATE(INDIRECT("template!I6"))</f>
        <v>Read cache enable
0: Read not use cache
1: Read use cache</v>
      </c>
      <c r="J6" s="118" t="s">
        <v>95</v>
      </c>
    </row>
    <row r="7" spans="1:58" ht="46.8">
      <c r="A7" s="41" t="s">
        <v>85</v>
      </c>
      <c r="B7" s="60">
        <v>1</v>
      </c>
      <c r="C7" s="60">
        <f t="shared" ca="1" si="0"/>
        <v>5</v>
      </c>
      <c r="D7" s="60">
        <f t="shared" ca="1" si="3"/>
        <v>5</v>
      </c>
      <c r="E7" s="60">
        <f t="shared" ca="1" si="1"/>
        <v>0</v>
      </c>
      <c r="F7" s="60">
        <f t="shared" ca="1" si="2"/>
        <v>5</v>
      </c>
      <c r="G7" s="60">
        <f t="shared" ca="1" si="4"/>
        <v>5</v>
      </c>
      <c r="H7" s="60" t="s">
        <v>88</v>
      </c>
      <c r="I7" s="62" t="str">
        <f ca="1">CONCATENATE(INDIRECT("template!I7"))</f>
        <v>Flush cache
0: Not Flush cache
1: Flush cache</v>
      </c>
      <c r="J7" s="118" t="s">
        <v>95</v>
      </c>
    </row>
    <row r="8" spans="1:58">
      <c r="A8" s="41" t="s">
        <v>87</v>
      </c>
      <c r="B8" s="60">
        <v>2</v>
      </c>
      <c r="C8" s="60">
        <f t="shared" ca="1" si="0"/>
        <v>7</v>
      </c>
      <c r="D8" s="60">
        <f t="shared" ca="1" si="3"/>
        <v>6</v>
      </c>
      <c r="E8" s="60">
        <f t="shared" ca="1" si="1"/>
        <v>0</v>
      </c>
      <c r="F8" s="60">
        <f t="shared" ca="1" si="2"/>
        <v>7</v>
      </c>
      <c r="G8" s="60">
        <f t="shared" ca="1" si="4"/>
        <v>6</v>
      </c>
      <c r="H8" s="60" t="s">
        <v>88</v>
      </c>
      <c r="I8" s="62" t="str">
        <f ca="1">CONCATENATE(INDIRECT("template!I8"))</f>
        <v>reserved</v>
      </c>
      <c r="J8" s="149">
        <v>0</v>
      </c>
    </row>
    <row r="9" spans="1:58" s="36" customFormat="1">
      <c r="A9" s="41" t="s">
        <v>1234</v>
      </c>
      <c r="B9" s="60">
        <v>1</v>
      </c>
      <c r="C9" s="60">
        <f t="shared" si="0"/>
        <v>8</v>
      </c>
      <c r="D9" s="60">
        <v>8</v>
      </c>
      <c r="E9" s="60">
        <v>0</v>
      </c>
      <c r="F9" s="60">
        <v>8</v>
      </c>
      <c r="G9" s="60">
        <v>8</v>
      </c>
      <c r="H9" s="60" t="s">
        <v>1235</v>
      </c>
      <c r="I9" s="62"/>
      <c r="J9" s="118" t="s">
        <v>95</v>
      </c>
    </row>
    <row r="10" spans="1:58">
      <c r="A10" s="41" t="s">
        <v>1236</v>
      </c>
      <c r="B10" s="60">
        <v>1</v>
      </c>
      <c r="C10" s="60">
        <f t="shared" si="0"/>
        <v>9</v>
      </c>
      <c r="D10" s="60">
        <v>9</v>
      </c>
      <c r="E10" s="60">
        <v>0</v>
      </c>
      <c r="F10" s="60">
        <v>9</v>
      </c>
      <c r="G10" s="60">
        <v>9</v>
      </c>
      <c r="H10" s="60" t="s">
        <v>1235</v>
      </c>
      <c r="I10" s="62"/>
      <c r="J10" s="118" t="s">
        <v>95</v>
      </c>
    </row>
    <row r="11" spans="1:58" s="36" customFormat="1">
      <c r="A11" s="41" t="s">
        <v>1237</v>
      </c>
      <c r="B11" s="60">
        <v>1</v>
      </c>
      <c r="C11" s="60">
        <f t="shared" si="0"/>
        <v>10</v>
      </c>
      <c r="D11" s="60">
        <v>10</v>
      </c>
      <c r="E11" s="60">
        <v>0</v>
      </c>
      <c r="F11" s="60">
        <v>10</v>
      </c>
      <c r="G11" s="60">
        <v>10</v>
      </c>
      <c r="H11" s="60" t="s">
        <v>1235</v>
      </c>
      <c r="I11" s="62"/>
      <c r="J11" s="118" t="s">
        <v>95</v>
      </c>
    </row>
    <row r="12" spans="1:58" s="56" customFormat="1">
      <c r="A12" s="41" t="s">
        <v>1240</v>
      </c>
      <c r="B12" s="60">
        <v>1</v>
      </c>
      <c r="C12" s="60">
        <v>11</v>
      </c>
      <c r="D12" s="60">
        <v>11</v>
      </c>
      <c r="E12" s="60">
        <v>0</v>
      </c>
      <c r="F12" s="60">
        <v>11</v>
      </c>
      <c r="G12" s="60">
        <v>11</v>
      </c>
      <c r="H12" s="60" t="s">
        <v>1241</v>
      </c>
      <c r="I12" s="62"/>
      <c r="J12" s="118" t="s">
        <v>95</v>
      </c>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row>
    <row r="13" spans="1:58" s="36" customFormat="1">
      <c r="A13" s="41" t="s">
        <v>89</v>
      </c>
      <c r="B13" s="60">
        <v>20</v>
      </c>
      <c r="C13" s="60">
        <f t="shared" ca="1" si="0"/>
        <v>31</v>
      </c>
      <c r="D13" s="60">
        <f t="shared" ca="1" si="3"/>
        <v>12</v>
      </c>
      <c r="E13" s="60">
        <f t="shared" ca="1" si="1"/>
        <v>0</v>
      </c>
      <c r="F13" s="60">
        <f t="shared" ca="1" si="2"/>
        <v>31</v>
      </c>
      <c r="G13" s="60">
        <f t="shared" ca="1" si="4"/>
        <v>12</v>
      </c>
      <c r="H13" s="60" t="s">
        <v>88</v>
      </c>
      <c r="I13" s="62" t="str">
        <f ca="1">CONCATENATE(INDIRECT("template!I9"))</f>
        <v/>
      </c>
      <c r="J13" s="149">
        <v>0</v>
      </c>
    </row>
    <row r="14" spans="1:58" s="36" customFormat="1" ht="93.6">
      <c r="A14" s="41" t="s">
        <v>90</v>
      </c>
      <c r="B14" s="60">
        <v>5</v>
      </c>
      <c r="C14" s="60">
        <f t="shared" ca="1" si="0"/>
        <v>36</v>
      </c>
      <c r="D14" s="60">
        <f t="shared" ca="1" si="3"/>
        <v>32</v>
      </c>
      <c r="E14" s="60">
        <f t="shared" ca="1" si="1"/>
        <v>1</v>
      </c>
      <c r="F14" s="60">
        <f t="shared" ca="1" si="2"/>
        <v>4</v>
      </c>
      <c r="G14" s="60">
        <f t="shared" ca="1" si="4"/>
        <v>0</v>
      </c>
      <c r="H14" s="60" t="s">
        <v>73</v>
      </c>
      <c r="I14" s="62" t="str">
        <f ca="1">CONCATENATE(INDIRECT("template!I14"))</f>
        <v>0x0:GDMA_tensor                     0x1:GDMA_matrix
0x2:GDMA_masked_select       0x3:GDMA_general
                                                   0x5:GDMA_nonzero
0x6:GDMA_sys                           0x7:GDMA_gather
0x8:GDMA_scatter                    0x9:GDMA_reverse
0xc:GDMA_lossy_compress      0xd:GDMA_lossy_decompress</v>
      </c>
      <c r="J14" s="118" t="s">
        <v>95</v>
      </c>
    </row>
    <row r="15" spans="1:58" s="36" customFormat="1" ht="31.2">
      <c r="A15" s="41" t="s">
        <v>91</v>
      </c>
      <c r="B15" s="60">
        <v>3</v>
      </c>
      <c r="C15" s="60">
        <f t="shared" ca="1" si="0"/>
        <v>39</v>
      </c>
      <c r="D15" s="60">
        <f t="shared" ca="1" si="3"/>
        <v>37</v>
      </c>
      <c r="E15" s="60">
        <f t="shared" ca="1" si="1"/>
        <v>1</v>
      </c>
      <c r="F15" s="60">
        <f t="shared" ca="1" si="2"/>
        <v>7</v>
      </c>
      <c r="G15" s="60">
        <f t="shared" ca="1" si="4"/>
        <v>5</v>
      </c>
      <c r="H15" s="60" t="s">
        <v>73</v>
      </c>
      <c r="I15" s="62" t="s">
        <v>718</v>
      </c>
      <c r="J15" s="118" t="s">
        <v>95</v>
      </c>
    </row>
    <row r="16" spans="1:58" s="36" customFormat="1">
      <c r="A16" s="41" t="s">
        <v>93</v>
      </c>
      <c r="B16" s="60">
        <v>1</v>
      </c>
      <c r="C16" s="60">
        <f t="shared" ca="1" si="0"/>
        <v>40</v>
      </c>
      <c r="D16" s="60">
        <f t="shared" ca="1" si="3"/>
        <v>40</v>
      </c>
      <c r="E16" s="60">
        <f t="shared" ca="1" si="1"/>
        <v>1</v>
      </c>
      <c r="F16" s="60">
        <f t="shared" ca="1" si="2"/>
        <v>8</v>
      </c>
      <c r="G16" s="60">
        <f t="shared" ca="1" si="4"/>
        <v>8</v>
      </c>
      <c r="H16" s="60" t="s">
        <v>73</v>
      </c>
      <c r="I16" s="62" t="s">
        <v>87</v>
      </c>
      <c r="J16" s="61" t="s">
        <v>574</v>
      </c>
    </row>
    <row r="17" spans="1:10" s="36" customFormat="1" ht="156">
      <c r="A17" s="41" t="s">
        <v>96</v>
      </c>
      <c r="B17" s="60">
        <v>4</v>
      </c>
      <c r="C17" s="60">
        <f t="shared" ca="1" si="0"/>
        <v>44</v>
      </c>
      <c r="D17" s="60">
        <f t="shared" ca="1" si="3"/>
        <v>41</v>
      </c>
      <c r="E17" s="60">
        <f t="shared" ca="1" si="1"/>
        <v>1</v>
      </c>
      <c r="F17" s="60">
        <f t="shared" ca="1" si="2"/>
        <v>12</v>
      </c>
      <c r="G17" s="60">
        <f t="shared" ca="1" si="4"/>
        <v>9</v>
      </c>
      <c r="H17" s="60" t="s">
        <v>73</v>
      </c>
      <c r="I17" s="62" t="s">
        <v>1336</v>
      </c>
      <c r="J17" s="118" t="s">
        <v>95</v>
      </c>
    </row>
    <row r="18" spans="1:10" s="36" customFormat="1">
      <c r="A18" s="41" t="s">
        <v>87</v>
      </c>
      <c r="B18" s="60">
        <v>19</v>
      </c>
      <c r="C18" s="60">
        <f t="shared" ca="1" si="0"/>
        <v>63</v>
      </c>
      <c r="D18" s="60">
        <f t="shared" ca="1" si="3"/>
        <v>45</v>
      </c>
      <c r="E18" s="60">
        <f t="shared" ca="1" si="1"/>
        <v>1</v>
      </c>
      <c r="F18" s="60">
        <f t="shared" ca="1" si="2"/>
        <v>31</v>
      </c>
      <c r="G18" s="60">
        <f t="shared" ca="1" si="4"/>
        <v>13</v>
      </c>
      <c r="H18" s="60" t="s">
        <v>88</v>
      </c>
      <c r="I18" s="62" t="str">
        <f ca="1">CONCATENATE(INDIRECT("template!I18"))</f>
        <v>reserved</v>
      </c>
      <c r="J18" s="149">
        <v>0</v>
      </c>
    </row>
    <row r="19" spans="1:10" s="36" customFormat="1" ht="31.2">
      <c r="A19" s="41" t="s">
        <v>97</v>
      </c>
      <c r="B19" s="60">
        <v>21</v>
      </c>
      <c r="C19" s="60">
        <f t="shared" ca="1" si="0"/>
        <v>84</v>
      </c>
      <c r="D19" s="60">
        <f t="shared" ca="1" si="3"/>
        <v>64</v>
      </c>
      <c r="E19" s="60">
        <f t="shared" ca="1" si="1"/>
        <v>2</v>
      </c>
      <c r="F19" s="60">
        <f t="shared" ca="1" si="2"/>
        <v>20</v>
      </c>
      <c r="G19" s="60">
        <f t="shared" ca="1" si="4"/>
        <v>0</v>
      </c>
      <c r="H19" s="60" t="s">
        <v>73</v>
      </c>
      <c r="I19" s="62" t="s">
        <v>1334</v>
      </c>
      <c r="J19" s="118" t="s">
        <v>95</v>
      </c>
    </row>
    <row r="20" spans="1:10">
      <c r="A20" s="41" t="s">
        <v>87</v>
      </c>
      <c r="B20" s="60">
        <v>2</v>
      </c>
      <c r="C20" s="60">
        <v>86</v>
      </c>
      <c r="D20" s="60">
        <v>85</v>
      </c>
      <c r="E20" s="60">
        <f t="shared" si="1"/>
        <v>2</v>
      </c>
      <c r="F20" s="60">
        <v>22</v>
      </c>
      <c r="G20" s="60">
        <f t="shared" si="4"/>
        <v>21</v>
      </c>
      <c r="H20" s="60" t="s">
        <v>988</v>
      </c>
      <c r="I20" s="62" t="s">
        <v>87</v>
      </c>
      <c r="J20" s="148"/>
    </row>
    <row r="21" spans="1:10">
      <c r="A21" s="41" t="s">
        <v>979</v>
      </c>
      <c r="B21" s="60">
        <v>1</v>
      </c>
      <c r="C21" s="60">
        <v>87</v>
      </c>
      <c r="D21" s="60">
        <v>87</v>
      </c>
      <c r="E21" s="60">
        <v>2</v>
      </c>
      <c r="F21" s="60">
        <v>23</v>
      </c>
      <c r="G21" s="60">
        <v>23</v>
      </c>
      <c r="H21" s="60" t="s">
        <v>989</v>
      </c>
      <c r="I21" s="62" t="s">
        <v>990</v>
      </c>
      <c r="J21" s="148"/>
    </row>
    <row r="22" spans="1:10">
      <c r="A22" s="41" t="s">
        <v>87</v>
      </c>
      <c r="B22" s="60">
        <v>8</v>
      </c>
      <c r="C22" s="60">
        <f t="shared" ref="C22" ca="1" si="5">D22+B22-1</f>
        <v>95</v>
      </c>
      <c r="D22" s="60">
        <f t="shared" ref="D22" ca="1" si="6">INDIRECT(ADDRESS(ROW()-1,COLUMN()-1))+1</f>
        <v>88</v>
      </c>
      <c r="E22" s="60">
        <f t="shared" ca="1" si="1"/>
        <v>2</v>
      </c>
      <c r="F22" s="60">
        <v>31</v>
      </c>
      <c r="G22" s="60">
        <f t="shared" ca="1" si="4"/>
        <v>24</v>
      </c>
      <c r="H22" s="60" t="s">
        <v>88</v>
      </c>
      <c r="I22" s="62" t="s">
        <v>87</v>
      </c>
      <c r="J22" s="148"/>
    </row>
    <row r="23" spans="1:10">
      <c r="A23" s="41" t="s">
        <v>98</v>
      </c>
      <c r="B23" s="60">
        <v>32</v>
      </c>
      <c r="C23" s="60">
        <f t="shared" ca="1" si="0"/>
        <v>127</v>
      </c>
      <c r="D23" s="60">
        <f t="shared" ca="1" si="3"/>
        <v>96</v>
      </c>
      <c r="E23" s="60">
        <f t="shared" ca="1" si="1"/>
        <v>3</v>
      </c>
      <c r="F23" s="60">
        <f t="shared" ca="1" si="2"/>
        <v>31</v>
      </c>
      <c r="G23" s="60">
        <f t="shared" ca="1" si="4"/>
        <v>0</v>
      </c>
      <c r="H23" s="60" t="s">
        <v>73</v>
      </c>
      <c r="I23" s="62" t="s">
        <v>1339</v>
      </c>
      <c r="J23" s="118" t="s">
        <v>95</v>
      </c>
    </row>
    <row r="24" spans="1:10">
      <c r="A24" s="41" t="s">
        <v>102</v>
      </c>
      <c r="B24" s="60">
        <v>32</v>
      </c>
      <c r="C24" s="60">
        <f t="shared" ca="1" si="0"/>
        <v>159</v>
      </c>
      <c r="D24" s="60">
        <f t="shared" ca="1" si="3"/>
        <v>128</v>
      </c>
      <c r="E24" s="60">
        <f t="shared" ca="1" si="1"/>
        <v>4</v>
      </c>
      <c r="F24" s="60">
        <f t="shared" ca="1" si="2"/>
        <v>31</v>
      </c>
      <c r="G24" s="60">
        <f t="shared" ca="1" si="4"/>
        <v>0</v>
      </c>
      <c r="H24" s="60" t="s">
        <v>73</v>
      </c>
      <c r="I24" s="62" t="s">
        <v>616</v>
      </c>
      <c r="J24" s="118" t="s">
        <v>95</v>
      </c>
    </row>
    <row r="25" spans="1:10">
      <c r="A25" s="41" t="s">
        <v>104</v>
      </c>
      <c r="B25" s="60">
        <v>32</v>
      </c>
      <c r="C25" s="60">
        <f t="shared" ca="1" si="0"/>
        <v>191</v>
      </c>
      <c r="D25" s="60">
        <f t="shared" ca="1" si="3"/>
        <v>160</v>
      </c>
      <c r="E25" s="60">
        <f t="shared" ca="1" si="1"/>
        <v>5</v>
      </c>
      <c r="F25" s="60">
        <f t="shared" ca="1" si="2"/>
        <v>31</v>
      </c>
      <c r="G25" s="60">
        <f t="shared" ca="1" si="4"/>
        <v>0</v>
      </c>
      <c r="H25" s="60" t="s">
        <v>73</v>
      </c>
      <c r="I25" s="62" t="s">
        <v>617</v>
      </c>
      <c r="J25" s="118" t="s">
        <v>95</v>
      </c>
    </row>
    <row r="26" spans="1:10">
      <c r="A26" s="41" t="s">
        <v>110</v>
      </c>
      <c r="B26" s="60">
        <v>32</v>
      </c>
      <c r="C26" s="60">
        <f t="shared" ca="1" si="0"/>
        <v>223</v>
      </c>
      <c r="D26" s="60">
        <f t="shared" ca="1" si="3"/>
        <v>192</v>
      </c>
      <c r="E26" s="60">
        <f t="shared" ca="1" si="1"/>
        <v>6</v>
      </c>
      <c r="F26" s="60">
        <f t="shared" ca="1" si="2"/>
        <v>31</v>
      </c>
      <c r="G26" s="60">
        <f t="shared" ca="1" si="4"/>
        <v>0</v>
      </c>
      <c r="H26" s="60" t="s">
        <v>73</v>
      </c>
      <c r="I26" s="62" t="s">
        <v>1340</v>
      </c>
      <c r="J26" s="118" t="s">
        <v>95</v>
      </c>
    </row>
    <row r="27" spans="1:10">
      <c r="A27" s="41" t="s">
        <v>112</v>
      </c>
      <c r="B27" s="60">
        <v>32</v>
      </c>
      <c r="C27" s="60">
        <f t="shared" ca="1" si="0"/>
        <v>255</v>
      </c>
      <c r="D27" s="60">
        <f t="shared" ca="1" si="3"/>
        <v>224</v>
      </c>
      <c r="E27" s="60">
        <f t="shared" ca="1" si="1"/>
        <v>7</v>
      </c>
      <c r="F27" s="60">
        <f t="shared" ca="1" si="2"/>
        <v>31</v>
      </c>
      <c r="G27" s="60">
        <f t="shared" ca="1" si="4"/>
        <v>0</v>
      </c>
      <c r="H27" s="60" t="s">
        <v>73</v>
      </c>
      <c r="I27" s="62" t="s">
        <v>1341</v>
      </c>
      <c r="J27" s="118" t="s">
        <v>95</v>
      </c>
    </row>
    <row r="28" spans="1:10">
      <c r="A28" s="41" t="s">
        <v>618</v>
      </c>
      <c r="B28" s="60">
        <v>32</v>
      </c>
      <c r="C28" s="60">
        <f t="shared" ca="1" si="0"/>
        <v>287</v>
      </c>
      <c r="D28" s="60">
        <f t="shared" ca="1" si="3"/>
        <v>256</v>
      </c>
      <c r="E28" s="60">
        <f t="shared" ca="1" si="1"/>
        <v>8</v>
      </c>
      <c r="F28" s="60">
        <f t="shared" ca="1" si="2"/>
        <v>31</v>
      </c>
      <c r="G28" s="60">
        <f t="shared" ca="1" si="4"/>
        <v>0</v>
      </c>
      <c r="H28" s="60" t="s">
        <v>73</v>
      </c>
      <c r="I28" s="62" t="s">
        <v>1342</v>
      </c>
      <c r="J28" s="118" t="s">
        <v>95</v>
      </c>
    </row>
    <row r="29" spans="1:10">
      <c r="A29" s="41" t="s">
        <v>1343</v>
      </c>
      <c r="B29" s="60">
        <v>32</v>
      </c>
      <c r="C29" s="60">
        <f t="shared" ca="1" si="0"/>
        <v>319</v>
      </c>
      <c r="D29" s="60">
        <f t="shared" ca="1" si="3"/>
        <v>288</v>
      </c>
      <c r="E29" s="60">
        <f t="shared" ca="1" si="1"/>
        <v>9</v>
      </c>
      <c r="F29" s="60">
        <f t="shared" ca="1" si="2"/>
        <v>31</v>
      </c>
      <c r="G29" s="60">
        <f t="shared" ca="1" si="4"/>
        <v>0</v>
      </c>
      <c r="H29" s="60" t="s">
        <v>73</v>
      </c>
      <c r="I29" s="62" t="s">
        <v>1344</v>
      </c>
      <c r="J29" s="61" t="s">
        <v>574</v>
      </c>
    </row>
    <row r="30" spans="1:10">
      <c r="A30" s="41" t="s">
        <v>87</v>
      </c>
      <c r="B30" s="60">
        <v>16</v>
      </c>
      <c r="C30" s="60">
        <f t="shared" ca="1" si="0"/>
        <v>335</v>
      </c>
      <c r="D30" s="60">
        <f t="shared" ca="1" si="3"/>
        <v>320</v>
      </c>
      <c r="E30" s="60">
        <f t="shared" ca="1" si="1"/>
        <v>10</v>
      </c>
      <c r="F30" s="60">
        <f t="shared" ca="1" si="2"/>
        <v>15</v>
      </c>
      <c r="G30" s="60">
        <f t="shared" ca="1" si="4"/>
        <v>0</v>
      </c>
      <c r="H30" s="60" t="s">
        <v>73</v>
      </c>
      <c r="I30" s="62" t="s">
        <v>87</v>
      </c>
      <c r="J30" s="149">
        <v>0</v>
      </c>
    </row>
    <row r="31" spans="1:10">
      <c r="A31" s="41" t="s">
        <v>118</v>
      </c>
      <c r="B31" s="60">
        <v>16</v>
      </c>
      <c r="C31" s="60">
        <f t="shared" ca="1" si="0"/>
        <v>351</v>
      </c>
      <c r="D31" s="60">
        <f t="shared" ca="1" si="3"/>
        <v>336</v>
      </c>
      <c r="E31" s="60">
        <f t="shared" ca="1" si="1"/>
        <v>10</v>
      </c>
      <c r="F31" s="60">
        <f t="shared" ca="1" si="2"/>
        <v>31</v>
      </c>
      <c r="G31" s="60">
        <f t="shared" ca="1" si="4"/>
        <v>16</v>
      </c>
      <c r="H31" s="60" t="s">
        <v>73</v>
      </c>
      <c r="I31" s="62" t="s">
        <v>1345</v>
      </c>
      <c r="J31" s="118" t="s">
        <v>95</v>
      </c>
    </row>
    <row r="32" spans="1:10">
      <c r="A32" s="41" t="s">
        <v>120</v>
      </c>
      <c r="B32" s="60">
        <v>32</v>
      </c>
      <c r="C32" s="60">
        <f t="shared" ca="1" si="0"/>
        <v>383</v>
      </c>
      <c r="D32" s="60">
        <f t="shared" ca="1" si="3"/>
        <v>352</v>
      </c>
      <c r="E32" s="60">
        <f t="shared" ca="1" si="1"/>
        <v>11</v>
      </c>
      <c r="F32" s="60">
        <f t="shared" ca="1" si="2"/>
        <v>31</v>
      </c>
      <c r="G32" s="60">
        <f t="shared" ca="1" si="4"/>
        <v>0</v>
      </c>
      <c r="H32" s="60" t="s">
        <v>73</v>
      </c>
      <c r="I32" s="62" t="s">
        <v>1346</v>
      </c>
      <c r="J32" s="118" t="s">
        <v>95</v>
      </c>
    </row>
    <row r="33" spans="1:58">
      <c r="A33" s="41" t="s">
        <v>122</v>
      </c>
      <c r="B33" s="60">
        <v>16</v>
      </c>
      <c r="C33" s="60">
        <f t="shared" ca="1" si="0"/>
        <v>399</v>
      </c>
      <c r="D33" s="60">
        <f t="shared" ca="1" si="3"/>
        <v>384</v>
      </c>
      <c r="E33" s="60">
        <f t="shared" ca="1" si="1"/>
        <v>12</v>
      </c>
      <c r="F33" s="60">
        <f t="shared" ca="1" si="2"/>
        <v>15</v>
      </c>
      <c r="G33" s="60">
        <f t="shared" ca="1" si="4"/>
        <v>0</v>
      </c>
      <c r="H33" s="60" t="s">
        <v>73</v>
      </c>
      <c r="I33" s="62" t="s">
        <v>1347</v>
      </c>
      <c r="J33" s="118" t="s">
        <v>95</v>
      </c>
    </row>
    <row r="34" spans="1:58">
      <c r="A34" s="41" t="s">
        <v>126</v>
      </c>
      <c r="B34" s="60">
        <v>16</v>
      </c>
      <c r="C34" s="60">
        <f t="shared" ca="1" si="0"/>
        <v>415</v>
      </c>
      <c r="D34" s="60">
        <f t="shared" ca="1" si="3"/>
        <v>400</v>
      </c>
      <c r="E34" s="60">
        <f t="shared" ca="1" si="1"/>
        <v>12</v>
      </c>
      <c r="F34" s="60">
        <f t="shared" ca="1" si="2"/>
        <v>31</v>
      </c>
      <c r="G34" s="60">
        <f t="shared" ca="1" si="4"/>
        <v>16</v>
      </c>
      <c r="H34" s="60" t="s">
        <v>73</v>
      </c>
      <c r="I34" s="62" t="s">
        <v>1348</v>
      </c>
      <c r="J34" s="61" t="s">
        <v>574</v>
      </c>
    </row>
    <row r="35" spans="1:58" s="36" customFormat="1" ht="48.6">
      <c r="A35" s="41" t="s">
        <v>128</v>
      </c>
      <c r="B35" s="60">
        <v>32</v>
      </c>
      <c r="C35" s="60">
        <f t="shared" ca="1" si="0"/>
        <v>447</v>
      </c>
      <c r="D35" s="60">
        <f t="shared" ca="1" si="3"/>
        <v>416</v>
      </c>
      <c r="E35" s="60">
        <f t="shared" ca="1" si="1"/>
        <v>13</v>
      </c>
      <c r="F35" s="60">
        <f t="shared" ca="1" si="2"/>
        <v>31</v>
      </c>
      <c r="G35" s="60">
        <f t="shared" ca="1" si="4"/>
        <v>0</v>
      </c>
      <c r="H35" s="60" t="s">
        <v>73</v>
      </c>
      <c r="I35" s="62" t="s">
        <v>1349</v>
      </c>
      <c r="J35" s="150" t="s">
        <v>607</v>
      </c>
    </row>
    <row r="36" spans="1:58" s="57" customFormat="1">
      <c r="A36" s="41" t="s">
        <v>130</v>
      </c>
      <c r="B36" s="60">
        <v>16</v>
      </c>
      <c r="C36" s="60">
        <f t="shared" ca="1" si="0"/>
        <v>463</v>
      </c>
      <c r="D36" s="60">
        <f t="shared" ca="1" si="3"/>
        <v>448</v>
      </c>
      <c r="E36" s="60">
        <f t="shared" ca="1" si="1"/>
        <v>14</v>
      </c>
      <c r="F36" s="60">
        <f t="shared" ca="1" si="2"/>
        <v>15</v>
      </c>
      <c r="G36" s="60">
        <f t="shared" ca="1" si="4"/>
        <v>0</v>
      </c>
      <c r="H36" s="60" t="s">
        <v>73</v>
      </c>
      <c r="I36" s="62" t="s">
        <v>1350</v>
      </c>
      <c r="J36" s="61" t="s">
        <v>574</v>
      </c>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row>
    <row r="37" spans="1:58" s="36" customFormat="1">
      <c r="A37" s="41" t="s">
        <v>619</v>
      </c>
      <c r="B37" s="60">
        <v>16</v>
      </c>
      <c r="C37" s="60">
        <f t="shared" ca="1" si="0"/>
        <v>479</v>
      </c>
      <c r="D37" s="60">
        <f t="shared" ca="1" si="3"/>
        <v>464</v>
      </c>
      <c r="E37" s="60">
        <f t="shared" ca="1" si="1"/>
        <v>14</v>
      </c>
      <c r="F37" s="60">
        <f t="shared" ca="1" si="2"/>
        <v>31</v>
      </c>
      <c r="G37" s="60">
        <f t="shared" ca="1" si="4"/>
        <v>16</v>
      </c>
      <c r="H37" s="60" t="s">
        <v>73</v>
      </c>
      <c r="I37" s="62" t="s">
        <v>1351</v>
      </c>
      <c r="J37" s="150" t="s">
        <v>95</v>
      </c>
    </row>
    <row r="38" spans="1:58" s="36" customFormat="1">
      <c r="A38" s="41" t="s">
        <v>620</v>
      </c>
      <c r="B38" s="60">
        <v>32</v>
      </c>
      <c r="C38" s="60">
        <f t="shared" ca="1" si="0"/>
        <v>511</v>
      </c>
      <c r="D38" s="60">
        <f t="shared" ca="1" si="3"/>
        <v>480</v>
      </c>
      <c r="E38" s="60">
        <f t="shared" ca="1" si="1"/>
        <v>15</v>
      </c>
      <c r="F38" s="60">
        <f t="shared" ca="1" si="2"/>
        <v>31</v>
      </c>
      <c r="G38" s="60">
        <f t="shared" ca="1" si="4"/>
        <v>0</v>
      </c>
      <c r="H38" s="60" t="s">
        <v>73</v>
      </c>
      <c r="I38" s="62" t="s">
        <v>1352</v>
      </c>
      <c r="J38" s="61" t="s">
        <v>574</v>
      </c>
    </row>
    <row r="39" spans="1:58" s="57" customFormat="1">
      <c r="A39" s="41" t="s">
        <v>132</v>
      </c>
      <c r="B39" s="60">
        <v>32</v>
      </c>
      <c r="C39" s="60">
        <f t="shared" ca="1" si="0"/>
        <v>543</v>
      </c>
      <c r="D39" s="60">
        <f t="shared" ca="1" si="3"/>
        <v>512</v>
      </c>
      <c r="E39" s="60">
        <f t="shared" ca="1" si="1"/>
        <v>16</v>
      </c>
      <c r="F39" s="60">
        <f t="shared" ca="1" si="2"/>
        <v>31</v>
      </c>
      <c r="G39" s="60">
        <f t="shared" ca="1" si="4"/>
        <v>0</v>
      </c>
      <c r="H39" s="60" t="s">
        <v>73</v>
      </c>
      <c r="I39" s="62" t="str">
        <f>template!I41</f>
        <v>source blob start address[31:0]</v>
      </c>
      <c r="J39" s="150" t="s">
        <v>95</v>
      </c>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row>
    <row r="40" spans="1:58" s="36" customFormat="1" ht="280.8">
      <c r="A40" s="41" t="s">
        <v>134</v>
      </c>
      <c r="B40" s="60">
        <v>13</v>
      </c>
      <c r="C40" s="60">
        <f t="shared" ca="1" si="0"/>
        <v>556</v>
      </c>
      <c r="D40" s="60">
        <f t="shared" ca="1" si="3"/>
        <v>544</v>
      </c>
      <c r="E40" s="60">
        <f t="shared" ca="1" si="1"/>
        <v>17</v>
      </c>
      <c r="F40" s="60">
        <f t="shared" ca="1" si="2"/>
        <v>12</v>
      </c>
      <c r="G40" s="60">
        <f t="shared" ca="1" si="4"/>
        <v>0</v>
      </c>
      <c r="H40" s="60" t="s">
        <v>73</v>
      </c>
      <c r="I40" s="62" t="str">
        <f>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40" s="150" t="s">
        <v>95</v>
      </c>
    </row>
    <row r="41" spans="1:58">
      <c r="A41" s="41" t="s">
        <v>87</v>
      </c>
      <c r="B41" s="60">
        <v>19</v>
      </c>
      <c r="C41" s="60">
        <f t="shared" ca="1" si="0"/>
        <v>575</v>
      </c>
      <c r="D41" s="60">
        <f t="shared" ca="1" si="3"/>
        <v>557</v>
      </c>
      <c r="E41" s="60">
        <f t="shared" ca="1" si="1"/>
        <v>17</v>
      </c>
      <c r="F41" s="60">
        <f t="shared" ca="1" si="2"/>
        <v>31</v>
      </c>
      <c r="G41" s="60">
        <f t="shared" ca="1" si="4"/>
        <v>13</v>
      </c>
      <c r="H41" s="60" t="s">
        <v>88</v>
      </c>
      <c r="I41" s="62" t="str">
        <f ca="1">INDIRECT("template!I43")</f>
        <v>reserved</v>
      </c>
      <c r="J41" s="149">
        <v>0</v>
      </c>
    </row>
    <row r="42" spans="1:58" s="58" customFormat="1">
      <c r="A42" s="41" t="s">
        <v>135</v>
      </c>
      <c r="B42" s="60">
        <v>32</v>
      </c>
      <c r="C42" s="60">
        <f t="shared" ca="1" si="0"/>
        <v>607</v>
      </c>
      <c r="D42" s="60">
        <f t="shared" ca="1" si="3"/>
        <v>576</v>
      </c>
      <c r="E42" s="60">
        <f t="shared" ca="1" si="1"/>
        <v>18</v>
      </c>
      <c r="F42" s="60">
        <f t="shared" ca="1" si="2"/>
        <v>31</v>
      </c>
      <c r="G42" s="60">
        <f t="shared" ca="1" si="4"/>
        <v>0</v>
      </c>
      <c r="H42" s="60" t="s">
        <v>73</v>
      </c>
      <c r="I42" s="62" t="str">
        <f>template!I44</f>
        <v>destination blob start address[31:0]</v>
      </c>
      <c r="J42" s="118" t="s">
        <v>95</v>
      </c>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row>
    <row r="43" spans="1:58" ht="280.8">
      <c r="A43" s="41" t="s">
        <v>137</v>
      </c>
      <c r="B43" s="60">
        <v>13</v>
      </c>
      <c r="C43" s="60">
        <f t="shared" ca="1" si="0"/>
        <v>620</v>
      </c>
      <c r="D43" s="60">
        <f t="shared" ca="1" si="3"/>
        <v>608</v>
      </c>
      <c r="E43" s="60">
        <f t="shared" ca="1" si="1"/>
        <v>19</v>
      </c>
      <c r="F43" s="60">
        <f t="shared" ca="1" si="2"/>
        <v>12</v>
      </c>
      <c r="G43" s="60">
        <f t="shared" ca="1" si="4"/>
        <v>0</v>
      </c>
      <c r="H43" s="60" t="s">
        <v>73</v>
      </c>
      <c r="I43" s="62" t="str">
        <f>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dst is tiu, otherwise, dst is DTN</v>
      </c>
      <c r="J43" s="150" t="s">
        <v>95</v>
      </c>
    </row>
    <row r="44" spans="1:58">
      <c r="A44" s="41" t="s">
        <v>87</v>
      </c>
      <c r="B44" s="60">
        <v>19</v>
      </c>
      <c r="C44" s="60">
        <f t="shared" ca="1" si="0"/>
        <v>639</v>
      </c>
      <c r="D44" s="60">
        <f t="shared" ca="1" si="3"/>
        <v>621</v>
      </c>
      <c r="E44" s="60">
        <f t="shared" ca="1" si="1"/>
        <v>19</v>
      </c>
      <c r="F44" s="60">
        <f t="shared" ca="1" si="2"/>
        <v>31</v>
      </c>
      <c r="G44" s="60">
        <f t="shared" ca="1" si="4"/>
        <v>13</v>
      </c>
      <c r="H44" s="60" t="s">
        <v>88</v>
      </c>
      <c r="I44" s="62" t="str">
        <f ca="1">INDIRECT("template!I46")</f>
        <v>reserved</v>
      </c>
      <c r="J44" s="149">
        <v>0</v>
      </c>
    </row>
    <row r="45" spans="1:58">
      <c r="A45" s="41" t="s">
        <v>621</v>
      </c>
      <c r="B45" s="60">
        <v>32</v>
      </c>
      <c r="C45" s="60">
        <f t="shared" ca="1" si="0"/>
        <v>671</v>
      </c>
      <c r="D45" s="60">
        <f t="shared" ca="1" si="3"/>
        <v>640</v>
      </c>
      <c r="E45" s="60">
        <f t="shared" ca="1" si="1"/>
        <v>20</v>
      </c>
      <c r="F45" s="60">
        <f t="shared" ca="1" si="2"/>
        <v>31</v>
      </c>
      <c r="G45" s="60">
        <f t="shared" ca="1" si="4"/>
        <v>0</v>
      </c>
      <c r="H45" s="60" t="s">
        <v>73</v>
      </c>
      <c r="I45" s="62" t="str">
        <f>template!I47</f>
        <v>mask/index blob start address[31:0]</v>
      </c>
      <c r="J45" s="118" t="s">
        <v>95</v>
      </c>
    </row>
    <row r="46" spans="1:58" ht="280.8">
      <c r="A46" s="41" t="s">
        <v>622</v>
      </c>
      <c r="B46" s="60">
        <v>13</v>
      </c>
      <c r="C46" s="60">
        <f t="shared" ca="1" si="0"/>
        <v>684</v>
      </c>
      <c r="D46" s="60">
        <f t="shared" ca="1" si="3"/>
        <v>672</v>
      </c>
      <c r="E46" s="60">
        <f t="shared" ca="1" si="1"/>
        <v>21</v>
      </c>
      <c r="F46" s="60">
        <f t="shared" ca="1" si="2"/>
        <v>12</v>
      </c>
      <c r="G46" s="60">
        <f t="shared" ca="1" si="4"/>
        <v>0</v>
      </c>
      <c r="H46" s="60" t="s">
        <v>73</v>
      </c>
      <c r="I46" s="62" t="str">
        <f>template!I48</f>
        <v>bit[7:0]=mask/index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mask/index is tiu, otherwise, mask/index is DTN</v>
      </c>
      <c r="J46" s="161" t="s">
        <v>95</v>
      </c>
    </row>
    <row r="47" spans="1:58">
      <c r="A47" s="41" t="s">
        <v>623</v>
      </c>
      <c r="B47" s="60">
        <v>19</v>
      </c>
      <c r="C47" s="60">
        <f t="shared" ca="1" si="0"/>
        <v>703</v>
      </c>
      <c r="D47" s="60">
        <f t="shared" ca="1" si="3"/>
        <v>685</v>
      </c>
      <c r="E47" s="60">
        <f t="shared" ca="1" si="1"/>
        <v>21</v>
      </c>
      <c r="F47" s="60">
        <f t="shared" ca="1" si="2"/>
        <v>31</v>
      </c>
      <c r="G47" s="60">
        <f t="shared" ca="1" si="4"/>
        <v>13</v>
      </c>
      <c r="H47" s="60" t="s">
        <v>88</v>
      </c>
      <c r="I47" s="62" t="s">
        <v>87</v>
      </c>
      <c r="J47" s="149">
        <v>0</v>
      </c>
    </row>
    <row r="48" spans="1:58">
      <c r="A48" s="41" t="s">
        <v>139</v>
      </c>
      <c r="B48" s="60">
        <v>32</v>
      </c>
      <c r="C48" s="60">
        <v>735</v>
      </c>
      <c r="D48" s="60">
        <v>704</v>
      </c>
      <c r="E48" s="60">
        <v>22</v>
      </c>
      <c r="F48" s="60">
        <v>31</v>
      </c>
      <c r="G48" s="60">
        <v>0</v>
      </c>
      <c r="H48" s="60" t="s">
        <v>73</v>
      </c>
      <c r="I48" s="54" t="s">
        <v>139</v>
      </c>
      <c r="J48" s="118" t="s">
        <v>95</v>
      </c>
    </row>
    <row r="49" spans="1:10">
      <c r="A49" s="41" t="s">
        <v>1021</v>
      </c>
      <c r="B49" s="60">
        <v>32</v>
      </c>
      <c r="C49" s="60">
        <v>767</v>
      </c>
      <c r="D49" s="60">
        <v>736</v>
      </c>
      <c r="E49" s="60">
        <v>23</v>
      </c>
      <c r="F49" s="60">
        <v>31</v>
      </c>
      <c r="G49" s="60">
        <v>0</v>
      </c>
      <c r="H49" s="60" t="s">
        <v>73</v>
      </c>
      <c r="I49" s="54" t="s">
        <v>1021</v>
      </c>
      <c r="J49" s="149">
        <v>0</v>
      </c>
    </row>
    <row r="50" spans="1:10">
      <c r="A50" s="159" t="s">
        <v>571</v>
      </c>
      <c r="B50" s="152"/>
      <c r="C50" s="152"/>
      <c r="D50" s="152"/>
      <c r="E50" s="152"/>
      <c r="F50" s="152"/>
      <c r="G50" s="152"/>
      <c r="H50" s="153"/>
      <c r="I50" s="154"/>
      <c r="J50" s="153"/>
    </row>
    <row r="51" spans="1:10">
      <c r="A51" s="159" t="s">
        <v>144</v>
      </c>
      <c r="B51" s="152"/>
      <c r="C51" s="152"/>
      <c r="D51" s="152"/>
      <c r="E51" s="152"/>
      <c r="F51" s="152"/>
      <c r="G51" s="152"/>
      <c r="H51" s="153"/>
      <c r="I51" s="154"/>
      <c r="J51" s="153"/>
    </row>
    <row r="52" spans="1:10">
      <c r="A52" s="159" t="s">
        <v>145</v>
      </c>
      <c r="B52" s="152"/>
      <c r="C52" s="152"/>
      <c r="D52" s="152"/>
      <c r="E52" s="152"/>
      <c r="F52" s="152"/>
      <c r="G52" s="152"/>
      <c r="H52" s="153"/>
      <c r="I52" s="154"/>
      <c r="J52" s="153"/>
    </row>
    <row r="53" spans="1:10">
      <c r="A53" s="159" t="s">
        <v>146</v>
      </c>
      <c r="B53" s="152"/>
      <c r="C53" s="152"/>
      <c r="D53" s="152"/>
      <c r="E53" s="152"/>
      <c r="F53" s="152"/>
      <c r="G53" s="152"/>
      <c r="H53" s="153"/>
      <c r="I53" s="154"/>
      <c r="J53" s="153"/>
    </row>
    <row r="54" spans="1:10">
      <c r="A54" s="159" t="s">
        <v>147</v>
      </c>
      <c r="B54" s="152"/>
      <c r="C54" s="152"/>
      <c r="D54" s="152"/>
      <c r="E54" s="152"/>
      <c r="F54" s="152"/>
      <c r="G54" s="152"/>
      <c r="H54" s="153"/>
      <c r="I54" s="154"/>
      <c r="J54" s="153"/>
    </row>
  </sheetData>
  <phoneticPr fontId="3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4"/>
  <sheetViews>
    <sheetView zoomScale="85" zoomScaleNormal="85" workbookViewId="0">
      <pane ySplit="1" topLeftCell="A14" activePane="bottomLeft" state="frozen"/>
      <selection pane="bottomLeft" activeCell="F44" sqref="F44"/>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68.88671875" style="37" customWidth="1"/>
    <col min="10" max="10" width="38.88671875" style="36" customWidth="1"/>
    <col min="11" max="11" width="47" style="36" customWidth="1"/>
    <col min="12" max="16384" width="15.44140625" style="36"/>
  </cols>
  <sheetData>
    <row r="1" spans="1:10">
      <c r="A1" s="38" t="s">
        <v>66</v>
      </c>
      <c r="B1" s="39" t="s">
        <v>67</v>
      </c>
      <c r="C1" s="39" t="s">
        <v>68</v>
      </c>
      <c r="D1" s="39" t="s">
        <v>69</v>
      </c>
      <c r="E1" s="39" t="s">
        <v>70</v>
      </c>
      <c r="F1" s="39" t="s">
        <v>71</v>
      </c>
      <c r="G1" s="39" t="s">
        <v>72</v>
      </c>
      <c r="H1" s="40" t="s">
        <v>73</v>
      </c>
      <c r="I1" s="45" t="s">
        <v>74</v>
      </c>
      <c r="J1" s="148" t="s">
        <v>555</v>
      </c>
    </row>
    <row r="2" spans="1:10" ht="46.8">
      <c r="A2" s="41" t="s">
        <v>75</v>
      </c>
      <c r="B2" s="60">
        <v>1</v>
      </c>
      <c r="C2" s="60">
        <f>D2+B2-1</f>
        <v>0</v>
      </c>
      <c r="D2" s="60">
        <v>0</v>
      </c>
      <c r="E2" s="60">
        <f>ROUNDDOWN(C2/32,0)</f>
        <v>0</v>
      </c>
      <c r="F2" s="60">
        <f>C2-E2*32</f>
        <v>0</v>
      </c>
      <c r="G2" s="60">
        <f>D2-E2*32</f>
        <v>0</v>
      </c>
      <c r="H2" s="60" t="s">
        <v>73</v>
      </c>
      <c r="I2" s="62" t="str">
        <f ca="1">CONCATENATE(INDIRECT("template!I2"))</f>
        <v>Interrupt Enable;if this bit is set, CPU COULD get interrupt when the instruction is finished 
0: disable interrupt
1: enable interrupt</v>
      </c>
      <c r="J2" s="118" t="s">
        <v>95</v>
      </c>
    </row>
    <row r="3" spans="1:10" ht="46.8">
      <c r="A3" s="41" t="s">
        <v>77</v>
      </c>
      <c r="B3" s="60">
        <v>1</v>
      </c>
      <c r="C3" s="60">
        <f t="shared" ref="C3:C49" ca="1" si="0">D3+B3-1</f>
        <v>1</v>
      </c>
      <c r="D3" s="60">
        <f t="shared" ref="D3:D49" ca="1" si="1">INDIRECT(ADDRESS(ROW()-1,COLUMN()-1))+1</f>
        <v>1</v>
      </c>
      <c r="E3" s="60">
        <f t="shared" ref="E3:E49" ca="1" si="2">ROUNDDOWN(C3/32,0)</f>
        <v>0</v>
      </c>
      <c r="F3" s="60">
        <f t="shared" ref="F3:F49" ca="1" si="3">C3-E3*32</f>
        <v>1</v>
      </c>
      <c r="G3" s="60">
        <f ca="1">D3-E3*32</f>
        <v>1</v>
      </c>
      <c r="H3" s="60" t="s">
        <v>73</v>
      </c>
      <c r="I3" s="62" t="str">
        <f ca="1">CONCATENATE(INDIRECT("template!I3"))</f>
        <v>Stride enable
0：No stride for all blob definition
1：Enable stride for all blob definition</v>
      </c>
      <c r="J3" s="118" t="s">
        <v>95</v>
      </c>
    </row>
    <row r="4" spans="1:10" ht="46.8">
      <c r="A4" s="41" t="s">
        <v>79</v>
      </c>
      <c r="B4" s="60">
        <v>1</v>
      </c>
      <c r="C4" s="60">
        <f t="shared" ca="1" si="0"/>
        <v>2</v>
      </c>
      <c r="D4" s="60">
        <f t="shared" ca="1" si="1"/>
        <v>2</v>
      </c>
      <c r="E4" s="60">
        <f t="shared" ca="1" si="2"/>
        <v>0</v>
      </c>
      <c r="F4" s="60">
        <f t="shared" ca="1" si="3"/>
        <v>2</v>
      </c>
      <c r="G4" s="60">
        <f t="shared" ref="G4:G49" ca="1" si="4">D4-E4*32</f>
        <v>2</v>
      </c>
      <c r="H4" s="60" t="s">
        <v>73</v>
      </c>
      <c r="I4" s="62" t="str">
        <f ca="1">CONCATENATE(INDIRECT("template!I4"))</f>
        <v>NCHW copy bit
0: use separate src and dst NCHW value setting
1: reuse src NCHW value for dst NCHW value</v>
      </c>
      <c r="J4" s="149">
        <v>1</v>
      </c>
    </row>
    <row r="5" spans="1:10" ht="31.2">
      <c r="A5" s="41" t="s">
        <v>559</v>
      </c>
      <c r="B5" s="60">
        <v>1</v>
      </c>
      <c r="C5" s="60">
        <f t="shared" ca="1" si="0"/>
        <v>3</v>
      </c>
      <c r="D5" s="60">
        <f t="shared" ca="1" si="1"/>
        <v>3</v>
      </c>
      <c r="E5" s="60">
        <f t="shared" ca="1" si="2"/>
        <v>0</v>
      </c>
      <c r="F5" s="60">
        <f t="shared" ca="1" si="3"/>
        <v>3</v>
      </c>
      <c r="G5" s="60">
        <f t="shared" ca="1" si="4"/>
        <v>3</v>
      </c>
      <c r="H5" s="60" t="s">
        <v>73</v>
      </c>
      <c r="I5" s="62" t="str">
        <f ca="1">CONCATENATE(INDIRECT("template!I5"))</f>
        <v>0:768bit full cmd;
1:128/256/384/512 short cmd</v>
      </c>
      <c r="J5" s="118" t="s">
        <v>95</v>
      </c>
    </row>
    <row r="6" spans="1:10" ht="46.8">
      <c r="A6" s="41" t="s">
        <v>83</v>
      </c>
      <c r="B6" s="60">
        <v>1</v>
      </c>
      <c r="C6" s="60">
        <f t="shared" ca="1" si="0"/>
        <v>4</v>
      </c>
      <c r="D6" s="60">
        <f t="shared" ca="1" si="1"/>
        <v>4</v>
      </c>
      <c r="E6" s="60">
        <f t="shared" ca="1" si="2"/>
        <v>0</v>
      </c>
      <c r="F6" s="60">
        <f t="shared" ca="1" si="3"/>
        <v>4</v>
      </c>
      <c r="G6" s="60">
        <f t="shared" ca="1" si="4"/>
        <v>4</v>
      </c>
      <c r="H6" s="60" t="s">
        <v>73</v>
      </c>
      <c r="I6" s="62" t="str">
        <f ca="1">CONCATENATE(INDIRECT("template!I6"))</f>
        <v>Read cache enable
0: Read not use cache
1: Read use cache</v>
      </c>
      <c r="J6" s="118" t="s">
        <v>95</v>
      </c>
    </row>
    <row r="7" spans="1:10" ht="46.8">
      <c r="A7" s="41" t="s">
        <v>85</v>
      </c>
      <c r="B7" s="60">
        <v>1</v>
      </c>
      <c r="C7" s="60">
        <f t="shared" ca="1" si="0"/>
        <v>5</v>
      </c>
      <c r="D7" s="60">
        <f t="shared" ca="1" si="1"/>
        <v>5</v>
      </c>
      <c r="E7" s="60">
        <f t="shared" ca="1" si="2"/>
        <v>0</v>
      </c>
      <c r="F7" s="60">
        <f t="shared" ca="1" si="3"/>
        <v>5</v>
      </c>
      <c r="G7" s="60">
        <f t="shared" ca="1" si="4"/>
        <v>5</v>
      </c>
      <c r="H7" s="60" t="s">
        <v>73</v>
      </c>
      <c r="I7" s="62" t="str">
        <f ca="1">CONCATENATE(INDIRECT("template!I7"))</f>
        <v>Flush cache
0: Not Flush cache
1: Flush cache</v>
      </c>
      <c r="J7" s="118" t="s">
        <v>95</v>
      </c>
    </row>
    <row r="8" spans="1:10">
      <c r="A8" s="41" t="s">
        <v>87</v>
      </c>
      <c r="B8" s="60">
        <v>2</v>
      </c>
      <c r="C8" s="60">
        <f t="shared" ca="1" si="0"/>
        <v>7</v>
      </c>
      <c r="D8" s="60">
        <f t="shared" ca="1" si="1"/>
        <v>6</v>
      </c>
      <c r="E8" s="60">
        <f t="shared" ca="1" si="2"/>
        <v>0</v>
      </c>
      <c r="F8" s="60">
        <f t="shared" ca="1" si="3"/>
        <v>7</v>
      </c>
      <c r="G8" s="60">
        <f t="shared" ca="1" si="4"/>
        <v>6</v>
      </c>
      <c r="H8" s="60" t="s">
        <v>88</v>
      </c>
      <c r="I8" s="62" t="str">
        <f ca="1">CONCATENATE(INDIRECT("template!I8"))</f>
        <v>reserved</v>
      </c>
      <c r="J8" s="149">
        <v>0</v>
      </c>
    </row>
    <row r="9" spans="1:10">
      <c r="A9" s="41" t="s">
        <v>1234</v>
      </c>
      <c r="B9" s="60">
        <v>1</v>
      </c>
      <c r="C9" s="60">
        <f t="shared" si="0"/>
        <v>8</v>
      </c>
      <c r="D9" s="60">
        <v>8</v>
      </c>
      <c r="E9" s="60">
        <v>0</v>
      </c>
      <c r="F9" s="60">
        <v>8</v>
      </c>
      <c r="G9" s="60">
        <v>8</v>
      </c>
      <c r="H9" s="60" t="s">
        <v>1235</v>
      </c>
      <c r="I9" s="62"/>
      <c r="J9" s="118" t="s">
        <v>95</v>
      </c>
    </row>
    <row r="10" spans="1:10" customFormat="1">
      <c r="A10" s="41" t="s">
        <v>1236</v>
      </c>
      <c r="B10" s="60">
        <v>1</v>
      </c>
      <c r="C10" s="60">
        <f t="shared" si="0"/>
        <v>9</v>
      </c>
      <c r="D10" s="60">
        <v>9</v>
      </c>
      <c r="E10" s="60">
        <v>0</v>
      </c>
      <c r="F10" s="60">
        <v>9</v>
      </c>
      <c r="G10" s="60">
        <v>9</v>
      </c>
      <c r="H10" s="60" t="s">
        <v>1235</v>
      </c>
      <c r="I10" s="62"/>
      <c r="J10" s="118" t="s">
        <v>95</v>
      </c>
    </row>
    <row r="11" spans="1:10">
      <c r="A11" s="41" t="s">
        <v>1237</v>
      </c>
      <c r="B11" s="60">
        <v>1</v>
      </c>
      <c r="C11" s="60">
        <f t="shared" si="0"/>
        <v>10</v>
      </c>
      <c r="D11" s="60">
        <v>10</v>
      </c>
      <c r="E11" s="60">
        <v>0</v>
      </c>
      <c r="F11" s="60">
        <v>10</v>
      </c>
      <c r="G11" s="60">
        <v>10</v>
      </c>
      <c r="H11" s="60" t="s">
        <v>1235</v>
      </c>
      <c r="I11" s="62"/>
      <c r="J11" s="118" t="s">
        <v>95</v>
      </c>
    </row>
    <row r="12" spans="1:10">
      <c r="A12" s="41" t="s">
        <v>1240</v>
      </c>
      <c r="B12" s="60">
        <v>1</v>
      </c>
      <c r="C12" s="60">
        <v>11</v>
      </c>
      <c r="D12" s="60">
        <v>11</v>
      </c>
      <c r="E12" s="60">
        <v>0</v>
      </c>
      <c r="F12" s="60">
        <v>11</v>
      </c>
      <c r="G12" s="60">
        <v>11</v>
      </c>
      <c r="H12" s="60" t="s">
        <v>1241</v>
      </c>
      <c r="I12" s="62"/>
      <c r="J12" s="118" t="s">
        <v>95</v>
      </c>
    </row>
    <row r="13" spans="1:10">
      <c r="A13" s="41" t="s">
        <v>89</v>
      </c>
      <c r="B13" s="60">
        <v>20</v>
      </c>
      <c r="C13" s="60">
        <f t="shared" ca="1" si="0"/>
        <v>31</v>
      </c>
      <c r="D13" s="60">
        <f t="shared" ca="1" si="1"/>
        <v>12</v>
      </c>
      <c r="E13" s="60">
        <f t="shared" ca="1" si="2"/>
        <v>0</v>
      </c>
      <c r="F13" s="60">
        <f t="shared" ca="1" si="3"/>
        <v>31</v>
      </c>
      <c r="G13" s="60">
        <f t="shared" ca="1" si="4"/>
        <v>12</v>
      </c>
      <c r="H13" s="60" t="s">
        <v>88</v>
      </c>
      <c r="I13" s="62" t="str">
        <f ca="1">CONCATENATE(INDIRECT("template!I9"))</f>
        <v/>
      </c>
      <c r="J13" s="149">
        <v>0</v>
      </c>
    </row>
    <row r="14" spans="1:10" ht="93.6">
      <c r="A14" s="41" t="s">
        <v>90</v>
      </c>
      <c r="B14" s="60">
        <v>5</v>
      </c>
      <c r="C14" s="60">
        <f t="shared" ca="1" si="0"/>
        <v>36</v>
      </c>
      <c r="D14" s="60">
        <f t="shared" ca="1" si="1"/>
        <v>32</v>
      </c>
      <c r="E14" s="60">
        <f t="shared" ca="1" si="2"/>
        <v>1</v>
      </c>
      <c r="F14" s="60">
        <f t="shared" ca="1" si="3"/>
        <v>4</v>
      </c>
      <c r="G14" s="60">
        <f t="shared" ca="1" si="4"/>
        <v>0</v>
      </c>
      <c r="H14" s="60" t="s">
        <v>73</v>
      </c>
      <c r="I14" s="62" t="str">
        <f ca="1">CONCATENATE(INDIRECT("template!I14"))</f>
        <v>0x0:GDMA_tensor                     0x1:GDMA_matrix
0x2:GDMA_masked_select       0x3:GDMA_general
                                                   0x5:GDMA_nonzero
0x6:GDMA_sys                           0x7:GDMA_gather
0x8:GDMA_scatter                    0x9:GDMA_reverse
0xc:GDMA_lossy_compress      0xd:GDMA_lossy_decompress</v>
      </c>
      <c r="J14" s="118" t="s">
        <v>95</v>
      </c>
    </row>
    <row r="15" spans="1:10" ht="93.6">
      <c r="A15" s="41" t="s">
        <v>91</v>
      </c>
      <c r="B15" s="60">
        <v>3</v>
      </c>
      <c r="C15" s="60">
        <f t="shared" ca="1" si="0"/>
        <v>39</v>
      </c>
      <c r="D15" s="60">
        <f t="shared" ca="1" si="1"/>
        <v>37</v>
      </c>
      <c r="E15" s="60">
        <f t="shared" ca="1" si="2"/>
        <v>1</v>
      </c>
      <c r="F15" s="60">
        <f t="shared" ca="1" si="3"/>
        <v>7</v>
      </c>
      <c r="G15" s="60">
        <f t="shared" ca="1" si="4"/>
        <v>5</v>
      </c>
      <c r="H15" s="60" t="s">
        <v>73</v>
      </c>
      <c r="I15" s="62" t="s">
        <v>719</v>
      </c>
      <c r="J15" s="118" t="s">
        <v>95</v>
      </c>
    </row>
    <row r="16" spans="1:10">
      <c r="A16" s="41" t="s">
        <v>93</v>
      </c>
      <c r="B16" s="60">
        <v>1</v>
      </c>
      <c r="C16" s="60">
        <f t="shared" ca="1" si="0"/>
        <v>40</v>
      </c>
      <c r="D16" s="60">
        <f t="shared" ca="1" si="1"/>
        <v>40</v>
      </c>
      <c r="E16" s="60">
        <f t="shared" ca="1" si="2"/>
        <v>1</v>
      </c>
      <c r="F16" s="60">
        <f t="shared" ca="1" si="3"/>
        <v>8</v>
      </c>
      <c r="G16" s="60">
        <f t="shared" ca="1" si="4"/>
        <v>8</v>
      </c>
      <c r="H16" s="60" t="s">
        <v>73</v>
      </c>
      <c r="I16" s="62" t="s">
        <v>573</v>
      </c>
      <c r="J16" s="149">
        <v>0</v>
      </c>
    </row>
    <row r="17" spans="1:10" ht="156">
      <c r="A17" s="41" t="s">
        <v>96</v>
      </c>
      <c r="B17" s="60">
        <v>4</v>
      </c>
      <c r="C17" s="60">
        <f t="shared" ca="1" si="0"/>
        <v>44</v>
      </c>
      <c r="D17" s="60">
        <f t="shared" ca="1" si="1"/>
        <v>41</v>
      </c>
      <c r="E17" s="60">
        <f t="shared" ca="1" si="2"/>
        <v>1</v>
      </c>
      <c r="F17" s="60">
        <f t="shared" ca="1" si="3"/>
        <v>12</v>
      </c>
      <c r="G17" s="60">
        <f t="shared" ca="1" si="4"/>
        <v>9</v>
      </c>
      <c r="H17" s="60" t="s">
        <v>73</v>
      </c>
      <c r="I17" s="62" t="s">
        <v>1336</v>
      </c>
      <c r="J17" s="118" t="s">
        <v>95</v>
      </c>
    </row>
    <row r="18" spans="1:10">
      <c r="A18" s="41" t="s">
        <v>87</v>
      </c>
      <c r="B18" s="60">
        <v>19</v>
      </c>
      <c r="C18" s="60">
        <f t="shared" ca="1" si="0"/>
        <v>63</v>
      </c>
      <c r="D18" s="60">
        <f t="shared" ca="1" si="1"/>
        <v>45</v>
      </c>
      <c r="E18" s="60">
        <f t="shared" ca="1" si="2"/>
        <v>1</v>
      </c>
      <c r="F18" s="60">
        <f t="shared" ca="1" si="3"/>
        <v>31</v>
      </c>
      <c r="G18" s="60">
        <f t="shared" ca="1" si="4"/>
        <v>13</v>
      </c>
      <c r="H18" s="60" t="s">
        <v>88</v>
      </c>
      <c r="I18" s="62" t="str">
        <f ca="1">CONCATENATE(INDIRECT("template!I18"))</f>
        <v>reserved</v>
      </c>
      <c r="J18" s="149">
        <v>0</v>
      </c>
    </row>
    <row r="19" spans="1:10" ht="31.2">
      <c r="A19" s="41" t="s">
        <v>97</v>
      </c>
      <c r="B19" s="60">
        <v>21</v>
      </c>
      <c r="C19" s="60">
        <f t="shared" ca="1" si="0"/>
        <v>84</v>
      </c>
      <c r="D19" s="60">
        <f t="shared" ca="1" si="1"/>
        <v>64</v>
      </c>
      <c r="E19" s="60">
        <f t="shared" ca="1" si="2"/>
        <v>2</v>
      </c>
      <c r="F19" s="60">
        <f t="shared" ca="1" si="3"/>
        <v>20</v>
      </c>
      <c r="G19" s="60">
        <f t="shared" ca="1" si="4"/>
        <v>0</v>
      </c>
      <c r="H19" s="60" t="s">
        <v>73</v>
      </c>
      <c r="I19" s="62" t="s">
        <v>1334</v>
      </c>
      <c r="J19" s="118" t="s">
        <v>95</v>
      </c>
    </row>
    <row r="20" spans="1:10">
      <c r="A20" s="41" t="s">
        <v>87</v>
      </c>
      <c r="B20" s="60">
        <v>2</v>
      </c>
      <c r="C20" s="60">
        <v>86</v>
      </c>
      <c r="D20" s="60">
        <v>85</v>
      </c>
      <c r="E20" s="60">
        <f t="shared" si="2"/>
        <v>2</v>
      </c>
      <c r="F20" s="60">
        <v>22</v>
      </c>
      <c r="G20" s="60">
        <f t="shared" si="4"/>
        <v>21</v>
      </c>
      <c r="H20" s="60" t="s">
        <v>988</v>
      </c>
      <c r="I20" s="62" t="s">
        <v>87</v>
      </c>
      <c r="J20" s="148"/>
    </row>
    <row r="21" spans="1:10">
      <c r="A21" s="41" t="s">
        <v>979</v>
      </c>
      <c r="B21" s="60">
        <v>1</v>
      </c>
      <c r="C21" s="60">
        <v>87</v>
      </c>
      <c r="D21" s="60">
        <v>87</v>
      </c>
      <c r="E21" s="60">
        <v>2</v>
      </c>
      <c r="F21" s="60">
        <v>23</v>
      </c>
      <c r="G21" s="60">
        <v>23</v>
      </c>
      <c r="H21" s="60" t="s">
        <v>989</v>
      </c>
      <c r="I21" s="62" t="s">
        <v>990</v>
      </c>
      <c r="J21" s="148"/>
    </row>
    <row r="22" spans="1:10">
      <c r="A22" s="41" t="s">
        <v>87</v>
      </c>
      <c r="B22" s="60">
        <v>8</v>
      </c>
      <c r="C22" s="60">
        <f t="shared" ref="C22" ca="1" si="5">D22+B22-1</f>
        <v>95</v>
      </c>
      <c r="D22" s="60">
        <f t="shared" ref="D22" ca="1" si="6">INDIRECT(ADDRESS(ROW()-1,COLUMN()-1))+1</f>
        <v>88</v>
      </c>
      <c r="E22" s="60">
        <f t="shared" ca="1" si="2"/>
        <v>2</v>
      </c>
      <c r="F22" s="60">
        <v>31</v>
      </c>
      <c r="G22" s="60">
        <f t="shared" ca="1" si="4"/>
        <v>24</v>
      </c>
      <c r="H22" s="60" t="s">
        <v>88</v>
      </c>
      <c r="I22" s="62" t="s">
        <v>87</v>
      </c>
      <c r="J22" s="148"/>
    </row>
    <row r="23" spans="1:10">
      <c r="A23" s="41" t="s">
        <v>98</v>
      </c>
      <c r="B23" s="60">
        <v>32</v>
      </c>
      <c r="C23" s="60">
        <f t="shared" ca="1" si="0"/>
        <v>127</v>
      </c>
      <c r="D23" s="60">
        <f t="shared" ca="1" si="1"/>
        <v>96</v>
      </c>
      <c r="E23" s="60">
        <f t="shared" ca="1" si="2"/>
        <v>3</v>
      </c>
      <c r="F23" s="60">
        <f t="shared" ca="1" si="3"/>
        <v>31</v>
      </c>
      <c r="G23" s="60">
        <f t="shared" ca="1" si="4"/>
        <v>0</v>
      </c>
      <c r="H23" s="60" t="s">
        <v>73</v>
      </c>
      <c r="I23" s="62" t="str">
        <f ca="1">CONCATENATE(INDIRECT("template!I24"))</f>
        <v>when cmd_special_function==fill constant, this field means constant value</v>
      </c>
      <c r="J23" s="149">
        <v>0</v>
      </c>
    </row>
    <row r="24" spans="1:10">
      <c r="A24" s="41" t="s">
        <v>100</v>
      </c>
      <c r="B24" s="60">
        <v>32</v>
      </c>
      <c r="C24" s="60">
        <f t="shared" ca="1" si="0"/>
        <v>159</v>
      </c>
      <c r="D24" s="60">
        <f t="shared" ca="1" si="1"/>
        <v>128</v>
      </c>
      <c r="E24" s="60">
        <f t="shared" ca="1" si="2"/>
        <v>4</v>
      </c>
      <c r="F24" s="60">
        <f t="shared" ca="1" si="3"/>
        <v>31</v>
      </c>
      <c r="G24" s="60">
        <f t="shared" ca="1" si="4"/>
        <v>0</v>
      </c>
      <c r="H24" s="60" t="s">
        <v>73</v>
      </c>
      <c r="I24" s="62" t="str">
        <f ca="1">CONCATENATE(INDIRECT("template!I25"))</f>
        <v>unsigned number; Source blob N stride</v>
      </c>
      <c r="J24" s="150" t="s">
        <v>95</v>
      </c>
    </row>
    <row r="25" spans="1:10">
      <c r="A25" s="41" t="s">
        <v>102</v>
      </c>
      <c r="B25" s="60">
        <v>32</v>
      </c>
      <c r="C25" s="60">
        <f t="shared" ca="1" si="0"/>
        <v>191</v>
      </c>
      <c r="D25" s="60">
        <f t="shared" ca="1" si="1"/>
        <v>160</v>
      </c>
      <c r="E25" s="60">
        <f t="shared" ca="1" si="2"/>
        <v>5</v>
      </c>
      <c r="F25" s="60">
        <f t="shared" ca="1" si="3"/>
        <v>31</v>
      </c>
      <c r="G25" s="60">
        <f t="shared" ca="1" si="4"/>
        <v>0</v>
      </c>
      <c r="H25" s="60" t="s">
        <v>73</v>
      </c>
      <c r="I25" s="62" t="str">
        <f ca="1">CONCATENATE(INDIRECT("template!I26"))</f>
        <v>unsigned number. Source blob C stride</v>
      </c>
      <c r="J25" s="150" t="s">
        <v>95</v>
      </c>
    </row>
    <row r="26" spans="1:10">
      <c r="A26" s="41" t="s">
        <v>104</v>
      </c>
      <c r="B26" s="60">
        <v>32</v>
      </c>
      <c r="C26" s="60">
        <f t="shared" ca="1" si="0"/>
        <v>223</v>
      </c>
      <c r="D26" s="60">
        <f t="shared" ca="1" si="1"/>
        <v>192</v>
      </c>
      <c r="E26" s="60">
        <f t="shared" ca="1" si="2"/>
        <v>6</v>
      </c>
      <c r="F26" s="60">
        <f t="shared" ca="1" si="3"/>
        <v>31</v>
      </c>
      <c r="G26" s="60">
        <f t="shared" ca="1" si="4"/>
        <v>0</v>
      </c>
      <c r="H26" s="60" t="s">
        <v>73</v>
      </c>
      <c r="I26" s="62" t="str">
        <f ca="1">CONCATENATE(INDIRECT("template!I27"))</f>
        <v>unsigned number; Source blob H stride</v>
      </c>
      <c r="J26" s="150" t="s">
        <v>95</v>
      </c>
    </row>
    <row r="27" spans="1:10">
      <c r="A27" s="41" t="s">
        <v>106</v>
      </c>
      <c r="B27" s="60">
        <v>32</v>
      </c>
      <c r="C27" s="60">
        <f t="shared" ca="1" si="0"/>
        <v>255</v>
      </c>
      <c r="D27" s="60">
        <f t="shared" ca="1" si="1"/>
        <v>224</v>
      </c>
      <c r="E27" s="60">
        <f t="shared" ca="1" si="2"/>
        <v>7</v>
      </c>
      <c r="F27" s="60">
        <f t="shared" ca="1" si="3"/>
        <v>31</v>
      </c>
      <c r="G27" s="60">
        <f t="shared" ca="1" si="4"/>
        <v>0</v>
      </c>
      <c r="H27" s="60" t="s">
        <v>73</v>
      </c>
      <c r="I27" s="62" t="str">
        <f ca="1">CONCATENATE(INDIRECT("template!I28"))</f>
        <v>unsigned number; Source blob W stride</v>
      </c>
      <c r="J27" s="150" t="s">
        <v>95</v>
      </c>
    </row>
    <row r="28" spans="1:10">
      <c r="A28" s="41" t="s">
        <v>108</v>
      </c>
      <c r="B28" s="60">
        <v>32</v>
      </c>
      <c r="C28" s="60">
        <f t="shared" ca="1" si="0"/>
        <v>287</v>
      </c>
      <c r="D28" s="60">
        <f t="shared" ca="1" si="1"/>
        <v>256</v>
      </c>
      <c r="E28" s="60">
        <f t="shared" ca="1" si="2"/>
        <v>8</v>
      </c>
      <c r="F28" s="60">
        <f t="shared" ca="1" si="3"/>
        <v>31</v>
      </c>
      <c r="G28" s="60">
        <f t="shared" ca="1" si="4"/>
        <v>0</v>
      </c>
      <c r="H28" s="60" t="s">
        <v>73</v>
      </c>
      <c r="I28" s="62" t="str">
        <f ca="1">CONCATENATE(INDIRECT("template!I29"))</f>
        <v>unsigned number; desitination blob N stride</v>
      </c>
      <c r="J28" s="150" t="s">
        <v>95</v>
      </c>
    </row>
    <row r="29" spans="1:10">
      <c r="A29" s="41" t="s">
        <v>110</v>
      </c>
      <c r="B29" s="60">
        <v>32</v>
      </c>
      <c r="C29" s="60">
        <f t="shared" ca="1" si="0"/>
        <v>319</v>
      </c>
      <c r="D29" s="60">
        <f t="shared" ca="1" si="1"/>
        <v>288</v>
      </c>
      <c r="E29" s="60">
        <f t="shared" ca="1" si="2"/>
        <v>9</v>
      </c>
      <c r="F29" s="60">
        <f t="shared" ca="1" si="3"/>
        <v>31</v>
      </c>
      <c r="G29" s="60">
        <f t="shared" ca="1" si="4"/>
        <v>0</v>
      </c>
      <c r="H29" s="60" t="s">
        <v>73</v>
      </c>
      <c r="I29" s="62" t="str">
        <f ca="1">CONCATENATE(INDIRECT("template!I30"))</f>
        <v>unsigned number.desitination blob C stride</v>
      </c>
      <c r="J29" s="150" t="s">
        <v>95</v>
      </c>
    </row>
    <row r="30" spans="1:10">
      <c r="A30" s="41" t="s">
        <v>112</v>
      </c>
      <c r="B30" s="60">
        <v>32</v>
      </c>
      <c r="C30" s="60">
        <f t="shared" ca="1" si="0"/>
        <v>351</v>
      </c>
      <c r="D30" s="60">
        <f t="shared" ca="1" si="1"/>
        <v>320</v>
      </c>
      <c r="E30" s="60">
        <f t="shared" ca="1" si="2"/>
        <v>10</v>
      </c>
      <c r="F30" s="60">
        <f t="shared" ca="1" si="3"/>
        <v>31</v>
      </c>
      <c r="G30" s="60">
        <f t="shared" ca="1" si="4"/>
        <v>0</v>
      </c>
      <c r="H30" s="60" t="s">
        <v>73</v>
      </c>
      <c r="I30" s="62" t="str">
        <f ca="1">CONCATENATE(INDIRECT("template!I31"))</f>
        <v>unsigned number; desitination blob H stride</v>
      </c>
      <c r="J30" s="150" t="s">
        <v>95</v>
      </c>
    </row>
    <row r="31" spans="1:10">
      <c r="A31" s="41" t="s">
        <v>114</v>
      </c>
      <c r="B31" s="60">
        <v>32</v>
      </c>
      <c r="C31" s="60">
        <f t="shared" ca="1" si="0"/>
        <v>383</v>
      </c>
      <c r="D31" s="60">
        <f t="shared" ca="1" si="1"/>
        <v>352</v>
      </c>
      <c r="E31" s="60">
        <f t="shared" ca="1" si="2"/>
        <v>11</v>
      </c>
      <c r="F31" s="60">
        <f t="shared" ca="1" si="3"/>
        <v>31</v>
      </c>
      <c r="G31" s="60">
        <f t="shared" ca="1" si="4"/>
        <v>0</v>
      </c>
      <c r="H31" s="60" t="s">
        <v>73</v>
      </c>
      <c r="I31" s="62" t="str">
        <f ca="1">INDIRECT("template!I32")</f>
        <v>unsigned number; desitination blob W stride</v>
      </c>
      <c r="J31" s="150" t="s">
        <v>95</v>
      </c>
    </row>
    <row r="32" spans="1:10">
      <c r="A32" s="41" t="s">
        <v>116</v>
      </c>
      <c r="B32" s="60">
        <v>16</v>
      </c>
      <c r="C32" s="60">
        <f t="shared" ca="1" si="0"/>
        <v>399</v>
      </c>
      <c r="D32" s="60">
        <f t="shared" ca="1" si="1"/>
        <v>384</v>
      </c>
      <c r="E32" s="60">
        <f t="shared" ca="1" si="2"/>
        <v>12</v>
      </c>
      <c r="F32" s="60">
        <f t="shared" ca="1" si="3"/>
        <v>15</v>
      </c>
      <c r="G32" s="60">
        <f t="shared" ca="1" si="4"/>
        <v>0</v>
      </c>
      <c r="H32" s="60" t="s">
        <v>73</v>
      </c>
      <c r="I32" s="62" t="str">
        <f ca="1">INDIRECT("template!I33")</f>
        <v>Source Blob Number</v>
      </c>
      <c r="J32" s="150" t="s">
        <v>95</v>
      </c>
    </row>
    <row r="33" spans="1:10">
      <c r="A33" s="41" t="s">
        <v>118</v>
      </c>
      <c r="B33" s="60">
        <v>16</v>
      </c>
      <c r="C33" s="60">
        <f t="shared" ca="1" si="0"/>
        <v>415</v>
      </c>
      <c r="D33" s="60">
        <f t="shared" ca="1" si="1"/>
        <v>400</v>
      </c>
      <c r="E33" s="60">
        <f t="shared" ca="1" si="2"/>
        <v>12</v>
      </c>
      <c r="F33" s="60">
        <f t="shared" ca="1" si="3"/>
        <v>31</v>
      </c>
      <c r="G33" s="60">
        <f t="shared" ca="1" si="4"/>
        <v>16</v>
      </c>
      <c r="H33" s="60" t="s">
        <v>73</v>
      </c>
      <c r="I33" s="62" t="str">
        <f ca="1">INDIRECT("template!I34")</f>
        <v>Source blob C</v>
      </c>
      <c r="J33" s="150" t="s">
        <v>95</v>
      </c>
    </row>
    <row r="34" spans="1:10">
      <c r="A34" s="41" t="s">
        <v>120</v>
      </c>
      <c r="B34" s="60">
        <v>16</v>
      </c>
      <c r="C34" s="60">
        <f t="shared" ca="1" si="0"/>
        <v>431</v>
      </c>
      <c r="D34" s="60">
        <f t="shared" ca="1" si="1"/>
        <v>416</v>
      </c>
      <c r="E34" s="60">
        <f t="shared" ca="1" si="2"/>
        <v>13</v>
      </c>
      <c r="F34" s="60" t="s">
        <v>567</v>
      </c>
      <c r="G34" s="60">
        <f t="shared" ca="1" si="4"/>
        <v>0</v>
      </c>
      <c r="H34" s="60" t="s">
        <v>73</v>
      </c>
      <c r="I34" s="62" t="str">
        <f ca="1">INDIRECT("template!I35")</f>
        <v xml:space="preserve">Source blob H </v>
      </c>
      <c r="J34" s="150" t="s">
        <v>95</v>
      </c>
    </row>
    <row r="35" spans="1:10" s="34" customFormat="1">
      <c r="A35" s="41" t="s">
        <v>122</v>
      </c>
      <c r="B35" s="60">
        <v>16</v>
      </c>
      <c r="C35" s="60">
        <f t="shared" ca="1" si="0"/>
        <v>447</v>
      </c>
      <c r="D35" s="60">
        <f t="shared" ca="1" si="1"/>
        <v>432</v>
      </c>
      <c r="E35" s="60">
        <f t="shared" ca="1" si="2"/>
        <v>13</v>
      </c>
      <c r="F35" s="60">
        <f t="shared" ca="1" si="3"/>
        <v>31</v>
      </c>
      <c r="G35" s="60">
        <f t="shared" ca="1" si="4"/>
        <v>16</v>
      </c>
      <c r="H35" s="60" t="s">
        <v>73</v>
      </c>
      <c r="I35" s="62" t="str">
        <f ca="1">INDIRECT("template!I36")</f>
        <v xml:space="preserve">Source blob W </v>
      </c>
      <c r="J35" s="150" t="s">
        <v>95</v>
      </c>
    </row>
    <row r="36" spans="1:10">
      <c r="A36" s="41" t="s">
        <v>124</v>
      </c>
      <c r="B36" s="60">
        <v>16</v>
      </c>
      <c r="C36" s="60">
        <f t="shared" ca="1" si="0"/>
        <v>463</v>
      </c>
      <c r="D36" s="60">
        <f t="shared" ca="1" si="1"/>
        <v>448</v>
      </c>
      <c r="E36" s="60">
        <f t="shared" ca="1" si="2"/>
        <v>14</v>
      </c>
      <c r="F36" s="60">
        <f t="shared" ca="1" si="3"/>
        <v>15</v>
      </c>
      <c r="G36" s="60">
        <f t="shared" ca="1" si="4"/>
        <v>0</v>
      </c>
      <c r="H36" s="60" t="s">
        <v>73</v>
      </c>
      <c r="I36" s="62" t="str">
        <f ca="1">INDIRECT("template!I37")</f>
        <v xml:space="preserve">Destination Blob Number </v>
      </c>
      <c r="J36" s="157" t="s">
        <v>603</v>
      </c>
    </row>
    <row r="37" spans="1:10">
      <c r="A37" s="41" t="s">
        <v>126</v>
      </c>
      <c r="B37" s="60">
        <v>16</v>
      </c>
      <c r="C37" s="60">
        <f t="shared" ca="1" si="0"/>
        <v>479</v>
      </c>
      <c r="D37" s="60">
        <f t="shared" ca="1" si="1"/>
        <v>464</v>
      </c>
      <c r="E37" s="60">
        <f t="shared" ca="1" si="2"/>
        <v>14</v>
      </c>
      <c r="F37" s="60">
        <f t="shared" ca="1" si="3"/>
        <v>31</v>
      </c>
      <c r="G37" s="60">
        <f t="shared" ca="1" si="4"/>
        <v>16</v>
      </c>
      <c r="H37" s="60" t="s">
        <v>73</v>
      </c>
      <c r="I37" s="62" t="str">
        <f ca="1">INDIRECT("template!I38")</f>
        <v xml:space="preserve">Destination blob C </v>
      </c>
      <c r="J37" s="157" t="s">
        <v>603</v>
      </c>
    </row>
    <row r="38" spans="1:10">
      <c r="A38" s="41" t="s">
        <v>128</v>
      </c>
      <c r="B38" s="60">
        <v>16</v>
      </c>
      <c r="C38" s="60">
        <f t="shared" ca="1" si="0"/>
        <v>495</v>
      </c>
      <c r="D38" s="60">
        <f t="shared" ca="1" si="1"/>
        <v>480</v>
      </c>
      <c r="E38" s="60">
        <f t="shared" ca="1" si="2"/>
        <v>15</v>
      </c>
      <c r="F38" s="60">
        <f t="shared" ca="1" si="3"/>
        <v>15</v>
      </c>
      <c r="G38" s="60">
        <f t="shared" ca="1" si="4"/>
        <v>0</v>
      </c>
      <c r="H38" s="60" t="s">
        <v>73</v>
      </c>
      <c r="I38" s="62" t="str">
        <f ca="1">INDIRECT("template!I39")</f>
        <v>Destination blob H</v>
      </c>
      <c r="J38" s="157" t="s">
        <v>603</v>
      </c>
    </row>
    <row r="39" spans="1:10">
      <c r="A39" s="41" t="s">
        <v>130</v>
      </c>
      <c r="B39" s="60">
        <v>16</v>
      </c>
      <c r="C39" s="60">
        <f t="shared" ca="1" si="0"/>
        <v>511</v>
      </c>
      <c r="D39" s="60">
        <f t="shared" ca="1" si="1"/>
        <v>496</v>
      </c>
      <c r="E39" s="60">
        <f t="shared" ca="1" si="2"/>
        <v>15</v>
      </c>
      <c r="F39" s="60">
        <f t="shared" ca="1" si="3"/>
        <v>31</v>
      </c>
      <c r="G39" s="60">
        <f t="shared" ca="1" si="4"/>
        <v>16</v>
      </c>
      <c r="H39" s="60" t="s">
        <v>73</v>
      </c>
      <c r="I39" s="62" t="str">
        <f ca="1">INDIRECT("template!I40")</f>
        <v xml:space="preserve">Destination blob W </v>
      </c>
      <c r="J39" s="157" t="s">
        <v>603</v>
      </c>
    </row>
    <row r="40" spans="1:10">
      <c r="A40" s="41" t="s">
        <v>132</v>
      </c>
      <c r="B40" s="60">
        <v>32</v>
      </c>
      <c r="C40" s="60">
        <f t="shared" ca="1" si="0"/>
        <v>543</v>
      </c>
      <c r="D40" s="60">
        <f t="shared" ca="1" si="1"/>
        <v>512</v>
      </c>
      <c r="E40" s="60">
        <f t="shared" ca="1" si="2"/>
        <v>16</v>
      </c>
      <c r="F40" s="60">
        <f t="shared" ca="1" si="3"/>
        <v>31</v>
      </c>
      <c r="G40" s="60">
        <f t="shared" ca="1" si="4"/>
        <v>0</v>
      </c>
      <c r="H40" s="60" t="s">
        <v>73</v>
      </c>
      <c r="I40" s="62" t="str">
        <f ca="1">INDIRECT("template!I41")</f>
        <v>source blob start address[31:0]</v>
      </c>
      <c r="J40" s="150" t="s">
        <v>95</v>
      </c>
    </row>
    <row r="41" spans="1:10" ht="280.8">
      <c r="A41" s="41" t="s">
        <v>134</v>
      </c>
      <c r="B41" s="60">
        <v>13</v>
      </c>
      <c r="C41" s="60">
        <f t="shared" ca="1" si="0"/>
        <v>556</v>
      </c>
      <c r="D41" s="60">
        <f t="shared" ca="1" si="1"/>
        <v>544</v>
      </c>
      <c r="E41" s="60">
        <f t="shared" ca="1" si="2"/>
        <v>17</v>
      </c>
      <c r="F41" s="60">
        <f t="shared" ca="1" si="3"/>
        <v>12</v>
      </c>
      <c r="G41" s="60">
        <f t="shared" ca="1" si="4"/>
        <v>0</v>
      </c>
      <c r="H41" s="60" t="s">
        <v>73</v>
      </c>
      <c r="I41" s="62"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41" s="150" t="s">
        <v>95</v>
      </c>
    </row>
    <row r="42" spans="1:10">
      <c r="A42" s="41" t="s">
        <v>87</v>
      </c>
      <c r="B42" s="60">
        <v>19</v>
      </c>
      <c r="C42" s="60">
        <f t="shared" ca="1" si="0"/>
        <v>575</v>
      </c>
      <c r="D42" s="60">
        <f t="shared" ca="1" si="1"/>
        <v>557</v>
      </c>
      <c r="E42" s="60">
        <f t="shared" ca="1" si="2"/>
        <v>17</v>
      </c>
      <c r="F42" s="60">
        <f t="shared" ca="1" si="3"/>
        <v>31</v>
      </c>
      <c r="G42" s="60">
        <f t="shared" ca="1" si="4"/>
        <v>13</v>
      </c>
      <c r="H42" s="60" t="s">
        <v>88</v>
      </c>
      <c r="I42" s="62" t="str">
        <f ca="1">INDIRECT("template!I43")</f>
        <v>reserved</v>
      </c>
      <c r="J42" s="149">
        <v>0</v>
      </c>
    </row>
    <row r="43" spans="1:10">
      <c r="A43" s="41" t="s">
        <v>135</v>
      </c>
      <c r="B43" s="60">
        <v>32</v>
      </c>
      <c r="C43" s="60">
        <f t="shared" ca="1" si="0"/>
        <v>607</v>
      </c>
      <c r="D43" s="60">
        <f t="shared" ca="1" si="1"/>
        <v>576</v>
      </c>
      <c r="E43" s="60">
        <f t="shared" ca="1" si="2"/>
        <v>18</v>
      </c>
      <c r="F43" s="60">
        <f t="shared" ca="1" si="3"/>
        <v>31</v>
      </c>
      <c r="G43" s="60">
        <f t="shared" ca="1" si="4"/>
        <v>0</v>
      </c>
      <c r="H43" s="60" t="s">
        <v>73</v>
      </c>
      <c r="I43" s="62" t="str">
        <f ca="1">INDIRECT("template!I44")</f>
        <v>destination blob start address[31:0]</v>
      </c>
      <c r="J43" s="118" t="s">
        <v>95</v>
      </c>
    </row>
    <row r="44" spans="1:10" s="35" customFormat="1" ht="280.8">
      <c r="A44" s="41" t="s">
        <v>137</v>
      </c>
      <c r="B44" s="60">
        <v>13</v>
      </c>
      <c r="C44" s="60">
        <f t="shared" ca="1" si="0"/>
        <v>620</v>
      </c>
      <c r="D44" s="60">
        <f t="shared" ca="1" si="1"/>
        <v>608</v>
      </c>
      <c r="E44" s="60">
        <f t="shared" ca="1" si="2"/>
        <v>19</v>
      </c>
      <c r="F44" s="60">
        <f t="shared" ca="1" si="3"/>
        <v>12</v>
      </c>
      <c r="G44" s="60">
        <f t="shared" ca="1" si="4"/>
        <v>0</v>
      </c>
      <c r="H44" s="60" t="s">
        <v>73</v>
      </c>
      <c r="I44" s="62" t="str">
        <f ca="1">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dst is tiu, otherwise, dst is DTN</v>
      </c>
      <c r="J44" s="118" t="s">
        <v>95</v>
      </c>
    </row>
    <row r="45" spans="1:10" s="35" customFormat="1">
      <c r="A45" s="41" t="s">
        <v>87</v>
      </c>
      <c r="B45" s="60">
        <v>19</v>
      </c>
      <c r="C45" s="60">
        <f t="shared" ca="1" si="0"/>
        <v>639</v>
      </c>
      <c r="D45" s="60">
        <f t="shared" ca="1" si="1"/>
        <v>621</v>
      </c>
      <c r="E45" s="60">
        <f t="shared" ca="1" si="2"/>
        <v>19</v>
      </c>
      <c r="F45" s="60">
        <f t="shared" ca="1" si="3"/>
        <v>31</v>
      </c>
      <c r="G45" s="60">
        <f t="shared" ca="1" si="4"/>
        <v>13</v>
      </c>
      <c r="H45" s="60" t="s">
        <v>88</v>
      </c>
      <c r="I45" s="62" t="str">
        <f ca="1">INDIRECT("template!I46")</f>
        <v>reserved</v>
      </c>
      <c r="J45" s="149">
        <v>0</v>
      </c>
    </row>
    <row r="46" spans="1:10">
      <c r="A46" s="41" t="s">
        <v>89</v>
      </c>
      <c r="B46" s="60">
        <v>32</v>
      </c>
      <c r="C46" s="60">
        <f t="shared" ca="1" si="0"/>
        <v>671</v>
      </c>
      <c r="D46" s="60">
        <f t="shared" ca="1" si="1"/>
        <v>640</v>
      </c>
      <c r="E46" s="60">
        <f t="shared" ca="1" si="2"/>
        <v>20</v>
      </c>
      <c r="F46" s="60">
        <f t="shared" ca="1" si="3"/>
        <v>31</v>
      </c>
      <c r="G46" s="60">
        <f t="shared" ca="1" si="4"/>
        <v>0</v>
      </c>
      <c r="H46" s="60" t="s">
        <v>88</v>
      </c>
      <c r="I46" s="62" t="s">
        <v>1361</v>
      </c>
      <c r="J46" s="149">
        <v>0</v>
      </c>
    </row>
    <row r="47" spans="1:10">
      <c r="A47" s="41" t="s">
        <v>89</v>
      </c>
      <c r="B47" s="60">
        <v>32</v>
      </c>
      <c r="C47" s="60">
        <f t="shared" ca="1" si="0"/>
        <v>703</v>
      </c>
      <c r="D47" s="60">
        <f t="shared" ca="1" si="1"/>
        <v>672</v>
      </c>
      <c r="E47" s="60">
        <f t="shared" ca="1" si="2"/>
        <v>21</v>
      </c>
      <c r="F47" s="60">
        <f t="shared" ca="1" si="3"/>
        <v>31</v>
      </c>
      <c r="G47" s="60">
        <f t="shared" ca="1" si="4"/>
        <v>0</v>
      </c>
      <c r="H47" s="60" t="s">
        <v>88</v>
      </c>
      <c r="I47" s="62" t="str">
        <f ca="1">INDIRECT("template!I49")</f>
        <v>reserved</v>
      </c>
      <c r="J47" s="149">
        <v>0</v>
      </c>
    </row>
    <row r="48" spans="1:10">
      <c r="A48" s="41" t="s">
        <v>139</v>
      </c>
      <c r="B48" s="60">
        <v>32</v>
      </c>
      <c r="C48" s="60">
        <f t="shared" ca="1" si="0"/>
        <v>735</v>
      </c>
      <c r="D48" s="60">
        <f t="shared" ca="1" si="1"/>
        <v>704</v>
      </c>
      <c r="E48" s="60">
        <f t="shared" ca="1" si="2"/>
        <v>22</v>
      </c>
      <c r="F48" s="60">
        <f t="shared" ca="1" si="3"/>
        <v>31</v>
      </c>
      <c r="G48" s="60">
        <f t="shared" ca="1" si="4"/>
        <v>0</v>
      </c>
      <c r="H48" s="60" t="s">
        <v>73</v>
      </c>
      <c r="I48" s="62" t="str">
        <f ca="1">INDIRECT("template!I51")</f>
        <v>used to announce is the local memory mask or not, 1 means enable access, 0 means disable access (bit 0 corresponds local memory index32)</v>
      </c>
      <c r="J48" s="150" t="s">
        <v>95</v>
      </c>
    </row>
    <row r="49" spans="1:10">
      <c r="A49" s="41" t="s">
        <v>141</v>
      </c>
      <c r="B49" s="60">
        <v>32</v>
      </c>
      <c r="C49" s="60">
        <f t="shared" ca="1" si="0"/>
        <v>767</v>
      </c>
      <c r="D49" s="60">
        <f t="shared" ca="1" si="1"/>
        <v>736</v>
      </c>
      <c r="E49" s="60">
        <f t="shared" ca="1" si="2"/>
        <v>23</v>
      </c>
      <c r="F49" s="60">
        <f t="shared" ca="1" si="3"/>
        <v>31</v>
      </c>
      <c r="G49" s="60">
        <f t="shared" ca="1" si="4"/>
        <v>0</v>
      </c>
      <c r="H49" s="60" t="s">
        <v>73</v>
      </c>
      <c r="I49" s="62">
        <f ca="1">INDIRECT("template!I52")</f>
        <v>0</v>
      </c>
      <c r="J49" s="150" t="s">
        <v>95</v>
      </c>
    </row>
    <row r="50" spans="1:10">
      <c r="A50" s="159" t="s">
        <v>571</v>
      </c>
      <c r="B50" s="152"/>
      <c r="C50" s="152"/>
      <c r="D50" s="152"/>
      <c r="E50" s="152"/>
      <c r="F50" s="152"/>
      <c r="G50" s="152"/>
      <c r="H50" s="153"/>
      <c r="I50" s="154"/>
      <c r="J50" s="153"/>
    </row>
    <row r="51" spans="1:10">
      <c r="A51" s="159" t="s">
        <v>144</v>
      </c>
      <c r="B51" s="152"/>
      <c r="C51" s="152"/>
      <c r="D51" s="152"/>
      <c r="E51" s="152"/>
      <c r="F51" s="152"/>
      <c r="G51" s="152"/>
      <c r="H51" s="153"/>
      <c r="I51" s="154"/>
      <c r="J51" s="153"/>
    </row>
    <row r="52" spans="1:10">
      <c r="A52" s="159" t="s">
        <v>145</v>
      </c>
      <c r="B52" s="152"/>
      <c r="C52" s="152"/>
      <c r="D52" s="152"/>
      <c r="E52" s="152"/>
      <c r="F52" s="152"/>
      <c r="G52" s="152"/>
      <c r="H52" s="153"/>
      <c r="I52" s="154"/>
      <c r="J52" s="153"/>
    </row>
    <row r="53" spans="1:10">
      <c r="A53" s="159" t="s">
        <v>146</v>
      </c>
      <c r="B53" s="152"/>
      <c r="C53" s="152"/>
      <c r="D53" s="152"/>
      <c r="E53" s="152"/>
      <c r="F53" s="152"/>
      <c r="G53" s="152"/>
      <c r="H53" s="153"/>
      <c r="I53" s="154"/>
      <c r="J53" s="153"/>
    </row>
    <row r="54" spans="1:10">
      <c r="A54" s="159" t="s">
        <v>147</v>
      </c>
      <c r="B54" s="152"/>
      <c r="C54" s="152"/>
      <c r="D54" s="152"/>
      <c r="E54" s="152"/>
      <c r="F54" s="152"/>
      <c r="G54" s="152"/>
      <c r="H54" s="153"/>
      <c r="I54" s="154"/>
      <c r="J54" s="153"/>
    </row>
  </sheetData>
  <phoneticPr fontId="32" type="noConversion"/>
  <pageMargins left="0.25" right="0.25" top="0.75" bottom="0.75" header="0.3" footer="0.3"/>
  <pageSetup paperSize="9" scale="50"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5"/>
  <sheetViews>
    <sheetView workbookViewId="0">
      <pane ySplit="1" topLeftCell="A23" activePane="bottomLeft" state="frozen"/>
      <selection pane="bottomLeft" activeCell="I39" sqref="I39"/>
    </sheetView>
  </sheetViews>
  <sheetFormatPr defaultColWidth="15.44140625" defaultRowHeight="16.2"/>
  <cols>
    <col min="1" max="1" width="30.44140625" style="36" customWidth="1"/>
    <col min="2" max="2" width="12.44140625" style="35" customWidth="1"/>
    <col min="3" max="3" width="11" style="35" customWidth="1"/>
    <col min="4" max="4" width="10.6640625" style="35" customWidth="1"/>
    <col min="5" max="5" width="18" style="35" customWidth="1"/>
    <col min="6" max="6" width="13" style="35" customWidth="1"/>
    <col min="7" max="7" width="13.44140625" style="35" customWidth="1"/>
    <col min="8" max="8" width="3.6640625" style="36" customWidth="1"/>
    <col min="9" max="9" width="149.44140625" style="37" customWidth="1"/>
    <col min="10" max="10" width="22" style="36" customWidth="1"/>
    <col min="11" max="11" width="47" style="36" customWidth="1"/>
    <col min="12" max="16384" width="15.44140625" style="36"/>
  </cols>
  <sheetData>
    <row r="1" spans="1:10">
      <c r="A1" s="38" t="s">
        <v>66</v>
      </c>
      <c r="B1" s="39" t="s">
        <v>67</v>
      </c>
      <c r="C1" s="39" t="s">
        <v>68</v>
      </c>
      <c r="D1" s="39" t="s">
        <v>69</v>
      </c>
      <c r="E1" s="39" t="s">
        <v>70</v>
      </c>
      <c r="F1" s="39" t="s">
        <v>71</v>
      </c>
      <c r="G1" s="39" t="s">
        <v>72</v>
      </c>
      <c r="H1" s="40" t="s">
        <v>73</v>
      </c>
      <c r="I1" s="45" t="s">
        <v>74</v>
      </c>
      <c r="J1" s="148" t="s">
        <v>555</v>
      </c>
    </row>
    <row r="2" spans="1:10" ht="46.8">
      <c r="A2" s="41" t="s">
        <v>75</v>
      </c>
      <c r="B2" s="60">
        <v>1</v>
      </c>
      <c r="C2" s="60">
        <f>D2+B2-1</f>
        <v>0</v>
      </c>
      <c r="D2" s="60">
        <v>0</v>
      </c>
      <c r="E2" s="60">
        <f>ROUNDDOWN(C2/32,0)</f>
        <v>0</v>
      </c>
      <c r="F2" s="60">
        <f>C2-E2*32</f>
        <v>0</v>
      </c>
      <c r="G2" s="60">
        <f>D2-E2*32</f>
        <v>0</v>
      </c>
      <c r="H2" s="60" t="s">
        <v>73</v>
      </c>
      <c r="I2" s="62" t="str">
        <f ca="1">CONCATENATE(INDIRECT("template!I2"))</f>
        <v>Interrupt Enable;if this bit is set, CPU COULD get interrupt when the instruction is finished 
0: disable interrupt
1: enable interrupt</v>
      </c>
      <c r="J2" s="118" t="s">
        <v>95</v>
      </c>
    </row>
    <row r="3" spans="1:10" ht="46.8">
      <c r="A3" s="41" t="s">
        <v>77</v>
      </c>
      <c r="B3" s="60">
        <v>1</v>
      </c>
      <c r="C3" s="60">
        <f t="shared" ref="C3:C50" ca="1" si="0">D3+B3-1</f>
        <v>1</v>
      </c>
      <c r="D3" s="60">
        <f t="shared" ref="D3:D50" ca="1" si="1">INDIRECT(ADDRESS(ROW()-1,COLUMN()-1))+1</f>
        <v>1</v>
      </c>
      <c r="E3" s="60">
        <f t="shared" ref="E3:E50" ca="1" si="2">ROUNDDOWN(C3/32,0)</f>
        <v>0</v>
      </c>
      <c r="F3" s="60">
        <f t="shared" ref="F3:F50" ca="1" si="3">C3-E3*32</f>
        <v>1</v>
      </c>
      <c r="G3" s="60">
        <f ca="1">D3-E3*32</f>
        <v>1</v>
      </c>
      <c r="H3" s="60" t="s">
        <v>73</v>
      </c>
      <c r="I3" s="62" t="str">
        <f ca="1">CONCATENATE(INDIRECT("template!I3"))</f>
        <v>Stride enable
0：No stride for all blob definition
1：Enable stride for all blob definition</v>
      </c>
      <c r="J3" s="149">
        <v>1</v>
      </c>
    </row>
    <row r="4" spans="1:10" ht="46.8">
      <c r="A4" s="41" t="s">
        <v>79</v>
      </c>
      <c r="B4" s="60">
        <v>1</v>
      </c>
      <c r="C4" s="60">
        <f t="shared" ca="1" si="0"/>
        <v>2</v>
      </c>
      <c r="D4" s="60">
        <f t="shared" ca="1" si="1"/>
        <v>2</v>
      </c>
      <c r="E4" s="60">
        <f t="shared" ca="1" si="2"/>
        <v>0</v>
      </c>
      <c r="F4" s="60">
        <f t="shared" ca="1" si="3"/>
        <v>2</v>
      </c>
      <c r="G4" s="60">
        <f t="shared" ref="G4:G50" ca="1" si="4">D4-E4*32</f>
        <v>2</v>
      </c>
      <c r="H4" s="60" t="s">
        <v>73</v>
      </c>
      <c r="I4" s="62" t="str">
        <f ca="1">CONCATENATE(INDIRECT("template!I4"))</f>
        <v>NCHW copy bit
0: use separate src and dst NCHW value setting
1: reuse src NCHW value for dst NCHW value</v>
      </c>
      <c r="J4" s="118" t="s">
        <v>95</v>
      </c>
    </row>
    <row r="5" spans="1:10" ht="31.2">
      <c r="A5" s="41" t="s">
        <v>559</v>
      </c>
      <c r="B5" s="60">
        <v>1</v>
      </c>
      <c r="C5" s="60">
        <f t="shared" ca="1" si="0"/>
        <v>3</v>
      </c>
      <c r="D5" s="60">
        <f t="shared" ca="1" si="1"/>
        <v>3</v>
      </c>
      <c r="E5" s="60">
        <f t="shared" ca="1" si="2"/>
        <v>0</v>
      </c>
      <c r="F5" s="60">
        <f t="shared" ca="1" si="3"/>
        <v>3</v>
      </c>
      <c r="G5" s="60">
        <f t="shared" ca="1" si="4"/>
        <v>3</v>
      </c>
      <c r="H5" s="60" t="s">
        <v>73</v>
      </c>
      <c r="I5" s="62" t="str">
        <f ca="1">CONCATENATE(INDIRECT("template!I5"))</f>
        <v>0:768bit full cmd;
1:128/256/384/512 short cmd</v>
      </c>
      <c r="J5" s="118" t="s">
        <v>95</v>
      </c>
    </row>
    <row r="6" spans="1:10" ht="46.8">
      <c r="A6" s="41" t="s">
        <v>83</v>
      </c>
      <c r="B6" s="60">
        <v>1</v>
      </c>
      <c r="C6" s="60">
        <f t="shared" ca="1" si="0"/>
        <v>4</v>
      </c>
      <c r="D6" s="60">
        <f t="shared" ca="1" si="1"/>
        <v>4</v>
      </c>
      <c r="E6" s="60">
        <f t="shared" ca="1" si="2"/>
        <v>0</v>
      </c>
      <c r="F6" s="60">
        <f t="shared" ca="1" si="3"/>
        <v>4</v>
      </c>
      <c r="G6" s="60">
        <f t="shared" ca="1" si="4"/>
        <v>4</v>
      </c>
      <c r="H6" s="60" t="s">
        <v>73</v>
      </c>
      <c r="I6" s="62" t="str">
        <f ca="1">CONCATENATE(INDIRECT("template!I6"))</f>
        <v>Read cache enable
0: Read not use cache
1: Read use cache</v>
      </c>
      <c r="J6" s="118" t="s">
        <v>95</v>
      </c>
    </row>
    <row r="7" spans="1:10" ht="46.8">
      <c r="A7" s="41" t="s">
        <v>85</v>
      </c>
      <c r="B7" s="60">
        <v>1</v>
      </c>
      <c r="C7" s="60">
        <f t="shared" ca="1" si="0"/>
        <v>5</v>
      </c>
      <c r="D7" s="60">
        <f t="shared" ca="1" si="1"/>
        <v>5</v>
      </c>
      <c r="E7" s="60">
        <f t="shared" ca="1" si="2"/>
        <v>0</v>
      </c>
      <c r="F7" s="60">
        <f t="shared" ca="1" si="3"/>
        <v>5</v>
      </c>
      <c r="G7" s="60">
        <f t="shared" ca="1" si="4"/>
        <v>5</v>
      </c>
      <c r="H7" s="60" t="s">
        <v>73</v>
      </c>
      <c r="I7" s="62" t="str">
        <f ca="1">CONCATENATE(INDIRECT("template!I7"))</f>
        <v>Flush cache
0: Not Flush cache
1: Flush cache</v>
      </c>
      <c r="J7" s="118" t="s">
        <v>95</v>
      </c>
    </row>
    <row r="8" spans="1:10">
      <c r="A8" s="41" t="s">
        <v>87</v>
      </c>
      <c r="B8" s="60">
        <v>2</v>
      </c>
      <c r="C8" s="60">
        <f t="shared" ca="1" si="0"/>
        <v>7</v>
      </c>
      <c r="D8" s="60">
        <f t="shared" ca="1" si="1"/>
        <v>6</v>
      </c>
      <c r="E8" s="60">
        <f t="shared" ca="1" si="2"/>
        <v>0</v>
      </c>
      <c r="F8" s="60">
        <f t="shared" ca="1" si="3"/>
        <v>7</v>
      </c>
      <c r="G8" s="60">
        <f t="shared" ca="1" si="4"/>
        <v>6</v>
      </c>
      <c r="H8" s="60" t="s">
        <v>88</v>
      </c>
      <c r="I8" s="62" t="str">
        <f ca="1">CONCATENATE(INDIRECT("template!I8"))</f>
        <v>reserved</v>
      </c>
      <c r="J8" s="149">
        <v>0</v>
      </c>
    </row>
    <row r="9" spans="1:10">
      <c r="A9" s="41" t="s">
        <v>1234</v>
      </c>
      <c r="B9" s="60">
        <v>1</v>
      </c>
      <c r="C9" s="60">
        <f t="shared" si="0"/>
        <v>8</v>
      </c>
      <c r="D9" s="60">
        <v>8</v>
      </c>
      <c r="E9" s="60">
        <v>0</v>
      </c>
      <c r="F9" s="60">
        <v>8</v>
      </c>
      <c r="G9" s="60">
        <v>8</v>
      </c>
      <c r="H9" s="60" t="s">
        <v>1235</v>
      </c>
      <c r="I9" s="62"/>
      <c r="J9" s="118" t="s">
        <v>95</v>
      </c>
    </row>
    <row r="10" spans="1:10" customFormat="1">
      <c r="A10" s="41" t="s">
        <v>1236</v>
      </c>
      <c r="B10" s="60">
        <v>1</v>
      </c>
      <c r="C10" s="60">
        <f t="shared" si="0"/>
        <v>9</v>
      </c>
      <c r="D10" s="60">
        <v>9</v>
      </c>
      <c r="E10" s="60">
        <v>0</v>
      </c>
      <c r="F10" s="60">
        <v>9</v>
      </c>
      <c r="G10" s="60">
        <v>9</v>
      </c>
      <c r="H10" s="60" t="s">
        <v>1235</v>
      </c>
      <c r="I10" s="62"/>
      <c r="J10" s="118" t="s">
        <v>95</v>
      </c>
    </row>
    <row r="11" spans="1:10">
      <c r="A11" s="41" t="s">
        <v>1237</v>
      </c>
      <c r="B11" s="60">
        <v>1</v>
      </c>
      <c r="C11" s="60">
        <f t="shared" si="0"/>
        <v>10</v>
      </c>
      <c r="D11" s="60">
        <v>10</v>
      </c>
      <c r="E11" s="60">
        <v>0</v>
      </c>
      <c r="F11" s="60">
        <v>10</v>
      </c>
      <c r="G11" s="60">
        <v>10</v>
      </c>
      <c r="H11" s="60" t="s">
        <v>1235</v>
      </c>
      <c r="I11" s="62"/>
      <c r="J11" s="118" t="s">
        <v>95</v>
      </c>
    </row>
    <row r="12" spans="1:10">
      <c r="A12" s="41" t="s">
        <v>1240</v>
      </c>
      <c r="B12" s="60">
        <v>1</v>
      </c>
      <c r="C12" s="60">
        <v>11</v>
      </c>
      <c r="D12" s="60">
        <v>11</v>
      </c>
      <c r="E12" s="60">
        <v>0</v>
      </c>
      <c r="F12" s="60">
        <v>11</v>
      </c>
      <c r="G12" s="60">
        <v>11</v>
      </c>
      <c r="H12" s="60" t="s">
        <v>1241</v>
      </c>
      <c r="I12" s="62"/>
      <c r="J12" s="118" t="s">
        <v>95</v>
      </c>
    </row>
    <row r="13" spans="1:10">
      <c r="A13" s="41" t="s">
        <v>89</v>
      </c>
      <c r="B13" s="60">
        <v>20</v>
      </c>
      <c r="C13" s="60">
        <f t="shared" ca="1" si="0"/>
        <v>31</v>
      </c>
      <c r="D13" s="60">
        <f t="shared" ca="1" si="1"/>
        <v>12</v>
      </c>
      <c r="E13" s="60">
        <f t="shared" ca="1" si="2"/>
        <v>0</v>
      </c>
      <c r="F13" s="60">
        <f t="shared" ca="1" si="3"/>
        <v>31</v>
      </c>
      <c r="G13" s="60">
        <f t="shared" ca="1" si="4"/>
        <v>12</v>
      </c>
      <c r="H13" s="60" t="s">
        <v>88</v>
      </c>
      <c r="I13" s="62" t="str">
        <f ca="1">CONCATENATE(INDIRECT("template!I9"))</f>
        <v/>
      </c>
      <c r="J13" s="149">
        <v>0</v>
      </c>
    </row>
    <row r="14" spans="1:10" ht="93.6">
      <c r="A14" s="41" t="s">
        <v>90</v>
      </c>
      <c r="B14" s="60">
        <v>5</v>
      </c>
      <c r="C14" s="60">
        <f t="shared" ca="1" si="0"/>
        <v>36</v>
      </c>
      <c r="D14" s="60">
        <f t="shared" ca="1" si="1"/>
        <v>32</v>
      </c>
      <c r="E14" s="60">
        <f t="shared" ca="1" si="2"/>
        <v>1</v>
      </c>
      <c r="F14" s="60">
        <f t="shared" ca="1" si="3"/>
        <v>4</v>
      </c>
      <c r="G14" s="60">
        <f t="shared" ca="1" si="4"/>
        <v>0</v>
      </c>
      <c r="H14" s="60" t="s">
        <v>73</v>
      </c>
      <c r="I14" s="62" t="str">
        <f ca="1">CONCATENATE(INDIRECT("template!I14"))</f>
        <v>0x0:GDMA_tensor                     0x1:GDMA_matrix
0x2:GDMA_masked_select       0x3:GDMA_general
                                                   0x5:GDMA_nonzero
0x6:GDMA_sys                           0x7:GDMA_gather
0x8:GDMA_scatter                    0x9:GDMA_reverse
0xc:GDMA_lossy_compress      0xd:GDMA_lossy_decompress</v>
      </c>
      <c r="J14" s="118" t="s">
        <v>95</v>
      </c>
    </row>
    <row r="15" spans="1:10" ht="46.8">
      <c r="A15" s="41" t="s">
        <v>91</v>
      </c>
      <c r="B15" s="60">
        <v>3</v>
      </c>
      <c r="C15" s="60">
        <f t="shared" ca="1" si="0"/>
        <v>39</v>
      </c>
      <c r="D15" s="60">
        <f t="shared" ca="1" si="1"/>
        <v>37</v>
      </c>
      <c r="E15" s="60">
        <f t="shared" ca="1" si="2"/>
        <v>1</v>
      </c>
      <c r="F15" s="60">
        <f t="shared" ca="1" si="3"/>
        <v>7</v>
      </c>
      <c r="G15" s="60">
        <f t="shared" ca="1" si="4"/>
        <v>5</v>
      </c>
      <c r="H15" s="60" t="s">
        <v>73</v>
      </c>
      <c r="I15" s="62" t="s">
        <v>720</v>
      </c>
      <c r="J15" s="118" t="s">
        <v>95</v>
      </c>
    </row>
    <row r="16" spans="1:10">
      <c r="A16" s="41" t="s">
        <v>93</v>
      </c>
      <c r="B16" s="60">
        <v>1</v>
      </c>
      <c r="C16" s="60">
        <f t="shared" ca="1" si="0"/>
        <v>40</v>
      </c>
      <c r="D16" s="60">
        <f t="shared" ca="1" si="1"/>
        <v>40</v>
      </c>
      <c r="E16" s="60">
        <f t="shared" ca="1" si="2"/>
        <v>1</v>
      </c>
      <c r="F16" s="60">
        <f t="shared" ca="1" si="3"/>
        <v>8</v>
      </c>
      <c r="G16" s="60">
        <f t="shared" ca="1" si="4"/>
        <v>8</v>
      </c>
      <c r="H16" s="60" t="s">
        <v>73</v>
      </c>
      <c r="I16" s="62" t="s">
        <v>573</v>
      </c>
      <c r="J16" s="118" t="s">
        <v>95</v>
      </c>
    </row>
    <row r="17" spans="1:10">
      <c r="A17" s="41" t="s">
        <v>87</v>
      </c>
      <c r="B17" s="60">
        <v>3</v>
      </c>
      <c r="C17" s="60">
        <f t="shared" ca="1" si="0"/>
        <v>43</v>
      </c>
      <c r="D17" s="60">
        <f t="shared" ca="1" si="1"/>
        <v>41</v>
      </c>
      <c r="E17" s="60">
        <f t="shared" ca="1" si="2"/>
        <v>1</v>
      </c>
      <c r="F17" s="60">
        <f t="shared" ca="1" si="3"/>
        <v>11</v>
      </c>
      <c r="G17" s="60">
        <f t="shared" ca="1" si="4"/>
        <v>9</v>
      </c>
      <c r="H17" s="60" t="s">
        <v>88</v>
      </c>
      <c r="I17" s="54" t="s">
        <v>87</v>
      </c>
      <c r="J17" s="118" t="s">
        <v>95</v>
      </c>
    </row>
    <row r="18" spans="1:10">
      <c r="A18" s="41" t="s">
        <v>87</v>
      </c>
      <c r="B18" s="60">
        <v>20</v>
      </c>
      <c r="C18" s="60">
        <f t="shared" ca="1" si="0"/>
        <v>63</v>
      </c>
      <c r="D18" s="60">
        <f t="shared" ca="1" si="1"/>
        <v>44</v>
      </c>
      <c r="E18" s="60">
        <f t="shared" ca="1" si="2"/>
        <v>1</v>
      </c>
      <c r="F18" s="60">
        <f t="shared" ca="1" si="3"/>
        <v>31</v>
      </c>
      <c r="G18" s="60">
        <f t="shared" ca="1" si="4"/>
        <v>12</v>
      </c>
      <c r="H18" s="60" t="s">
        <v>88</v>
      </c>
      <c r="I18" s="62" t="str">
        <f ca="1">CONCATENATE(INDIRECT("template!I18"))</f>
        <v>reserved</v>
      </c>
      <c r="J18" s="149">
        <v>0</v>
      </c>
    </row>
    <row r="19" spans="1:10" ht="31.2">
      <c r="A19" s="41" t="s">
        <v>97</v>
      </c>
      <c r="B19" s="60">
        <v>21</v>
      </c>
      <c r="C19" s="60">
        <f t="shared" ca="1" si="0"/>
        <v>84</v>
      </c>
      <c r="D19" s="60">
        <f t="shared" ca="1" si="1"/>
        <v>64</v>
      </c>
      <c r="E19" s="60">
        <f t="shared" ca="1" si="2"/>
        <v>2</v>
      </c>
      <c r="F19" s="60">
        <f t="shared" ca="1" si="3"/>
        <v>20</v>
      </c>
      <c r="G19" s="60">
        <f t="shared" ca="1" si="4"/>
        <v>0</v>
      </c>
      <c r="H19" s="60" t="s">
        <v>73</v>
      </c>
      <c r="I19" s="62" t="s">
        <v>1334</v>
      </c>
      <c r="J19" s="118" t="s">
        <v>95</v>
      </c>
    </row>
    <row r="20" spans="1:10">
      <c r="A20" s="41" t="s">
        <v>87</v>
      </c>
      <c r="B20" s="60">
        <v>2</v>
      </c>
      <c r="C20" s="60">
        <v>86</v>
      </c>
      <c r="D20" s="60">
        <v>85</v>
      </c>
      <c r="E20" s="60">
        <f t="shared" si="2"/>
        <v>2</v>
      </c>
      <c r="F20" s="60">
        <v>22</v>
      </c>
      <c r="G20" s="60">
        <f t="shared" si="4"/>
        <v>21</v>
      </c>
      <c r="H20" s="60" t="s">
        <v>988</v>
      </c>
      <c r="I20" s="62" t="s">
        <v>87</v>
      </c>
      <c r="J20" s="118" t="s">
        <v>95</v>
      </c>
    </row>
    <row r="21" spans="1:10">
      <c r="A21" s="41" t="s">
        <v>979</v>
      </c>
      <c r="B21" s="60">
        <v>1</v>
      </c>
      <c r="C21" s="60">
        <v>87</v>
      </c>
      <c r="D21" s="60">
        <v>87</v>
      </c>
      <c r="E21" s="60">
        <v>2</v>
      </c>
      <c r="F21" s="60">
        <v>23</v>
      </c>
      <c r="G21" s="60">
        <v>23</v>
      </c>
      <c r="H21" s="60" t="s">
        <v>989</v>
      </c>
      <c r="I21" s="62" t="s">
        <v>990</v>
      </c>
      <c r="J21" s="118" t="s">
        <v>95</v>
      </c>
    </row>
    <row r="22" spans="1:10">
      <c r="A22" s="41" t="s">
        <v>87</v>
      </c>
      <c r="B22" s="60">
        <v>8</v>
      </c>
      <c r="C22" s="60">
        <f t="shared" ref="C22" ca="1" si="5">D22+B22-1</f>
        <v>95</v>
      </c>
      <c r="D22" s="60">
        <f t="shared" ref="D22" ca="1" si="6">INDIRECT(ADDRESS(ROW()-1,COLUMN()-1))+1</f>
        <v>88</v>
      </c>
      <c r="E22" s="60">
        <f t="shared" ca="1" si="2"/>
        <v>2</v>
      </c>
      <c r="F22" s="60">
        <v>31</v>
      </c>
      <c r="G22" s="60">
        <f t="shared" ca="1" si="4"/>
        <v>24</v>
      </c>
      <c r="H22" s="60" t="s">
        <v>88</v>
      </c>
      <c r="I22" s="62" t="s">
        <v>87</v>
      </c>
      <c r="J22" s="118" t="s">
        <v>95</v>
      </c>
    </row>
    <row r="23" spans="1:10">
      <c r="A23" s="41" t="s">
        <v>98</v>
      </c>
      <c r="B23" s="60">
        <v>32</v>
      </c>
      <c r="C23" s="60">
        <f t="shared" ca="1" si="0"/>
        <v>127</v>
      </c>
      <c r="D23" s="60">
        <f t="shared" ca="1" si="1"/>
        <v>96</v>
      </c>
      <c r="E23" s="60">
        <f t="shared" ca="1" si="2"/>
        <v>3</v>
      </c>
      <c r="F23" s="60">
        <f t="shared" ca="1" si="3"/>
        <v>31</v>
      </c>
      <c r="G23" s="60">
        <f t="shared" ca="1" si="4"/>
        <v>0</v>
      </c>
      <c r="H23" s="60" t="s">
        <v>73</v>
      </c>
      <c r="I23" s="62" t="str">
        <f ca="1">CONCATENATE(INDIRECT("template!I24"))</f>
        <v>when cmd_special_function==fill constant, this field means constant value</v>
      </c>
      <c r="J23" s="149">
        <v>0</v>
      </c>
    </row>
    <row r="24" spans="1:10">
      <c r="A24" s="41" t="s">
        <v>100</v>
      </c>
      <c r="B24" s="60">
        <v>32</v>
      </c>
      <c r="C24" s="60">
        <f t="shared" ca="1" si="0"/>
        <v>159</v>
      </c>
      <c r="D24" s="60">
        <f t="shared" ca="1" si="1"/>
        <v>128</v>
      </c>
      <c r="E24" s="60">
        <f t="shared" ca="1" si="2"/>
        <v>4</v>
      </c>
      <c r="F24" s="60">
        <f t="shared" ca="1" si="3"/>
        <v>31</v>
      </c>
      <c r="G24" s="60">
        <f t="shared" ca="1" si="4"/>
        <v>0</v>
      </c>
      <c r="H24" s="60" t="s">
        <v>73</v>
      </c>
      <c r="I24" s="62" t="str">
        <f ca="1">CONCATENATE(INDIRECT("template!I25"))</f>
        <v>unsigned number; Source blob N stride</v>
      </c>
      <c r="J24" s="150" t="s">
        <v>95</v>
      </c>
    </row>
    <row r="25" spans="1:10">
      <c r="A25" s="41" t="s">
        <v>102</v>
      </c>
      <c r="B25" s="60">
        <v>32</v>
      </c>
      <c r="C25" s="60">
        <f t="shared" ca="1" si="0"/>
        <v>191</v>
      </c>
      <c r="D25" s="60">
        <f t="shared" ca="1" si="1"/>
        <v>160</v>
      </c>
      <c r="E25" s="60">
        <f t="shared" ca="1" si="2"/>
        <v>5</v>
      </c>
      <c r="F25" s="60">
        <f t="shared" ca="1" si="3"/>
        <v>31</v>
      </c>
      <c r="G25" s="60">
        <f t="shared" ca="1" si="4"/>
        <v>0</v>
      </c>
      <c r="H25" s="60" t="s">
        <v>73</v>
      </c>
      <c r="I25" s="62" t="str">
        <f ca="1">CONCATENATE(INDIRECT("template!I26"))</f>
        <v>unsigned number. Source blob C stride</v>
      </c>
      <c r="J25" s="150" t="s">
        <v>95</v>
      </c>
    </row>
    <row r="26" spans="1:10">
      <c r="A26" s="41" t="s">
        <v>104</v>
      </c>
      <c r="B26" s="60">
        <v>32</v>
      </c>
      <c r="C26" s="60">
        <f t="shared" ca="1" si="0"/>
        <v>223</v>
      </c>
      <c r="D26" s="60">
        <f t="shared" ca="1" si="1"/>
        <v>192</v>
      </c>
      <c r="E26" s="60">
        <f t="shared" ca="1" si="2"/>
        <v>6</v>
      </c>
      <c r="F26" s="60">
        <f t="shared" ca="1" si="3"/>
        <v>31</v>
      </c>
      <c r="G26" s="60">
        <f t="shared" ca="1" si="4"/>
        <v>0</v>
      </c>
      <c r="H26" s="60" t="s">
        <v>73</v>
      </c>
      <c r="I26" s="62" t="str">
        <f ca="1">CONCATENATE(INDIRECT("template!I27"))</f>
        <v>unsigned number; Source blob H stride</v>
      </c>
      <c r="J26" s="150" t="s">
        <v>95</v>
      </c>
    </row>
    <row r="27" spans="1:10">
      <c r="A27" s="41" t="s">
        <v>108</v>
      </c>
      <c r="B27" s="60">
        <v>32</v>
      </c>
      <c r="C27" s="60">
        <f t="shared" ca="1" si="0"/>
        <v>255</v>
      </c>
      <c r="D27" s="60">
        <f t="shared" ca="1" si="1"/>
        <v>224</v>
      </c>
      <c r="E27" s="60">
        <f t="shared" ca="1" si="2"/>
        <v>7</v>
      </c>
      <c r="F27" s="60">
        <f t="shared" ca="1" si="3"/>
        <v>31</v>
      </c>
      <c r="G27" s="60">
        <f t="shared" ca="1" si="4"/>
        <v>0</v>
      </c>
      <c r="H27" s="60" t="s">
        <v>73</v>
      </c>
      <c r="I27" s="62" t="s">
        <v>721</v>
      </c>
      <c r="J27" s="118" t="s">
        <v>95</v>
      </c>
    </row>
    <row r="28" spans="1:10">
      <c r="A28" s="41" t="s">
        <v>110</v>
      </c>
      <c r="B28" s="60">
        <v>32</v>
      </c>
      <c r="C28" s="60">
        <f t="shared" ca="1" si="0"/>
        <v>287</v>
      </c>
      <c r="D28" s="60">
        <f t="shared" ca="1" si="1"/>
        <v>256</v>
      </c>
      <c r="E28" s="60">
        <f t="shared" ca="1" si="2"/>
        <v>8</v>
      </c>
      <c r="F28" s="60">
        <f t="shared" ca="1" si="3"/>
        <v>31</v>
      </c>
      <c r="G28" s="60">
        <f t="shared" ca="1" si="4"/>
        <v>0</v>
      </c>
      <c r="H28" s="60" t="s">
        <v>73</v>
      </c>
      <c r="I28" s="62" t="s">
        <v>722</v>
      </c>
      <c r="J28" s="118" t="s">
        <v>95</v>
      </c>
    </row>
    <row r="29" spans="1:10">
      <c r="A29" s="41" t="s">
        <v>112</v>
      </c>
      <c r="B29" s="60">
        <v>32</v>
      </c>
      <c r="C29" s="60">
        <f t="shared" ca="1" si="0"/>
        <v>319</v>
      </c>
      <c r="D29" s="60">
        <f t="shared" ca="1" si="1"/>
        <v>288</v>
      </c>
      <c r="E29" s="60">
        <f t="shared" ca="1" si="2"/>
        <v>9</v>
      </c>
      <c r="F29" s="60">
        <f t="shared" ca="1" si="3"/>
        <v>31</v>
      </c>
      <c r="G29" s="60">
        <f t="shared" ca="1" si="4"/>
        <v>0</v>
      </c>
      <c r="H29" s="60" t="s">
        <v>73</v>
      </c>
      <c r="I29" s="62" t="s">
        <v>723</v>
      </c>
      <c r="J29" s="118" t="s">
        <v>95</v>
      </c>
    </row>
    <row r="30" spans="1:10">
      <c r="A30" s="41" t="s">
        <v>87</v>
      </c>
      <c r="B30" s="60">
        <v>32</v>
      </c>
      <c r="C30" s="60">
        <f t="shared" ca="1" si="0"/>
        <v>351</v>
      </c>
      <c r="D30" s="60">
        <f t="shared" ca="1" si="1"/>
        <v>320</v>
      </c>
      <c r="E30" s="60">
        <f t="shared" ca="1" si="2"/>
        <v>10</v>
      </c>
      <c r="F30" s="60">
        <f t="shared" ca="1" si="3"/>
        <v>31</v>
      </c>
      <c r="G30" s="60">
        <f t="shared" ca="1" si="4"/>
        <v>0</v>
      </c>
      <c r="H30" s="60" t="s">
        <v>73</v>
      </c>
      <c r="I30" s="62" t="s">
        <v>1257</v>
      </c>
      <c r="J30" s="150" t="s">
        <v>95</v>
      </c>
    </row>
    <row r="31" spans="1:10">
      <c r="A31" s="41" t="s">
        <v>87</v>
      </c>
      <c r="B31" s="60">
        <v>32</v>
      </c>
      <c r="C31" s="60">
        <f t="shared" ca="1" si="0"/>
        <v>383</v>
      </c>
      <c r="D31" s="60">
        <f t="shared" ca="1" si="1"/>
        <v>352</v>
      </c>
      <c r="E31" s="60">
        <f t="shared" ca="1" si="2"/>
        <v>11</v>
      </c>
      <c r="F31" s="60">
        <f t="shared" ca="1" si="3"/>
        <v>31</v>
      </c>
      <c r="G31" s="60">
        <f t="shared" ca="1" si="4"/>
        <v>0</v>
      </c>
      <c r="H31" s="60" t="s">
        <v>73</v>
      </c>
      <c r="I31" s="62" t="s">
        <v>1257</v>
      </c>
      <c r="J31" s="150" t="s">
        <v>95</v>
      </c>
    </row>
    <row r="32" spans="1:10">
      <c r="A32" s="41" t="s">
        <v>116</v>
      </c>
      <c r="B32" s="60">
        <v>16</v>
      </c>
      <c r="C32" s="60">
        <f t="shared" ca="1" si="0"/>
        <v>399</v>
      </c>
      <c r="D32" s="60">
        <f t="shared" ca="1" si="1"/>
        <v>384</v>
      </c>
      <c r="E32" s="60">
        <f t="shared" ca="1" si="2"/>
        <v>12</v>
      </c>
      <c r="F32" s="60">
        <f t="shared" ca="1" si="3"/>
        <v>15</v>
      </c>
      <c r="G32" s="60">
        <f t="shared" ca="1" si="4"/>
        <v>0</v>
      </c>
      <c r="H32" s="60" t="s">
        <v>73</v>
      </c>
      <c r="I32" s="62" t="str">
        <f ca="1">INDIRECT("template!I33")</f>
        <v>Source Blob Number</v>
      </c>
      <c r="J32" s="150" t="s">
        <v>95</v>
      </c>
    </row>
    <row r="33" spans="1:10">
      <c r="A33" s="41" t="s">
        <v>118</v>
      </c>
      <c r="B33" s="60">
        <v>16</v>
      </c>
      <c r="C33" s="60">
        <f t="shared" ca="1" si="0"/>
        <v>415</v>
      </c>
      <c r="D33" s="60">
        <f t="shared" ca="1" si="1"/>
        <v>400</v>
      </c>
      <c r="E33" s="60">
        <f t="shared" ca="1" si="2"/>
        <v>12</v>
      </c>
      <c r="F33" s="60">
        <f t="shared" ca="1" si="3"/>
        <v>31</v>
      </c>
      <c r="G33" s="60">
        <f t="shared" ca="1" si="4"/>
        <v>16</v>
      </c>
      <c r="H33" s="60" t="s">
        <v>73</v>
      </c>
      <c r="I33" s="62" t="str">
        <f ca="1">INDIRECT("template!I34")</f>
        <v>Source blob C</v>
      </c>
      <c r="J33" s="150" t="s">
        <v>95</v>
      </c>
    </row>
    <row r="34" spans="1:10">
      <c r="A34" s="41" t="s">
        <v>120</v>
      </c>
      <c r="B34" s="60">
        <v>16</v>
      </c>
      <c r="C34" s="60">
        <f t="shared" ca="1" si="0"/>
        <v>431</v>
      </c>
      <c r="D34" s="60">
        <f t="shared" ca="1" si="1"/>
        <v>416</v>
      </c>
      <c r="E34" s="60">
        <f t="shared" ca="1" si="2"/>
        <v>13</v>
      </c>
      <c r="F34" s="60">
        <f t="shared" ca="1" si="3"/>
        <v>15</v>
      </c>
      <c r="G34" s="60">
        <f t="shared" ca="1" si="4"/>
        <v>0</v>
      </c>
      <c r="H34" s="60" t="s">
        <v>73</v>
      </c>
      <c r="I34" s="62" t="str">
        <f ca="1">INDIRECT("template!I35")</f>
        <v xml:space="preserve">Source blob H </v>
      </c>
      <c r="J34" s="150" t="s">
        <v>95</v>
      </c>
    </row>
    <row r="35" spans="1:10">
      <c r="A35" s="41" t="s">
        <v>122</v>
      </c>
      <c r="B35" s="60">
        <v>16</v>
      </c>
      <c r="C35" s="60">
        <f t="shared" ca="1" si="0"/>
        <v>447</v>
      </c>
      <c r="D35" s="60">
        <f t="shared" ca="1" si="1"/>
        <v>432</v>
      </c>
      <c r="E35" s="60">
        <f t="shared" ca="1" si="2"/>
        <v>13</v>
      </c>
      <c r="F35" s="60">
        <f t="shared" ca="1" si="3"/>
        <v>31</v>
      </c>
      <c r="G35" s="60">
        <f t="shared" ca="1" si="4"/>
        <v>16</v>
      </c>
      <c r="H35" s="60" t="s">
        <v>73</v>
      </c>
      <c r="I35" s="62" t="str">
        <f ca="1">INDIRECT("template!I36")</f>
        <v xml:space="preserve">Source blob W </v>
      </c>
      <c r="J35" s="150" t="s">
        <v>95</v>
      </c>
    </row>
    <row r="36" spans="1:10">
      <c r="A36" s="44" t="s">
        <v>116</v>
      </c>
      <c r="B36" s="125">
        <v>16</v>
      </c>
      <c r="C36" s="125">
        <f t="shared" ref="C36:C39" ca="1" si="7">D36+B36-1</f>
        <v>463</v>
      </c>
      <c r="D36" s="125">
        <f t="shared" ca="1" si="1"/>
        <v>448</v>
      </c>
      <c r="E36" s="125">
        <f t="shared" ref="E36:E39" ca="1" si="8">ROUNDDOWN(C36/32,0)</f>
        <v>14</v>
      </c>
      <c r="F36" s="125">
        <f t="shared" ref="F36:F38" ca="1" si="9">C36-E36*32</f>
        <v>15</v>
      </c>
      <c r="G36" s="125">
        <f t="shared" ref="G36:G39" ca="1" si="10">D36-E36*32</f>
        <v>0</v>
      </c>
      <c r="H36" s="125" t="s">
        <v>73</v>
      </c>
      <c r="I36" s="126" t="str">
        <f ca="1">INDIRECT("template!I33")</f>
        <v>Source Blob Number</v>
      </c>
      <c r="J36" s="150" t="s">
        <v>95</v>
      </c>
    </row>
    <row r="37" spans="1:10">
      <c r="A37" s="44" t="s">
        <v>118</v>
      </c>
      <c r="B37" s="125">
        <v>16</v>
      </c>
      <c r="C37" s="125">
        <f t="shared" ca="1" si="7"/>
        <v>479</v>
      </c>
      <c r="D37" s="125">
        <f t="shared" ca="1" si="1"/>
        <v>464</v>
      </c>
      <c r="E37" s="125">
        <f t="shared" ca="1" si="8"/>
        <v>14</v>
      </c>
      <c r="F37" s="125">
        <f t="shared" ca="1" si="9"/>
        <v>31</v>
      </c>
      <c r="G37" s="125">
        <f t="shared" ca="1" si="10"/>
        <v>16</v>
      </c>
      <c r="H37" s="125" t="s">
        <v>73</v>
      </c>
      <c r="I37" s="126" t="str">
        <f ca="1">INDIRECT("template!I34")</f>
        <v>Source blob C</v>
      </c>
      <c r="J37" s="150" t="s">
        <v>95</v>
      </c>
    </row>
    <row r="38" spans="1:10">
      <c r="A38" s="44" t="s">
        <v>120</v>
      </c>
      <c r="B38" s="125">
        <v>16</v>
      </c>
      <c r="C38" s="125">
        <f t="shared" ca="1" si="7"/>
        <v>495</v>
      </c>
      <c r="D38" s="125">
        <f t="shared" ca="1" si="1"/>
        <v>480</v>
      </c>
      <c r="E38" s="125">
        <f t="shared" ca="1" si="8"/>
        <v>15</v>
      </c>
      <c r="F38" s="125">
        <f t="shared" ca="1" si="9"/>
        <v>15</v>
      </c>
      <c r="G38" s="125">
        <f t="shared" ca="1" si="10"/>
        <v>0</v>
      </c>
      <c r="H38" s="125" t="s">
        <v>73</v>
      </c>
      <c r="I38" s="126" t="str">
        <f ca="1">INDIRECT("template!I35")</f>
        <v xml:space="preserve">Source blob H </v>
      </c>
      <c r="J38" s="150" t="s">
        <v>95</v>
      </c>
    </row>
    <row r="39" spans="1:10">
      <c r="A39" s="44" t="s">
        <v>122</v>
      </c>
      <c r="B39" s="125">
        <v>16</v>
      </c>
      <c r="C39" s="125">
        <f t="shared" ca="1" si="7"/>
        <v>511</v>
      </c>
      <c r="D39" s="125">
        <f t="shared" ca="1" si="1"/>
        <v>496</v>
      </c>
      <c r="E39" s="125">
        <f t="shared" ca="1" si="8"/>
        <v>15</v>
      </c>
      <c r="F39" s="125">
        <f t="shared" ref="F39" ca="1" si="11">C39-E39*32</f>
        <v>31</v>
      </c>
      <c r="G39" s="125">
        <f t="shared" ca="1" si="10"/>
        <v>16</v>
      </c>
      <c r="H39" s="125" t="s">
        <v>73</v>
      </c>
      <c r="I39" s="126" t="str">
        <f ca="1">INDIRECT("template!I36")</f>
        <v xml:space="preserve">Source blob W </v>
      </c>
      <c r="J39" s="150" t="s">
        <v>95</v>
      </c>
    </row>
    <row r="40" spans="1:10">
      <c r="A40" s="41" t="s">
        <v>132</v>
      </c>
      <c r="B40" s="60">
        <v>32</v>
      </c>
      <c r="C40" s="60">
        <f t="shared" ca="1" si="0"/>
        <v>543</v>
      </c>
      <c r="D40" s="60">
        <f t="shared" ca="1" si="1"/>
        <v>512</v>
      </c>
      <c r="E40" s="60">
        <f t="shared" ca="1" si="2"/>
        <v>16</v>
      </c>
      <c r="F40" s="60">
        <f t="shared" ca="1" si="3"/>
        <v>31</v>
      </c>
      <c r="G40" s="60">
        <f t="shared" ca="1" si="4"/>
        <v>0</v>
      </c>
      <c r="H40" s="60" t="s">
        <v>73</v>
      </c>
      <c r="I40" s="62" t="str">
        <f ca="1">INDIRECT("template!I41")</f>
        <v>source blob start address[31:0]</v>
      </c>
      <c r="J40" s="150" t="s">
        <v>95</v>
      </c>
    </row>
    <row r="41" spans="1:10" ht="280.8">
      <c r="A41" s="41" t="s">
        <v>134</v>
      </c>
      <c r="B41" s="60">
        <v>13</v>
      </c>
      <c r="C41" s="60">
        <f t="shared" ca="1" si="0"/>
        <v>556</v>
      </c>
      <c r="D41" s="60">
        <f t="shared" ca="1" si="1"/>
        <v>544</v>
      </c>
      <c r="E41" s="60">
        <f t="shared" ca="1" si="2"/>
        <v>17</v>
      </c>
      <c r="F41" s="60">
        <f t="shared" ca="1" si="3"/>
        <v>12</v>
      </c>
      <c r="G41" s="60">
        <f t="shared" ca="1" si="4"/>
        <v>0</v>
      </c>
      <c r="H41" s="60" t="s">
        <v>73</v>
      </c>
      <c r="I41" s="62"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src is tiu, otherwise, src is from DTN</v>
      </c>
      <c r="J41" s="150" t="s">
        <v>95</v>
      </c>
    </row>
    <row r="42" spans="1:10">
      <c r="A42" s="41" t="s">
        <v>87</v>
      </c>
      <c r="B42" s="60">
        <v>19</v>
      </c>
      <c r="C42" s="60">
        <f t="shared" ca="1" si="0"/>
        <v>575</v>
      </c>
      <c r="D42" s="60">
        <f t="shared" ca="1" si="1"/>
        <v>557</v>
      </c>
      <c r="E42" s="60">
        <f t="shared" ca="1" si="2"/>
        <v>17</v>
      </c>
      <c r="F42" s="60">
        <f t="shared" ca="1" si="3"/>
        <v>31</v>
      </c>
      <c r="G42" s="60">
        <f t="shared" ca="1" si="4"/>
        <v>13</v>
      </c>
      <c r="H42" s="60" t="s">
        <v>88</v>
      </c>
      <c r="I42" s="62" t="s">
        <v>1257</v>
      </c>
      <c r="J42" s="149">
        <v>0</v>
      </c>
    </row>
    <row r="43" spans="1:10">
      <c r="A43" s="41" t="s">
        <v>135</v>
      </c>
      <c r="B43" s="60">
        <v>32</v>
      </c>
      <c r="C43" s="60">
        <f t="shared" ca="1" si="0"/>
        <v>607</v>
      </c>
      <c r="D43" s="60">
        <f t="shared" ca="1" si="1"/>
        <v>576</v>
      </c>
      <c r="E43" s="60">
        <f t="shared" ca="1" si="2"/>
        <v>18</v>
      </c>
      <c r="F43" s="60">
        <f t="shared" ca="1" si="3"/>
        <v>31</v>
      </c>
      <c r="G43" s="60">
        <f t="shared" ca="1" si="4"/>
        <v>0</v>
      </c>
      <c r="H43" s="60" t="s">
        <v>73</v>
      </c>
      <c r="I43" s="129" t="s">
        <v>136</v>
      </c>
      <c r="J43" s="118" t="s">
        <v>95</v>
      </c>
    </row>
    <row r="44" spans="1:10" ht="280.8">
      <c r="A44" s="41" t="s">
        <v>137</v>
      </c>
      <c r="B44" s="60">
        <v>13</v>
      </c>
      <c r="C44" s="60">
        <f t="shared" ca="1" si="0"/>
        <v>620</v>
      </c>
      <c r="D44" s="60">
        <f t="shared" ca="1" si="1"/>
        <v>608</v>
      </c>
      <c r="E44" s="60">
        <f t="shared" ca="1" si="2"/>
        <v>19</v>
      </c>
      <c r="F44" s="60">
        <f t="shared" ca="1" si="3"/>
        <v>12</v>
      </c>
      <c r="G44" s="60">
        <f t="shared" ca="1" si="4"/>
        <v>0</v>
      </c>
      <c r="H44" s="60" t="s">
        <v>73</v>
      </c>
      <c r="I44" s="62" t="str">
        <f ca="1">CONCATENATE(INDIRECT("template!I45"))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dst is tiu, otherwise, dst is DTN</v>
      </c>
      <c r="J44" s="118" t="s">
        <v>95</v>
      </c>
    </row>
    <row r="45" spans="1:10" s="35" customFormat="1">
      <c r="A45" s="41" t="s">
        <v>87</v>
      </c>
      <c r="B45" s="60">
        <v>19</v>
      </c>
      <c r="C45" s="60">
        <f t="shared" ca="1" si="0"/>
        <v>639</v>
      </c>
      <c r="D45" s="60">
        <f t="shared" ca="1" si="1"/>
        <v>621</v>
      </c>
      <c r="E45" s="60">
        <f t="shared" ca="1" si="2"/>
        <v>19</v>
      </c>
      <c r="F45" s="60">
        <f t="shared" ca="1" si="3"/>
        <v>31</v>
      </c>
      <c r="G45" s="60">
        <f t="shared" ca="1" si="4"/>
        <v>13</v>
      </c>
      <c r="H45" s="60" t="s">
        <v>88</v>
      </c>
      <c r="I45" s="62" t="s">
        <v>1257</v>
      </c>
      <c r="J45" s="149">
        <v>0</v>
      </c>
    </row>
    <row r="46" spans="1:10" s="35" customFormat="1" ht="93.6">
      <c r="A46" s="41" t="s">
        <v>138</v>
      </c>
      <c r="B46" s="60">
        <v>16</v>
      </c>
      <c r="C46" s="60">
        <f t="shared" ca="1" si="0"/>
        <v>655</v>
      </c>
      <c r="D46" s="60">
        <f t="shared" ca="1" si="1"/>
        <v>640</v>
      </c>
      <c r="E46" s="60">
        <f t="shared" ca="1" si="2"/>
        <v>20</v>
      </c>
      <c r="F46" s="60">
        <f t="shared" ca="1" si="3"/>
        <v>15</v>
      </c>
      <c r="G46" s="60">
        <f t="shared" ca="1" si="4"/>
        <v>0</v>
      </c>
      <c r="H46" s="60" t="s">
        <v>73</v>
      </c>
      <c r="I46" s="156" t="s">
        <v>1335</v>
      </c>
      <c r="J46" s="118" t="s">
        <v>95</v>
      </c>
    </row>
    <row r="47" spans="1:10">
      <c r="A47" s="41" t="s">
        <v>87</v>
      </c>
      <c r="B47" s="60">
        <v>16</v>
      </c>
      <c r="C47" s="60">
        <f t="shared" ca="1" si="0"/>
        <v>671</v>
      </c>
      <c r="D47" s="60">
        <f t="shared" ca="1" si="1"/>
        <v>656</v>
      </c>
      <c r="E47" s="60">
        <f t="shared" ca="1" si="2"/>
        <v>20</v>
      </c>
      <c r="F47" s="60">
        <f t="shared" ca="1" si="3"/>
        <v>31</v>
      </c>
      <c r="G47" s="60">
        <f t="shared" ca="1" si="4"/>
        <v>16</v>
      </c>
      <c r="H47" s="60" t="s">
        <v>88</v>
      </c>
      <c r="I47" s="62" t="s">
        <v>1361</v>
      </c>
      <c r="J47" s="149">
        <v>0</v>
      </c>
    </row>
    <row r="48" spans="1:10">
      <c r="A48" s="41" t="s">
        <v>87</v>
      </c>
      <c r="B48" s="60">
        <v>32</v>
      </c>
      <c r="C48" s="60">
        <f t="shared" ca="1" si="0"/>
        <v>703</v>
      </c>
      <c r="D48" s="60">
        <f t="shared" ca="1" si="1"/>
        <v>672</v>
      </c>
      <c r="E48" s="60">
        <f t="shared" ca="1" si="2"/>
        <v>21</v>
      </c>
      <c r="F48" s="60">
        <f t="shared" ca="1" si="3"/>
        <v>31</v>
      </c>
      <c r="G48" s="60">
        <f t="shared" ca="1" si="4"/>
        <v>0</v>
      </c>
      <c r="H48" s="60" t="s">
        <v>88</v>
      </c>
      <c r="I48" s="62" t="str">
        <f ca="1">INDIRECT("template!I49")</f>
        <v>reserved</v>
      </c>
      <c r="J48" s="149">
        <v>0</v>
      </c>
    </row>
    <row r="49" spans="1:10">
      <c r="A49" s="41" t="s">
        <v>87</v>
      </c>
      <c r="B49" s="60">
        <v>32</v>
      </c>
      <c r="C49" s="60">
        <f t="shared" ca="1" si="0"/>
        <v>735</v>
      </c>
      <c r="D49" s="60">
        <f t="shared" ca="1" si="1"/>
        <v>704</v>
      </c>
      <c r="E49" s="60">
        <f t="shared" ca="1" si="2"/>
        <v>22</v>
      </c>
      <c r="F49" s="60">
        <f t="shared" ca="1" si="3"/>
        <v>31</v>
      </c>
      <c r="G49" s="60">
        <f t="shared" ca="1" si="4"/>
        <v>0</v>
      </c>
      <c r="H49" s="60" t="s">
        <v>88</v>
      </c>
      <c r="I49" s="54" t="s">
        <v>87</v>
      </c>
      <c r="J49" s="149" t="s">
        <v>1362</v>
      </c>
    </row>
    <row r="50" spans="1:10">
      <c r="A50" s="41" t="s">
        <v>87</v>
      </c>
      <c r="B50" s="60">
        <v>32</v>
      </c>
      <c r="C50" s="60">
        <f t="shared" ca="1" si="0"/>
        <v>767</v>
      </c>
      <c r="D50" s="60">
        <f t="shared" ca="1" si="1"/>
        <v>736</v>
      </c>
      <c r="E50" s="60">
        <f t="shared" ca="1" si="2"/>
        <v>23</v>
      </c>
      <c r="F50" s="60">
        <f t="shared" ca="1" si="3"/>
        <v>31</v>
      </c>
      <c r="G50" s="60">
        <f t="shared" ca="1" si="4"/>
        <v>0</v>
      </c>
      <c r="H50" s="60" t="s">
        <v>88</v>
      </c>
      <c r="I50" s="54" t="s">
        <v>87</v>
      </c>
      <c r="J50" s="149" t="s">
        <v>1362</v>
      </c>
    </row>
    <row r="51" spans="1:10">
      <c r="A51" s="159" t="s">
        <v>571</v>
      </c>
      <c r="B51" s="152"/>
      <c r="C51" s="152"/>
      <c r="D51" s="152"/>
      <c r="E51" s="152"/>
      <c r="F51" s="152"/>
      <c r="G51" s="152"/>
      <c r="H51" s="153"/>
      <c r="I51" s="154"/>
      <c r="J51" s="153"/>
    </row>
    <row r="52" spans="1:10">
      <c r="A52" s="159" t="s">
        <v>144</v>
      </c>
      <c r="B52" s="152"/>
      <c r="C52" s="152"/>
      <c r="D52" s="152"/>
      <c r="E52" s="152"/>
      <c r="F52" s="152"/>
      <c r="G52" s="152"/>
      <c r="H52" s="153"/>
      <c r="I52" s="154"/>
      <c r="J52" s="153"/>
    </row>
    <row r="53" spans="1:10">
      <c r="A53" s="159" t="s">
        <v>145</v>
      </c>
      <c r="B53" s="152"/>
      <c r="C53" s="152"/>
      <c r="D53" s="152"/>
      <c r="E53" s="152"/>
      <c r="F53" s="152"/>
      <c r="G53" s="152"/>
      <c r="H53" s="153"/>
      <c r="I53" s="154"/>
      <c r="J53" s="153"/>
    </row>
    <row r="54" spans="1:10">
      <c r="A54" s="159" t="s">
        <v>146</v>
      </c>
      <c r="B54" s="152"/>
      <c r="C54" s="152"/>
      <c r="D54" s="152"/>
      <c r="E54" s="152"/>
      <c r="F54" s="152"/>
      <c r="G54" s="152"/>
      <c r="H54" s="153"/>
      <c r="I54" s="154"/>
      <c r="J54" s="153"/>
    </row>
    <row r="55" spans="1:10">
      <c r="A55" s="159" t="s">
        <v>147</v>
      </c>
      <c r="B55" s="152"/>
      <c r="C55" s="152"/>
      <c r="D55" s="152"/>
      <c r="E55" s="152"/>
      <c r="F55" s="152"/>
      <c r="G55" s="152"/>
      <c r="H55" s="153"/>
      <c r="I55" s="154"/>
      <c r="J55" s="153"/>
    </row>
  </sheetData>
  <phoneticPr fontId="32" type="noConversion"/>
  <pageMargins left="0.25" right="0.25" top="0.75" bottom="0.75" header="0.3" footer="0.3"/>
  <pageSetup paperSize="9" scale="50"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5"/>
  <sheetViews>
    <sheetView zoomScaleNormal="100" workbookViewId="0">
      <pane ySplit="1" topLeftCell="A17" activePane="bottomLeft" state="frozen"/>
      <selection pane="bottomLeft" activeCell="I34" sqref="I34"/>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68.88671875" style="37" customWidth="1"/>
    <col min="10" max="10" width="38.88671875" style="36" customWidth="1"/>
    <col min="11" max="11" width="47" style="36" customWidth="1"/>
    <col min="12" max="16384" width="15.44140625" style="36"/>
  </cols>
  <sheetData>
    <row r="1" spans="1:10">
      <c r="A1" s="38" t="s">
        <v>66</v>
      </c>
      <c r="B1" s="39" t="s">
        <v>67</v>
      </c>
      <c r="C1" s="39" t="s">
        <v>68</v>
      </c>
      <c r="D1" s="39" t="s">
        <v>69</v>
      </c>
      <c r="E1" s="39" t="s">
        <v>70</v>
      </c>
      <c r="F1" s="39" t="s">
        <v>71</v>
      </c>
      <c r="G1" s="39" t="s">
        <v>72</v>
      </c>
      <c r="H1" s="40" t="s">
        <v>73</v>
      </c>
      <c r="I1" s="45" t="s">
        <v>74</v>
      </c>
      <c r="J1" s="148" t="s">
        <v>555</v>
      </c>
    </row>
    <row r="2" spans="1:10" ht="46.8">
      <c r="A2" s="41" t="s">
        <v>75</v>
      </c>
      <c r="B2" s="60">
        <v>1</v>
      </c>
      <c r="C2" s="60">
        <f>D2+B2-1</f>
        <v>0</v>
      </c>
      <c r="D2" s="60">
        <v>0</v>
      </c>
      <c r="E2" s="60">
        <f>ROUNDDOWN(C2/32,0)</f>
        <v>0</v>
      </c>
      <c r="F2" s="60">
        <f>C2-E2*32</f>
        <v>0</v>
      </c>
      <c r="G2" s="60">
        <f>D2-E2*32</f>
        <v>0</v>
      </c>
      <c r="H2" s="60" t="s">
        <v>73</v>
      </c>
      <c r="I2" s="62" t="str">
        <f ca="1">CONCATENATE(INDIRECT("template!I2"))</f>
        <v>Interrupt Enable;if this bit is set, CPU COULD get interrupt when the instruction is finished 
0: disable interrupt
1: enable interrupt</v>
      </c>
      <c r="J2" s="118" t="s">
        <v>95</v>
      </c>
    </row>
    <row r="3" spans="1:10" ht="46.8">
      <c r="A3" s="41" t="s">
        <v>77</v>
      </c>
      <c r="B3" s="60">
        <v>1</v>
      </c>
      <c r="C3" s="60">
        <f t="shared" ref="C3:C50" ca="1" si="0">D3+B3-1</f>
        <v>1</v>
      </c>
      <c r="D3" s="60">
        <f t="shared" ref="D3:D50" ca="1" si="1">INDIRECT(ADDRESS(ROW()-1,COLUMN()-1))+1</f>
        <v>1</v>
      </c>
      <c r="E3" s="60">
        <f t="shared" ref="E3:E50" ca="1" si="2">ROUNDDOWN(C3/32,0)</f>
        <v>0</v>
      </c>
      <c r="F3" s="60">
        <f t="shared" ref="F3:F50" ca="1" si="3">C3-E3*32</f>
        <v>1</v>
      </c>
      <c r="G3" s="60">
        <f ca="1">D3-E3*32</f>
        <v>1</v>
      </c>
      <c r="H3" s="60" t="s">
        <v>73</v>
      </c>
      <c r="I3" s="62" t="str">
        <f ca="1">CONCATENATE(INDIRECT("template!I3"))</f>
        <v>Stride enable
0：No stride for all blob definition
1：Enable stride for all blob definition</v>
      </c>
      <c r="J3" s="149">
        <v>1</v>
      </c>
    </row>
    <row r="4" spans="1:10" ht="46.8">
      <c r="A4" s="41" t="s">
        <v>79</v>
      </c>
      <c r="B4" s="60">
        <v>1</v>
      </c>
      <c r="C4" s="60">
        <f t="shared" ca="1" si="0"/>
        <v>2</v>
      </c>
      <c r="D4" s="60">
        <f t="shared" ca="1" si="1"/>
        <v>2</v>
      </c>
      <c r="E4" s="60">
        <f t="shared" ca="1" si="2"/>
        <v>0</v>
      </c>
      <c r="F4" s="60">
        <f t="shared" ca="1" si="3"/>
        <v>2</v>
      </c>
      <c r="G4" s="60">
        <f t="shared" ref="G4:G50" ca="1" si="4">D4-E4*32</f>
        <v>2</v>
      </c>
      <c r="H4" s="60" t="s">
        <v>73</v>
      </c>
      <c r="I4" s="62" t="str">
        <f ca="1">CONCATENATE(INDIRECT("template!I4"))</f>
        <v>NCHW copy bit
0: use separate src and dst NCHW value setting
1: reuse src NCHW value for dst NCHW value</v>
      </c>
      <c r="J4" s="118" t="s">
        <v>95</v>
      </c>
    </row>
    <row r="5" spans="1:10" ht="31.2">
      <c r="A5" s="41" t="s">
        <v>559</v>
      </c>
      <c r="B5" s="60">
        <v>1</v>
      </c>
      <c r="C5" s="60">
        <f t="shared" ca="1" si="0"/>
        <v>3</v>
      </c>
      <c r="D5" s="60">
        <f t="shared" ca="1" si="1"/>
        <v>3</v>
      </c>
      <c r="E5" s="60">
        <f t="shared" ca="1" si="2"/>
        <v>0</v>
      </c>
      <c r="F5" s="60">
        <f t="shared" ca="1" si="3"/>
        <v>3</v>
      </c>
      <c r="G5" s="60">
        <f t="shared" ca="1" si="4"/>
        <v>3</v>
      </c>
      <c r="H5" s="60" t="s">
        <v>73</v>
      </c>
      <c r="I5" s="62" t="str">
        <f ca="1">CONCATENATE(INDIRECT("template!I5"))</f>
        <v>0:768bit full cmd;
1:128/256/384/512 short cmd</v>
      </c>
      <c r="J5" s="118" t="s">
        <v>95</v>
      </c>
    </row>
    <row r="6" spans="1:10" ht="46.8">
      <c r="A6" s="41" t="s">
        <v>83</v>
      </c>
      <c r="B6" s="60">
        <v>1</v>
      </c>
      <c r="C6" s="60">
        <f t="shared" ca="1" si="0"/>
        <v>4</v>
      </c>
      <c r="D6" s="60">
        <f t="shared" ca="1" si="1"/>
        <v>4</v>
      </c>
      <c r="E6" s="60">
        <f t="shared" ca="1" si="2"/>
        <v>0</v>
      </c>
      <c r="F6" s="60">
        <f t="shared" ca="1" si="3"/>
        <v>4</v>
      </c>
      <c r="G6" s="60">
        <f t="shared" ca="1" si="4"/>
        <v>4</v>
      </c>
      <c r="H6" s="60" t="s">
        <v>73</v>
      </c>
      <c r="I6" s="62" t="str">
        <f ca="1">CONCATENATE(INDIRECT("template!I6"))</f>
        <v>Read cache enable
0: Read not use cache
1: Read use cache</v>
      </c>
      <c r="J6" s="118" t="s">
        <v>95</v>
      </c>
    </row>
    <row r="7" spans="1:10" ht="46.8">
      <c r="A7" s="41" t="s">
        <v>85</v>
      </c>
      <c r="B7" s="60">
        <v>1</v>
      </c>
      <c r="C7" s="60">
        <f t="shared" ca="1" si="0"/>
        <v>5</v>
      </c>
      <c r="D7" s="60">
        <f t="shared" ca="1" si="1"/>
        <v>5</v>
      </c>
      <c r="E7" s="60">
        <f t="shared" ca="1" si="2"/>
        <v>0</v>
      </c>
      <c r="F7" s="60">
        <f t="shared" ca="1" si="3"/>
        <v>5</v>
      </c>
      <c r="G7" s="60">
        <f t="shared" ca="1" si="4"/>
        <v>5</v>
      </c>
      <c r="H7" s="60" t="s">
        <v>73</v>
      </c>
      <c r="I7" s="62" t="str">
        <f ca="1">CONCATENATE(INDIRECT("template!I7"))</f>
        <v>Flush cache
0: Not Flush cache
1: Flush cache</v>
      </c>
      <c r="J7" s="118" t="s">
        <v>95</v>
      </c>
    </row>
    <row r="8" spans="1:10">
      <c r="A8" s="41" t="s">
        <v>87</v>
      </c>
      <c r="B8" s="60">
        <v>2</v>
      </c>
      <c r="C8" s="60">
        <f t="shared" ca="1" si="0"/>
        <v>7</v>
      </c>
      <c r="D8" s="60">
        <f t="shared" ca="1" si="1"/>
        <v>6</v>
      </c>
      <c r="E8" s="60">
        <f t="shared" ca="1" si="2"/>
        <v>0</v>
      </c>
      <c r="F8" s="60">
        <f t="shared" ca="1" si="3"/>
        <v>7</v>
      </c>
      <c r="G8" s="60">
        <f t="shared" ca="1" si="4"/>
        <v>6</v>
      </c>
      <c r="H8" s="60" t="s">
        <v>88</v>
      </c>
      <c r="I8" s="62" t="str">
        <f ca="1">CONCATENATE(INDIRECT("template!I8"))</f>
        <v>reserved</v>
      </c>
      <c r="J8" s="149">
        <v>0</v>
      </c>
    </row>
    <row r="9" spans="1:10">
      <c r="A9" s="41" t="s">
        <v>1234</v>
      </c>
      <c r="B9" s="60">
        <v>1</v>
      </c>
      <c r="C9" s="60">
        <f t="shared" si="0"/>
        <v>8</v>
      </c>
      <c r="D9" s="60">
        <v>8</v>
      </c>
      <c r="E9" s="60">
        <v>0</v>
      </c>
      <c r="F9" s="60">
        <v>8</v>
      </c>
      <c r="G9" s="60">
        <v>8</v>
      </c>
      <c r="H9" s="60" t="s">
        <v>1235</v>
      </c>
      <c r="I9" s="62"/>
      <c r="J9" s="118" t="s">
        <v>95</v>
      </c>
    </row>
    <row r="10" spans="1:10" customFormat="1">
      <c r="A10" s="41" t="s">
        <v>1236</v>
      </c>
      <c r="B10" s="60">
        <v>1</v>
      </c>
      <c r="C10" s="60">
        <f t="shared" si="0"/>
        <v>9</v>
      </c>
      <c r="D10" s="60">
        <v>9</v>
      </c>
      <c r="E10" s="60">
        <v>0</v>
      </c>
      <c r="F10" s="60">
        <v>9</v>
      </c>
      <c r="G10" s="60">
        <v>9</v>
      </c>
      <c r="H10" s="60" t="s">
        <v>1235</v>
      </c>
      <c r="I10" s="62"/>
      <c r="J10" s="118" t="s">
        <v>95</v>
      </c>
    </row>
    <row r="11" spans="1:10">
      <c r="A11" s="41" t="s">
        <v>1237</v>
      </c>
      <c r="B11" s="60">
        <v>1</v>
      </c>
      <c r="C11" s="60">
        <f t="shared" si="0"/>
        <v>10</v>
      </c>
      <c r="D11" s="60">
        <v>10</v>
      </c>
      <c r="E11" s="60">
        <v>0</v>
      </c>
      <c r="F11" s="60">
        <v>10</v>
      </c>
      <c r="G11" s="60">
        <v>10</v>
      </c>
      <c r="H11" s="60" t="s">
        <v>1235</v>
      </c>
      <c r="I11" s="62"/>
      <c r="J11" s="118" t="s">
        <v>95</v>
      </c>
    </row>
    <row r="12" spans="1:10">
      <c r="A12" s="41" t="s">
        <v>1240</v>
      </c>
      <c r="B12" s="60">
        <v>1</v>
      </c>
      <c r="C12" s="60">
        <v>11</v>
      </c>
      <c r="D12" s="60">
        <v>11</v>
      </c>
      <c r="E12" s="60">
        <v>0</v>
      </c>
      <c r="F12" s="60">
        <v>11</v>
      </c>
      <c r="G12" s="60">
        <v>11</v>
      </c>
      <c r="H12" s="60" t="s">
        <v>1241</v>
      </c>
      <c r="I12" s="62"/>
      <c r="J12" s="118" t="s">
        <v>95</v>
      </c>
    </row>
    <row r="13" spans="1:10">
      <c r="A13" s="41" t="s">
        <v>89</v>
      </c>
      <c r="B13" s="60">
        <v>20</v>
      </c>
      <c r="C13" s="60">
        <f t="shared" ca="1" si="0"/>
        <v>31</v>
      </c>
      <c r="D13" s="60">
        <f t="shared" ca="1" si="1"/>
        <v>12</v>
      </c>
      <c r="E13" s="60">
        <f t="shared" ca="1" si="2"/>
        <v>0</v>
      </c>
      <c r="F13" s="60">
        <f t="shared" ca="1" si="3"/>
        <v>31</v>
      </c>
      <c r="G13" s="60">
        <f t="shared" ca="1" si="4"/>
        <v>12</v>
      </c>
      <c r="H13" s="60" t="s">
        <v>88</v>
      </c>
      <c r="I13" s="62" t="str">
        <f ca="1">CONCATENATE(INDIRECT("template!I9"))</f>
        <v/>
      </c>
      <c r="J13" s="149">
        <v>0</v>
      </c>
    </row>
    <row r="14" spans="1:10" ht="93.6">
      <c r="A14" s="41" t="s">
        <v>90</v>
      </c>
      <c r="B14" s="60">
        <v>5</v>
      </c>
      <c r="C14" s="60">
        <f t="shared" ca="1" si="0"/>
        <v>36</v>
      </c>
      <c r="D14" s="60">
        <f t="shared" ca="1" si="1"/>
        <v>32</v>
      </c>
      <c r="E14" s="60">
        <f t="shared" ca="1" si="2"/>
        <v>1</v>
      </c>
      <c r="F14" s="60">
        <f t="shared" ca="1" si="3"/>
        <v>4</v>
      </c>
      <c r="G14" s="60">
        <f t="shared" ca="1" si="4"/>
        <v>0</v>
      </c>
      <c r="H14" s="60" t="s">
        <v>73</v>
      </c>
      <c r="I14" s="62" t="str">
        <f ca="1">CONCATENATE(INDIRECT("template!I14"))</f>
        <v>0x0:GDMA_tensor                     0x1:GDMA_matrix
0x2:GDMA_masked_select       0x3:GDMA_general
                                                   0x5:GDMA_nonzero
0x6:GDMA_sys                           0x7:GDMA_gather
0x8:GDMA_scatter                    0x9:GDMA_reverse
0xc:GDMA_lossy_compress      0xd:GDMA_lossy_decompress</v>
      </c>
      <c r="J14" s="118" t="s">
        <v>95</v>
      </c>
    </row>
    <row r="15" spans="1:10" ht="46.8">
      <c r="A15" s="41" t="s">
        <v>91</v>
      </c>
      <c r="B15" s="60">
        <v>3</v>
      </c>
      <c r="C15" s="60">
        <f t="shared" ca="1" si="0"/>
        <v>39</v>
      </c>
      <c r="D15" s="60">
        <f t="shared" ca="1" si="1"/>
        <v>37</v>
      </c>
      <c r="E15" s="60">
        <f t="shared" ca="1" si="2"/>
        <v>1</v>
      </c>
      <c r="F15" s="60">
        <f t="shared" ca="1" si="3"/>
        <v>7</v>
      </c>
      <c r="G15" s="60">
        <f t="shared" ca="1" si="4"/>
        <v>5</v>
      </c>
      <c r="H15" s="60" t="s">
        <v>73</v>
      </c>
      <c r="I15" s="62" t="s">
        <v>720</v>
      </c>
      <c r="J15" s="118" t="s">
        <v>95</v>
      </c>
    </row>
    <row r="16" spans="1:10">
      <c r="A16" s="41" t="s">
        <v>93</v>
      </c>
      <c r="B16" s="60">
        <v>1</v>
      </c>
      <c r="C16" s="60">
        <f t="shared" ca="1" si="0"/>
        <v>40</v>
      </c>
      <c r="D16" s="60">
        <f t="shared" ca="1" si="1"/>
        <v>40</v>
      </c>
      <c r="E16" s="60">
        <f t="shared" ca="1" si="2"/>
        <v>1</v>
      </c>
      <c r="F16" s="60">
        <f t="shared" ca="1" si="3"/>
        <v>8</v>
      </c>
      <c r="G16" s="60">
        <f t="shared" ca="1" si="4"/>
        <v>8</v>
      </c>
      <c r="H16" s="60" t="s">
        <v>73</v>
      </c>
      <c r="I16" s="62" t="s">
        <v>573</v>
      </c>
      <c r="J16" s="118" t="s">
        <v>95</v>
      </c>
    </row>
    <row r="17" spans="1:10">
      <c r="A17" s="41" t="s">
        <v>87</v>
      </c>
      <c r="B17" s="60">
        <v>3</v>
      </c>
      <c r="C17" s="60">
        <f t="shared" ca="1" si="0"/>
        <v>43</v>
      </c>
      <c r="D17" s="60">
        <f t="shared" ca="1" si="1"/>
        <v>41</v>
      </c>
      <c r="E17" s="60">
        <f t="shared" ca="1" si="2"/>
        <v>1</v>
      </c>
      <c r="F17" s="60">
        <f t="shared" ca="1" si="3"/>
        <v>11</v>
      </c>
      <c r="G17" s="60">
        <f t="shared" ca="1" si="4"/>
        <v>9</v>
      </c>
      <c r="H17" s="60" t="s">
        <v>88</v>
      </c>
      <c r="I17" s="54" t="s">
        <v>87</v>
      </c>
      <c r="J17" s="118" t="s">
        <v>95</v>
      </c>
    </row>
    <row r="18" spans="1:10">
      <c r="A18" s="41" t="s">
        <v>87</v>
      </c>
      <c r="B18" s="60">
        <v>20</v>
      </c>
      <c r="C18" s="60">
        <f t="shared" ca="1" si="0"/>
        <v>63</v>
      </c>
      <c r="D18" s="60">
        <f t="shared" ca="1" si="1"/>
        <v>44</v>
      </c>
      <c r="E18" s="60">
        <f t="shared" ca="1" si="2"/>
        <v>1</v>
      </c>
      <c r="F18" s="60">
        <f t="shared" ca="1" si="3"/>
        <v>31</v>
      </c>
      <c r="G18" s="60">
        <f t="shared" ca="1" si="4"/>
        <v>12</v>
      </c>
      <c r="H18" s="60" t="s">
        <v>88</v>
      </c>
      <c r="I18" s="62" t="str">
        <f ca="1">CONCATENATE(INDIRECT("template!I18"))</f>
        <v>reserved</v>
      </c>
      <c r="J18" s="149">
        <v>0</v>
      </c>
    </row>
    <row r="19" spans="1:10" ht="31.2">
      <c r="A19" s="41" t="s">
        <v>97</v>
      </c>
      <c r="B19" s="60">
        <v>21</v>
      </c>
      <c r="C19" s="60">
        <f t="shared" ca="1" si="0"/>
        <v>84</v>
      </c>
      <c r="D19" s="60">
        <f t="shared" ca="1" si="1"/>
        <v>64</v>
      </c>
      <c r="E19" s="60">
        <f t="shared" ca="1" si="2"/>
        <v>2</v>
      </c>
      <c r="F19" s="60">
        <f t="shared" ca="1" si="3"/>
        <v>20</v>
      </c>
      <c r="G19" s="60">
        <f t="shared" ca="1" si="4"/>
        <v>0</v>
      </c>
      <c r="H19" s="60" t="s">
        <v>73</v>
      </c>
      <c r="I19" s="62" t="s">
        <v>1334</v>
      </c>
      <c r="J19" s="118" t="s">
        <v>95</v>
      </c>
    </row>
    <row r="20" spans="1:10">
      <c r="A20" s="41" t="s">
        <v>87</v>
      </c>
      <c r="B20" s="60">
        <v>2</v>
      </c>
      <c r="C20" s="60">
        <v>86</v>
      </c>
      <c r="D20" s="60">
        <v>85</v>
      </c>
      <c r="E20" s="60">
        <f t="shared" si="2"/>
        <v>2</v>
      </c>
      <c r="F20" s="60">
        <v>22</v>
      </c>
      <c r="G20" s="60">
        <f t="shared" si="4"/>
        <v>21</v>
      </c>
      <c r="H20" s="60" t="s">
        <v>988</v>
      </c>
      <c r="I20" s="62" t="s">
        <v>87</v>
      </c>
      <c r="J20" s="118" t="s">
        <v>95</v>
      </c>
    </row>
    <row r="21" spans="1:10">
      <c r="A21" s="41" t="s">
        <v>979</v>
      </c>
      <c r="B21" s="60">
        <v>1</v>
      </c>
      <c r="C21" s="60">
        <v>87</v>
      </c>
      <c r="D21" s="60">
        <v>87</v>
      </c>
      <c r="E21" s="60">
        <v>2</v>
      </c>
      <c r="F21" s="60">
        <v>23</v>
      </c>
      <c r="G21" s="60">
        <v>23</v>
      </c>
      <c r="H21" s="60" t="s">
        <v>989</v>
      </c>
      <c r="I21" s="62" t="s">
        <v>990</v>
      </c>
      <c r="J21" s="118" t="s">
        <v>95</v>
      </c>
    </row>
    <row r="22" spans="1:10">
      <c r="A22" s="41" t="s">
        <v>87</v>
      </c>
      <c r="B22" s="60">
        <v>8</v>
      </c>
      <c r="C22" s="60">
        <f t="shared" ref="C22" ca="1" si="5">D22+B22-1</f>
        <v>95</v>
      </c>
      <c r="D22" s="60">
        <f t="shared" ref="D22" ca="1" si="6">INDIRECT(ADDRESS(ROW()-1,COLUMN()-1))+1</f>
        <v>88</v>
      </c>
      <c r="E22" s="60">
        <f t="shared" ca="1" si="2"/>
        <v>2</v>
      </c>
      <c r="F22" s="60">
        <v>31</v>
      </c>
      <c r="G22" s="60">
        <f t="shared" ca="1" si="4"/>
        <v>24</v>
      </c>
      <c r="H22" s="60" t="s">
        <v>88</v>
      </c>
      <c r="I22" s="62" t="s">
        <v>87</v>
      </c>
      <c r="J22" s="118" t="s">
        <v>95</v>
      </c>
    </row>
    <row r="23" spans="1:10">
      <c r="A23" s="41" t="s">
        <v>98</v>
      </c>
      <c r="B23" s="60">
        <v>32</v>
      </c>
      <c r="C23" s="60">
        <f t="shared" ca="1" si="0"/>
        <v>127</v>
      </c>
      <c r="D23" s="60">
        <f t="shared" ca="1" si="1"/>
        <v>96</v>
      </c>
      <c r="E23" s="60">
        <f t="shared" ca="1" si="2"/>
        <v>3</v>
      </c>
      <c r="F23" s="60">
        <f t="shared" ca="1" si="3"/>
        <v>31</v>
      </c>
      <c r="G23" s="60">
        <f t="shared" ca="1" si="4"/>
        <v>0</v>
      </c>
      <c r="H23" s="60" t="s">
        <v>73</v>
      </c>
      <c r="I23" s="62" t="str">
        <f ca="1">CONCATENATE(INDIRECT("template!I24"))</f>
        <v>when cmd_special_function==fill constant, this field means constant value</v>
      </c>
      <c r="J23" s="149">
        <v>0</v>
      </c>
    </row>
    <row r="24" spans="1:10">
      <c r="A24" s="41" t="s">
        <v>100</v>
      </c>
      <c r="B24" s="60">
        <v>32</v>
      </c>
      <c r="C24" s="60">
        <f t="shared" ca="1" si="0"/>
        <v>159</v>
      </c>
      <c r="D24" s="60">
        <f t="shared" ca="1" si="1"/>
        <v>128</v>
      </c>
      <c r="E24" s="60">
        <f t="shared" ca="1" si="2"/>
        <v>4</v>
      </c>
      <c r="F24" s="60">
        <f t="shared" ca="1" si="3"/>
        <v>31</v>
      </c>
      <c r="G24" s="60">
        <f t="shared" ca="1" si="4"/>
        <v>0</v>
      </c>
      <c r="H24" s="60" t="s">
        <v>73</v>
      </c>
      <c r="I24" s="62" t="s">
        <v>721</v>
      </c>
      <c r="J24" s="118" t="s">
        <v>95</v>
      </c>
    </row>
    <row r="25" spans="1:10">
      <c r="A25" s="41" t="s">
        <v>102</v>
      </c>
      <c r="B25" s="60">
        <v>32</v>
      </c>
      <c r="C25" s="60">
        <f t="shared" ca="1" si="0"/>
        <v>191</v>
      </c>
      <c r="D25" s="60">
        <f t="shared" ca="1" si="1"/>
        <v>160</v>
      </c>
      <c r="E25" s="60">
        <f t="shared" ca="1" si="2"/>
        <v>5</v>
      </c>
      <c r="F25" s="60">
        <f t="shared" ca="1" si="3"/>
        <v>31</v>
      </c>
      <c r="G25" s="60">
        <f t="shared" ca="1" si="4"/>
        <v>0</v>
      </c>
      <c r="H25" s="60" t="s">
        <v>73</v>
      </c>
      <c r="I25" s="62" t="s">
        <v>722</v>
      </c>
      <c r="J25" s="118" t="s">
        <v>95</v>
      </c>
    </row>
    <row r="26" spans="1:10">
      <c r="A26" s="41" t="s">
        <v>104</v>
      </c>
      <c r="B26" s="60">
        <v>32</v>
      </c>
      <c r="C26" s="60">
        <f t="shared" ca="1" si="0"/>
        <v>223</v>
      </c>
      <c r="D26" s="60">
        <f t="shared" ca="1" si="1"/>
        <v>192</v>
      </c>
      <c r="E26" s="60">
        <f t="shared" ca="1" si="2"/>
        <v>6</v>
      </c>
      <c r="F26" s="60">
        <f t="shared" ca="1" si="3"/>
        <v>31</v>
      </c>
      <c r="G26" s="60">
        <f t="shared" ca="1" si="4"/>
        <v>0</v>
      </c>
      <c r="H26" s="60" t="s">
        <v>73</v>
      </c>
      <c r="I26" s="62" t="s">
        <v>723</v>
      </c>
      <c r="J26" s="118" t="s">
        <v>95</v>
      </c>
    </row>
    <row r="27" spans="1:10">
      <c r="A27" s="41" t="s">
        <v>108</v>
      </c>
      <c r="B27" s="60">
        <v>32</v>
      </c>
      <c r="C27" s="60">
        <f t="shared" ca="1" si="0"/>
        <v>255</v>
      </c>
      <c r="D27" s="60">
        <f t="shared" ca="1" si="1"/>
        <v>224</v>
      </c>
      <c r="E27" s="60">
        <f t="shared" ca="1" si="2"/>
        <v>7</v>
      </c>
      <c r="F27" s="60">
        <f t="shared" ca="1" si="3"/>
        <v>31</v>
      </c>
      <c r="G27" s="60">
        <f t="shared" ca="1" si="4"/>
        <v>0</v>
      </c>
      <c r="H27" s="60" t="s">
        <v>73</v>
      </c>
      <c r="I27" s="62" t="s">
        <v>724</v>
      </c>
      <c r="J27" s="150" t="s">
        <v>95</v>
      </c>
    </row>
    <row r="28" spans="1:10">
      <c r="A28" s="41" t="s">
        <v>110</v>
      </c>
      <c r="B28" s="60">
        <v>32</v>
      </c>
      <c r="C28" s="60">
        <f t="shared" ca="1" si="0"/>
        <v>287</v>
      </c>
      <c r="D28" s="60">
        <f t="shared" ca="1" si="1"/>
        <v>256</v>
      </c>
      <c r="E28" s="60">
        <f t="shared" ca="1" si="2"/>
        <v>8</v>
      </c>
      <c r="F28" s="60">
        <f t="shared" ca="1" si="3"/>
        <v>31</v>
      </c>
      <c r="G28" s="60">
        <f t="shared" ca="1" si="4"/>
        <v>0</v>
      </c>
      <c r="H28" s="60" t="s">
        <v>73</v>
      </c>
      <c r="I28" s="62" t="s">
        <v>725</v>
      </c>
      <c r="J28" s="150" t="s">
        <v>95</v>
      </c>
    </row>
    <row r="29" spans="1:10">
      <c r="A29" s="41" t="s">
        <v>112</v>
      </c>
      <c r="B29" s="60">
        <v>32</v>
      </c>
      <c r="C29" s="60">
        <f t="shared" ca="1" si="0"/>
        <v>319</v>
      </c>
      <c r="D29" s="60">
        <f t="shared" ca="1" si="1"/>
        <v>288</v>
      </c>
      <c r="E29" s="60">
        <f t="shared" ca="1" si="2"/>
        <v>9</v>
      </c>
      <c r="F29" s="60">
        <f t="shared" ca="1" si="3"/>
        <v>31</v>
      </c>
      <c r="G29" s="60">
        <f t="shared" ca="1" si="4"/>
        <v>0</v>
      </c>
      <c r="H29" s="60" t="s">
        <v>73</v>
      </c>
      <c r="I29" s="62" t="s">
        <v>726</v>
      </c>
      <c r="J29" s="150" t="s">
        <v>95</v>
      </c>
    </row>
    <row r="30" spans="1:10">
      <c r="A30" s="41" t="s">
        <v>87</v>
      </c>
      <c r="B30" s="60">
        <v>32</v>
      </c>
      <c r="C30" s="60">
        <f t="shared" ca="1" si="0"/>
        <v>351</v>
      </c>
      <c r="D30" s="60">
        <f t="shared" ca="1" si="1"/>
        <v>320</v>
      </c>
      <c r="E30" s="60">
        <f t="shared" ca="1" si="2"/>
        <v>10</v>
      </c>
      <c r="F30" s="60">
        <f t="shared" ca="1" si="3"/>
        <v>31</v>
      </c>
      <c r="G30" s="60">
        <f t="shared" ca="1" si="4"/>
        <v>0</v>
      </c>
      <c r="H30" s="60" t="s">
        <v>73</v>
      </c>
      <c r="I30" s="54" t="s">
        <v>87</v>
      </c>
      <c r="J30" s="150" t="s">
        <v>95</v>
      </c>
    </row>
    <row r="31" spans="1:10">
      <c r="A31" s="41" t="s">
        <v>87</v>
      </c>
      <c r="B31" s="60">
        <v>32</v>
      </c>
      <c r="C31" s="60">
        <f t="shared" ca="1" si="0"/>
        <v>383</v>
      </c>
      <c r="D31" s="60">
        <f t="shared" ca="1" si="1"/>
        <v>352</v>
      </c>
      <c r="E31" s="60">
        <f t="shared" ca="1" si="2"/>
        <v>11</v>
      </c>
      <c r="F31" s="60">
        <f t="shared" ca="1" si="3"/>
        <v>31</v>
      </c>
      <c r="G31" s="60">
        <f t="shared" ca="1" si="4"/>
        <v>0</v>
      </c>
      <c r="H31" s="60" t="s">
        <v>73</v>
      </c>
      <c r="I31" s="54" t="s">
        <v>87</v>
      </c>
      <c r="J31" s="150" t="s">
        <v>95</v>
      </c>
    </row>
    <row r="32" spans="1:10">
      <c r="A32" s="41" t="s">
        <v>116</v>
      </c>
      <c r="B32" s="60">
        <v>16</v>
      </c>
      <c r="C32" s="60">
        <f t="shared" ca="1" si="0"/>
        <v>399</v>
      </c>
      <c r="D32" s="60">
        <f t="shared" ca="1" si="1"/>
        <v>384</v>
      </c>
      <c r="E32" s="60">
        <f t="shared" ca="1" si="2"/>
        <v>12</v>
      </c>
      <c r="F32" s="60">
        <f t="shared" ca="1" si="3"/>
        <v>15</v>
      </c>
      <c r="G32" s="60">
        <f t="shared" ca="1" si="4"/>
        <v>0</v>
      </c>
      <c r="H32" s="60" t="s">
        <v>73</v>
      </c>
      <c r="I32" s="62" t="str">
        <f ca="1">INDIRECT("template!I33")</f>
        <v>Source Blob Number</v>
      </c>
      <c r="J32" s="150" t="s">
        <v>95</v>
      </c>
    </row>
    <row r="33" spans="1:10">
      <c r="A33" s="41" t="s">
        <v>118</v>
      </c>
      <c r="B33" s="60">
        <v>16</v>
      </c>
      <c r="C33" s="60">
        <f t="shared" ca="1" si="0"/>
        <v>415</v>
      </c>
      <c r="D33" s="60">
        <f t="shared" ca="1" si="1"/>
        <v>400</v>
      </c>
      <c r="E33" s="60">
        <f t="shared" ca="1" si="2"/>
        <v>12</v>
      </c>
      <c r="F33" s="60">
        <f t="shared" ca="1" si="3"/>
        <v>31</v>
      </c>
      <c r="G33" s="60">
        <f t="shared" ca="1" si="4"/>
        <v>16</v>
      </c>
      <c r="H33" s="60" t="s">
        <v>73</v>
      </c>
      <c r="I33" s="62" t="str">
        <f ca="1">INDIRECT("template!I34")</f>
        <v>Source blob C</v>
      </c>
      <c r="J33" s="150" t="s">
        <v>95</v>
      </c>
    </row>
    <row r="34" spans="1:10">
      <c r="A34" s="41" t="s">
        <v>120</v>
      </c>
      <c r="B34" s="60">
        <v>16</v>
      </c>
      <c r="C34" s="60">
        <f t="shared" ca="1" si="0"/>
        <v>431</v>
      </c>
      <c r="D34" s="60">
        <f t="shared" ca="1" si="1"/>
        <v>416</v>
      </c>
      <c r="E34" s="60">
        <f t="shared" ca="1" si="2"/>
        <v>13</v>
      </c>
      <c r="F34" s="60">
        <f t="shared" ca="1" si="3"/>
        <v>15</v>
      </c>
      <c r="G34" s="60">
        <f t="shared" ca="1" si="4"/>
        <v>0</v>
      </c>
      <c r="H34" s="60" t="s">
        <v>73</v>
      </c>
      <c r="I34" s="62" t="str">
        <f ca="1">INDIRECT("template!I35")</f>
        <v xml:space="preserve">Source blob H </v>
      </c>
      <c r="J34" s="150" t="s">
        <v>95</v>
      </c>
    </row>
    <row r="35" spans="1:10">
      <c r="A35" s="41" t="s">
        <v>122</v>
      </c>
      <c r="B35" s="60">
        <v>16</v>
      </c>
      <c r="C35" s="60">
        <f t="shared" ca="1" si="0"/>
        <v>447</v>
      </c>
      <c r="D35" s="60">
        <f t="shared" ca="1" si="1"/>
        <v>432</v>
      </c>
      <c r="E35" s="60">
        <f t="shared" ca="1" si="2"/>
        <v>13</v>
      </c>
      <c r="F35" s="60">
        <f t="shared" ca="1" si="3"/>
        <v>31</v>
      </c>
      <c r="G35" s="60">
        <f t="shared" ca="1" si="4"/>
        <v>16</v>
      </c>
      <c r="H35" s="60" t="s">
        <v>73</v>
      </c>
      <c r="I35" s="62" t="str">
        <f ca="1">INDIRECT("template!I36")</f>
        <v xml:space="preserve">Source blob W </v>
      </c>
      <c r="J35" s="150" t="s">
        <v>95</v>
      </c>
    </row>
    <row r="36" spans="1:10">
      <c r="A36" s="44" t="s">
        <v>116</v>
      </c>
      <c r="B36" s="125">
        <v>16</v>
      </c>
      <c r="C36" s="125">
        <f t="shared" ref="C36:C39" ca="1" si="7">D36+B36-1</f>
        <v>463</v>
      </c>
      <c r="D36" s="125">
        <f t="shared" ca="1" si="1"/>
        <v>448</v>
      </c>
      <c r="E36" s="125">
        <f t="shared" ref="E36:E39" ca="1" si="8">ROUNDDOWN(C36/32,0)</f>
        <v>14</v>
      </c>
      <c r="F36" s="125">
        <f t="shared" ref="F36:F38" ca="1" si="9">C36-E36*32</f>
        <v>15</v>
      </c>
      <c r="G36" s="125">
        <f t="shared" ref="G36:G39" ca="1" si="10">D36-E36*32</f>
        <v>0</v>
      </c>
      <c r="H36" s="125" t="s">
        <v>73</v>
      </c>
      <c r="I36" s="126" t="str">
        <f ca="1">INDIRECT("template!I33")</f>
        <v>Source Blob Number</v>
      </c>
      <c r="J36" s="150" t="s">
        <v>95</v>
      </c>
    </row>
    <row r="37" spans="1:10">
      <c r="A37" s="44" t="s">
        <v>118</v>
      </c>
      <c r="B37" s="125">
        <v>16</v>
      </c>
      <c r="C37" s="125">
        <f t="shared" ca="1" si="7"/>
        <v>479</v>
      </c>
      <c r="D37" s="125">
        <f t="shared" ca="1" si="1"/>
        <v>464</v>
      </c>
      <c r="E37" s="125">
        <f t="shared" ca="1" si="8"/>
        <v>14</v>
      </c>
      <c r="F37" s="125">
        <f t="shared" ca="1" si="9"/>
        <v>31</v>
      </c>
      <c r="G37" s="125">
        <f t="shared" ca="1" si="10"/>
        <v>16</v>
      </c>
      <c r="H37" s="125" t="s">
        <v>73</v>
      </c>
      <c r="I37" s="126" t="str">
        <f ca="1">INDIRECT("template!I34")</f>
        <v>Source blob C</v>
      </c>
      <c r="J37" s="150" t="s">
        <v>95</v>
      </c>
    </row>
    <row r="38" spans="1:10">
      <c r="A38" s="44" t="s">
        <v>120</v>
      </c>
      <c r="B38" s="125">
        <v>16</v>
      </c>
      <c r="C38" s="125">
        <f t="shared" ca="1" si="7"/>
        <v>495</v>
      </c>
      <c r="D38" s="125">
        <f t="shared" ca="1" si="1"/>
        <v>480</v>
      </c>
      <c r="E38" s="125">
        <f t="shared" ca="1" si="8"/>
        <v>15</v>
      </c>
      <c r="F38" s="125">
        <f t="shared" ca="1" si="9"/>
        <v>15</v>
      </c>
      <c r="G38" s="125">
        <f t="shared" ca="1" si="10"/>
        <v>0</v>
      </c>
      <c r="H38" s="125" t="s">
        <v>73</v>
      </c>
      <c r="I38" s="126" t="str">
        <f ca="1">INDIRECT("template!I35")</f>
        <v xml:space="preserve">Source blob H </v>
      </c>
      <c r="J38" s="150" t="s">
        <v>95</v>
      </c>
    </row>
    <row r="39" spans="1:10">
      <c r="A39" s="44" t="s">
        <v>122</v>
      </c>
      <c r="B39" s="125">
        <v>16</v>
      </c>
      <c r="C39" s="125">
        <f t="shared" ca="1" si="7"/>
        <v>511</v>
      </c>
      <c r="D39" s="125">
        <f t="shared" ca="1" si="1"/>
        <v>496</v>
      </c>
      <c r="E39" s="125">
        <f t="shared" ca="1" si="8"/>
        <v>15</v>
      </c>
      <c r="F39" s="125">
        <f t="shared" ref="F39" ca="1" si="11">C39-E39*32</f>
        <v>31</v>
      </c>
      <c r="G39" s="125">
        <f t="shared" ca="1" si="10"/>
        <v>16</v>
      </c>
      <c r="H39" s="125" t="s">
        <v>73</v>
      </c>
      <c r="I39" s="126" t="str">
        <f ca="1">INDIRECT("template!I36")</f>
        <v xml:space="preserve">Source blob W </v>
      </c>
      <c r="J39" s="150" t="s">
        <v>95</v>
      </c>
    </row>
    <row r="40" spans="1:10">
      <c r="A40" s="41" t="s">
        <v>132</v>
      </c>
      <c r="B40" s="60">
        <v>32</v>
      </c>
      <c r="C40" s="60">
        <f t="shared" ca="1" si="0"/>
        <v>543</v>
      </c>
      <c r="D40" s="60">
        <f t="shared" ca="1" si="1"/>
        <v>512</v>
      </c>
      <c r="E40" s="60">
        <f t="shared" ca="1" si="2"/>
        <v>16</v>
      </c>
      <c r="F40" s="60">
        <f t="shared" ca="1" si="3"/>
        <v>31</v>
      </c>
      <c r="G40" s="60">
        <f t="shared" ca="1" si="4"/>
        <v>0</v>
      </c>
      <c r="H40" s="60" t="s">
        <v>73</v>
      </c>
      <c r="I40" s="62" t="s">
        <v>133</v>
      </c>
      <c r="J40" s="150" t="s">
        <v>95</v>
      </c>
    </row>
    <row r="41" spans="1:10">
      <c r="A41" s="41" t="s">
        <v>134</v>
      </c>
      <c r="B41" s="60">
        <v>13</v>
      </c>
      <c r="C41" s="60">
        <f t="shared" ca="1" si="0"/>
        <v>556</v>
      </c>
      <c r="D41" s="60">
        <f t="shared" ca="1" si="1"/>
        <v>544</v>
      </c>
      <c r="E41" s="60">
        <f t="shared" ca="1" si="2"/>
        <v>17</v>
      </c>
      <c r="F41" s="60">
        <f t="shared" ca="1" si="3"/>
        <v>12</v>
      </c>
      <c r="G41" s="60">
        <f t="shared" ca="1" si="4"/>
        <v>0</v>
      </c>
      <c r="H41" s="60" t="s">
        <v>73</v>
      </c>
      <c r="I41" s="62" t="str">
        <f ca="1">CONCATENATE(INDIRECT("template!I44"))</f>
        <v>destination blob start address[31:0]</v>
      </c>
      <c r="J41" s="150" t="s">
        <v>95</v>
      </c>
    </row>
    <row r="42" spans="1:10">
      <c r="A42" s="41" t="s">
        <v>87</v>
      </c>
      <c r="B42" s="60">
        <v>19</v>
      </c>
      <c r="C42" s="60">
        <f t="shared" ca="1" si="0"/>
        <v>575</v>
      </c>
      <c r="D42" s="60">
        <f t="shared" ca="1" si="1"/>
        <v>557</v>
      </c>
      <c r="E42" s="60">
        <f t="shared" ca="1" si="2"/>
        <v>17</v>
      </c>
      <c r="F42" s="60">
        <f t="shared" ca="1" si="3"/>
        <v>31</v>
      </c>
      <c r="G42" s="60">
        <f t="shared" ca="1" si="4"/>
        <v>13</v>
      </c>
      <c r="H42" s="60" t="s">
        <v>88</v>
      </c>
      <c r="I42" s="62" t="s">
        <v>1257</v>
      </c>
      <c r="J42" s="149">
        <v>0</v>
      </c>
    </row>
    <row r="43" spans="1:10" s="35" customFormat="1">
      <c r="A43" s="41" t="s">
        <v>135</v>
      </c>
      <c r="B43" s="60">
        <v>32</v>
      </c>
      <c r="C43" s="60">
        <f t="shared" ca="1" si="0"/>
        <v>607</v>
      </c>
      <c r="D43" s="60">
        <f t="shared" ca="1" si="1"/>
        <v>576</v>
      </c>
      <c r="E43" s="60">
        <f t="shared" ca="1" si="2"/>
        <v>18</v>
      </c>
      <c r="F43" s="60">
        <f t="shared" ca="1" si="3"/>
        <v>31</v>
      </c>
      <c r="G43" s="60">
        <f t="shared" ca="1" si="4"/>
        <v>0</v>
      </c>
      <c r="H43" s="60" t="s">
        <v>73</v>
      </c>
      <c r="I43" s="129" t="s">
        <v>136</v>
      </c>
      <c r="J43" s="118" t="s">
        <v>95</v>
      </c>
    </row>
    <row r="44" spans="1:10" s="35" customFormat="1" ht="280.8">
      <c r="A44" s="41" t="s">
        <v>137</v>
      </c>
      <c r="B44" s="60">
        <v>13</v>
      </c>
      <c r="C44" s="60">
        <f t="shared" ca="1" si="0"/>
        <v>620</v>
      </c>
      <c r="D44" s="60">
        <f t="shared" ca="1" si="1"/>
        <v>608</v>
      </c>
      <c r="E44" s="60">
        <f t="shared" ca="1" si="2"/>
        <v>19</v>
      </c>
      <c r="F44" s="60">
        <f t="shared" ca="1" si="3"/>
        <v>12</v>
      </c>
      <c r="G44" s="60">
        <f t="shared" ca="1" si="4"/>
        <v>0</v>
      </c>
      <c r="H44" s="60" t="s">
        <v>73</v>
      </c>
      <c r="I44" s="62" t="str">
        <f ca="1">CONCATENATE(INDIRECT("template!I45"))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real address[39:32] == 'h69 &amp; bit[12:8]==31 means dst is tiu, otherwise, dst is DTN</v>
      </c>
      <c r="J44" s="118" t="s">
        <v>95</v>
      </c>
    </row>
    <row r="45" spans="1:10" s="35" customFormat="1">
      <c r="A45" s="41" t="s">
        <v>87</v>
      </c>
      <c r="B45" s="60">
        <v>19</v>
      </c>
      <c r="C45" s="60">
        <f t="shared" ca="1" si="0"/>
        <v>639</v>
      </c>
      <c r="D45" s="60">
        <f t="shared" ca="1" si="1"/>
        <v>621</v>
      </c>
      <c r="E45" s="60">
        <f t="shared" ca="1" si="2"/>
        <v>19</v>
      </c>
      <c r="F45" s="60">
        <f t="shared" ca="1" si="3"/>
        <v>31</v>
      </c>
      <c r="G45" s="60">
        <f t="shared" ca="1" si="4"/>
        <v>13</v>
      </c>
      <c r="H45" s="60" t="s">
        <v>88</v>
      </c>
      <c r="I45" s="62" t="s">
        <v>1257</v>
      </c>
      <c r="J45" s="149">
        <v>0</v>
      </c>
    </row>
    <row r="46" spans="1:10">
      <c r="A46" s="41" t="s">
        <v>138</v>
      </c>
      <c r="B46" s="60">
        <v>16</v>
      </c>
      <c r="C46" s="60">
        <f t="shared" ca="1" si="0"/>
        <v>655</v>
      </c>
      <c r="D46" s="60">
        <f t="shared" ca="1" si="1"/>
        <v>640</v>
      </c>
      <c r="E46" s="60">
        <f t="shared" ca="1" si="2"/>
        <v>20</v>
      </c>
      <c r="F46" s="60">
        <f t="shared" ca="1" si="3"/>
        <v>15</v>
      </c>
      <c r="G46" s="60">
        <f t="shared" ca="1" si="4"/>
        <v>0</v>
      </c>
      <c r="H46" s="60" t="s">
        <v>73</v>
      </c>
      <c r="I46" s="62" t="str">
        <f ca="1">CONCATENATE(INDIRECT("template!I47"))</f>
        <v>mask/index blob start address[31:0]</v>
      </c>
      <c r="J46" s="118" t="s">
        <v>95</v>
      </c>
    </row>
    <row r="47" spans="1:10">
      <c r="A47" s="41" t="s">
        <v>87</v>
      </c>
      <c r="B47" s="60">
        <v>16</v>
      </c>
      <c r="C47" s="60">
        <f t="shared" ca="1" si="0"/>
        <v>671</v>
      </c>
      <c r="D47" s="60">
        <f t="shared" ca="1" si="1"/>
        <v>656</v>
      </c>
      <c r="E47" s="60">
        <f t="shared" ca="1" si="2"/>
        <v>20</v>
      </c>
      <c r="F47" s="60">
        <f t="shared" ca="1" si="3"/>
        <v>31</v>
      </c>
      <c r="G47" s="60">
        <f t="shared" ca="1" si="4"/>
        <v>16</v>
      </c>
      <c r="H47" s="60" t="s">
        <v>88</v>
      </c>
      <c r="I47" s="62" t="s">
        <v>1257</v>
      </c>
      <c r="J47" s="149">
        <v>0</v>
      </c>
    </row>
    <row r="48" spans="1:10">
      <c r="A48" s="41" t="s">
        <v>87</v>
      </c>
      <c r="B48" s="60">
        <v>32</v>
      </c>
      <c r="C48" s="60">
        <f t="shared" ca="1" si="0"/>
        <v>703</v>
      </c>
      <c r="D48" s="60">
        <f t="shared" ca="1" si="1"/>
        <v>672</v>
      </c>
      <c r="E48" s="60">
        <f t="shared" ca="1" si="2"/>
        <v>21</v>
      </c>
      <c r="F48" s="60">
        <f t="shared" ca="1" si="3"/>
        <v>31</v>
      </c>
      <c r="G48" s="60">
        <f t="shared" ca="1" si="4"/>
        <v>0</v>
      </c>
      <c r="H48" s="60" t="s">
        <v>88</v>
      </c>
      <c r="I48" s="62" t="s">
        <v>1257</v>
      </c>
      <c r="J48" s="149">
        <v>0</v>
      </c>
    </row>
    <row r="49" spans="1:10">
      <c r="A49" s="41" t="s">
        <v>1361</v>
      </c>
      <c r="B49" s="60">
        <v>32</v>
      </c>
      <c r="C49" s="60">
        <f t="shared" ca="1" si="0"/>
        <v>735</v>
      </c>
      <c r="D49" s="60">
        <f t="shared" ca="1" si="1"/>
        <v>704</v>
      </c>
      <c r="E49" s="60">
        <f t="shared" ca="1" si="2"/>
        <v>22</v>
      </c>
      <c r="F49" s="60">
        <f t="shared" ca="1" si="3"/>
        <v>31</v>
      </c>
      <c r="G49" s="60">
        <f t="shared" ca="1" si="4"/>
        <v>0</v>
      </c>
      <c r="H49" s="60" t="s">
        <v>88</v>
      </c>
      <c r="I49" s="62" t="s">
        <v>1361</v>
      </c>
      <c r="J49" s="149" t="s">
        <v>1362</v>
      </c>
    </row>
    <row r="50" spans="1:10">
      <c r="A50" s="41" t="s">
        <v>1361</v>
      </c>
      <c r="B50" s="60">
        <v>32</v>
      </c>
      <c r="C50" s="60">
        <f t="shared" ca="1" si="0"/>
        <v>767</v>
      </c>
      <c r="D50" s="60">
        <f t="shared" ca="1" si="1"/>
        <v>736</v>
      </c>
      <c r="E50" s="60">
        <f t="shared" ca="1" si="2"/>
        <v>23</v>
      </c>
      <c r="F50" s="60">
        <f t="shared" ca="1" si="3"/>
        <v>31</v>
      </c>
      <c r="G50" s="60">
        <f t="shared" ca="1" si="4"/>
        <v>0</v>
      </c>
      <c r="H50" s="60" t="s">
        <v>88</v>
      </c>
      <c r="I50" s="62" t="s">
        <v>1361</v>
      </c>
      <c r="J50" s="149" t="s">
        <v>1362</v>
      </c>
    </row>
    <row r="51" spans="1:10">
      <c r="A51" s="159" t="s">
        <v>571</v>
      </c>
      <c r="B51" s="152"/>
      <c r="C51" s="152"/>
      <c r="D51" s="152"/>
      <c r="E51" s="152"/>
      <c r="F51" s="152"/>
      <c r="G51" s="152"/>
      <c r="H51" s="153"/>
      <c r="I51" s="154"/>
      <c r="J51" s="153"/>
    </row>
    <row r="52" spans="1:10">
      <c r="A52" s="159" t="s">
        <v>144</v>
      </c>
      <c r="B52" s="152"/>
      <c r="C52" s="152"/>
      <c r="D52" s="152"/>
      <c r="E52" s="152"/>
      <c r="F52" s="152"/>
      <c r="G52" s="152"/>
      <c r="H52" s="153"/>
      <c r="I52" s="154"/>
      <c r="J52" s="153"/>
    </row>
    <row r="53" spans="1:10">
      <c r="A53" s="159" t="s">
        <v>145</v>
      </c>
      <c r="B53" s="152"/>
      <c r="C53" s="152"/>
      <c r="D53" s="152"/>
      <c r="E53" s="152"/>
      <c r="F53" s="152"/>
      <c r="G53" s="152"/>
      <c r="H53" s="153"/>
      <c r="I53" s="154"/>
      <c r="J53" s="153"/>
    </row>
    <row r="54" spans="1:10">
      <c r="A54" s="159" t="s">
        <v>146</v>
      </c>
      <c r="B54" s="152"/>
      <c r="C54" s="152"/>
      <c r="D54" s="152"/>
      <c r="E54" s="152"/>
      <c r="F54" s="152"/>
      <c r="G54" s="152"/>
      <c r="H54" s="153"/>
      <c r="I54" s="154"/>
      <c r="J54" s="153"/>
    </row>
    <row r="55" spans="1:10">
      <c r="A55" s="159" t="s">
        <v>147</v>
      </c>
      <c r="B55" s="152"/>
      <c r="C55" s="152"/>
      <c r="D55" s="152"/>
      <c r="E55" s="152"/>
      <c r="F55" s="152"/>
      <c r="G55" s="152"/>
      <c r="H55" s="153"/>
      <c r="I55" s="154"/>
      <c r="J55" s="153"/>
    </row>
  </sheetData>
  <phoneticPr fontId="32" type="noConversion"/>
  <pageMargins left="0.25" right="0.25" top="0.75" bottom="0.75" header="0.3" footer="0.3"/>
  <pageSetup paperSize="9" scale="50"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zoomScale="125" zoomScaleNormal="125" workbookViewId="0">
      <selection activeCell="J14" sqref="J14"/>
    </sheetView>
  </sheetViews>
  <sheetFormatPr defaultColWidth="11" defaultRowHeight="14.4"/>
  <cols>
    <col min="2" max="2" width="14.6640625" customWidth="1"/>
    <col min="3" max="3" width="43.6640625" customWidth="1"/>
    <col min="14" max="14" width="43" customWidth="1"/>
    <col min="15" max="15" width="180" customWidth="1"/>
  </cols>
  <sheetData>
    <row r="1" spans="1:15">
      <c r="A1" s="14"/>
      <c r="B1" s="14"/>
      <c r="C1" s="14"/>
      <c r="D1" s="14"/>
      <c r="E1" s="14"/>
      <c r="F1" s="14"/>
      <c r="G1" s="14"/>
      <c r="H1" s="14"/>
      <c r="I1" s="14"/>
      <c r="J1" s="14"/>
      <c r="K1" s="14"/>
      <c r="L1" s="14"/>
      <c r="M1" s="14"/>
      <c r="N1" s="14"/>
    </row>
    <row r="2" spans="1:15" ht="15.6">
      <c r="A2" s="14"/>
      <c r="B2" s="1"/>
      <c r="C2" s="2"/>
      <c r="D2" s="170"/>
      <c r="E2" s="170"/>
      <c r="F2" s="171"/>
      <c r="G2" s="172"/>
      <c r="H2" s="172"/>
      <c r="I2" s="173"/>
      <c r="J2" s="174" t="s">
        <v>727</v>
      </c>
      <c r="K2" s="175"/>
      <c r="L2" s="175"/>
      <c r="M2" s="176"/>
      <c r="N2" s="24" t="s">
        <v>728</v>
      </c>
      <c r="O2" s="25" t="s">
        <v>729</v>
      </c>
    </row>
    <row r="3" spans="1:15" ht="15.6">
      <c r="A3" s="14"/>
      <c r="B3" s="15" t="s">
        <v>730</v>
      </c>
      <c r="C3" s="4" t="s">
        <v>731</v>
      </c>
      <c r="D3" s="10" t="s">
        <v>732</v>
      </c>
      <c r="E3" s="10" t="s">
        <v>733</v>
      </c>
      <c r="F3" s="16" t="s">
        <v>734</v>
      </c>
      <c r="G3" s="17" t="s">
        <v>732</v>
      </c>
      <c r="H3" s="17" t="s">
        <v>733</v>
      </c>
      <c r="I3" s="26" t="s">
        <v>734</v>
      </c>
      <c r="J3" s="8" t="s">
        <v>735</v>
      </c>
      <c r="K3" s="27" t="s">
        <v>736</v>
      </c>
      <c r="L3" s="27" t="s">
        <v>733</v>
      </c>
      <c r="M3" s="28" t="s">
        <v>734</v>
      </c>
      <c r="N3" s="24"/>
      <c r="O3" s="25"/>
    </row>
    <row r="4" spans="1:15" ht="15.6">
      <c r="A4" s="14"/>
      <c r="B4" s="164" t="s">
        <v>737</v>
      </c>
      <c r="C4" s="4" t="s">
        <v>738</v>
      </c>
      <c r="D4" s="10" t="s">
        <v>739</v>
      </c>
      <c r="E4" s="10" t="s">
        <v>739</v>
      </c>
      <c r="F4" s="16" t="s">
        <v>739</v>
      </c>
      <c r="G4" s="17" t="s">
        <v>739</v>
      </c>
      <c r="H4" s="17" t="s">
        <v>739</v>
      </c>
      <c r="I4" s="26" t="s">
        <v>739</v>
      </c>
      <c r="J4" s="8"/>
      <c r="K4" s="27"/>
      <c r="L4" s="27"/>
      <c r="M4" s="28"/>
      <c r="N4" s="24"/>
      <c r="O4" s="25"/>
    </row>
    <row r="5" spans="1:15" ht="15.6">
      <c r="A5" s="14"/>
      <c r="B5" s="165"/>
      <c r="C5" s="4" t="s">
        <v>740</v>
      </c>
      <c r="D5" s="10" t="s">
        <v>739</v>
      </c>
      <c r="E5" s="10" t="s">
        <v>739</v>
      </c>
      <c r="F5" s="16" t="s">
        <v>739</v>
      </c>
      <c r="G5" s="17" t="s">
        <v>739</v>
      </c>
      <c r="H5" s="17" t="s">
        <v>739</v>
      </c>
      <c r="I5" s="26" t="s">
        <v>739</v>
      </c>
      <c r="J5" s="8"/>
      <c r="K5" s="27"/>
      <c r="L5" s="27"/>
      <c r="M5" s="28"/>
      <c r="N5" s="24"/>
      <c r="O5" s="25"/>
    </row>
    <row r="6" spans="1:15" ht="15.6">
      <c r="A6" s="14"/>
      <c r="B6" s="165"/>
      <c r="C6" s="4" t="s">
        <v>741</v>
      </c>
      <c r="D6" s="10" t="s">
        <v>742</v>
      </c>
      <c r="E6" s="10" t="s">
        <v>739</v>
      </c>
      <c r="F6" s="18" t="s">
        <v>742</v>
      </c>
      <c r="G6" s="17" t="s">
        <v>739</v>
      </c>
      <c r="H6" s="17" t="s">
        <v>739</v>
      </c>
      <c r="I6" s="26" t="s">
        <v>739</v>
      </c>
      <c r="J6" s="8"/>
      <c r="K6" s="27"/>
      <c r="L6" s="27"/>
      <c r="M6" s="28"/>
      <c r="N6" s="24"/>
      <c r="O6" s="25"/>
    </row>
    <row r="7" spans="1:15" ht="15.6">
      <c r="A7" s="14"/>
      <c r="B7" s="165"/>
      <c r="C7" s="4" t="s">
        <v>743</v>
      </c>
      <c r="D7" s="10" t="s">
        <v>739</v>
      </c>
      <c r="E7" s="10" t="s">
        <v>739</v>
      </c>
      <c r="F7" s="16" t="s">
        <v>739</v>
      </c>
      <c r="G7" s="17" t="s">
        <v>742</v>
      </c>
      <c r="H7" s="17" t="s">
        <v>739</v>
      </c>
      <c r="I7" s="26" t="s">
        <v>742</v>
      </c>
      <c r="J7" s="8"/>
      <c r="K7" s="27"/>
      <c r="L7" s="27"/>
      <c r="M7" s="28"/>
      <c r="N7" s="24"/>
      <c r="O7" s="25"/>
    </row>
    <row r="8" spans="1:15" ht="15.6">
      <c r="A8" s="14"/>
      <c r="B8" s="165"/>
      <c r="C8" s="4" t="s">
        <v>744</v>
      </c>
      <c r="D8" s="10" t="s">
        <v>739</v>
      </c>
      <c r="E8" s="10" t="s">
        <v>739</v>
      </c>
      <c r="F8" s="16" t="s">
        <v>739</v>
      </c>
      <c r="G8" s="17" t="s">
        <v>742</v>
      </c>
      <c r="H8" s="17" t="s">
        <v>739</v>
      </c>
      <c r="I8" s="26" t="s">
        <v>742</v>
      </c>
      <c r="J8" s="8"/>
      <c r="K8" s="27"/>
      <c r="L8" s="27"/>
      <c r="M8" s="28"/>
      <c r="N8" s="24"/>
      <c r="O8" s="25"/>
    </row>
    <row r="9" spans="1:15" ht="15.6">
      <c r="A9" s="14"/>
      <c r="B9" s="165"/>
      <c r="C9" s="4" t="s">
        <v>745</v>
      </c>
      <c r="D9" s="10" t="s">
        <v>739</v>
      </c>
      <c r="E9" s="10" t="s">
        <v>739</v>
      </c>
      <c r="F9" s="16" t="s">
        <v>739</v>
      </c>
      <c r="G9" s="17" t="s">
        <v>742</v>
      </c>
      <c r="H9" s="17" t="s">
        <v>739</v>
      </c>
      <c r="I9" s="26" t="s">
        <v>742</v>
      </c>
      <c r="J9" s="8"/>
      <c r="K9" s="27"/>
      <c r="L9" s="27"/>
      <c r="M9" s="28"/>
      <c r="N9" s="24"/>
      <c r="O9" s="25"/>
    </row>
    <row r="10" spans="1:15" ht="15.6">
      <c r="A10" s="14"/>
      <c r="B10" s="165"/>
      <c r="C10" s="4" t="s">
        <v>746</v>
      </c>
      <c r="D10" s="10" t="s">
        <v>739</v>
      </c>
      <c r="E10" s="10" t="s">
        <v>739</v>
      </c>
      <c r="F10" s="16" t="s">
        <v>739</v>
      </c>
      <c r="G10" s="17" t="s">
        <v>742</v>
      </c>
      <c r="H10" s="17" t="s">
        <v>739</v>
      </c>
      <c r="I10" s="26" t="s">
        <v>742</v>
      </c>
      <c r="J10" s="8"/>
      <c r="K10" s="27"/>
      <c r="L10" s="27"/>
      <c r="M10" s="28"/>
      <c r="N10" s="24"/>
      <c r="O10" s="25"/>
    </row>
    <row r="11" spans="1:15" ht="15.6">
      <c r="A11" s="14"/>
      <c r="B11" s="165"/>
      <c r="C11" s="4" t="s">
        <v>747</v>
      </c>
      <c r="D11" s="10"/>
      <c r="E11" s="10"/>
      <c r="F11" s="16"/>
      <c r="G11" s="17" t="s">
        <v>739</v>
      </c>
      <c r="H11" s="17" t="s">
        <v>739</v>
      </c>
      <c r="I11" s="26" t="s">
        <v>739</v>
      </c>
      <c r="J11" s="8"/>
      <c r="K11" s="27"/>
      <c r="L11" s="27"/>
      <c r="M11" s="28"/>
      <c r="N11" s="24"/>
      <c r="O11" s="25"/>
    </row>
    <row r="12" spans="1:15" ht="15.6">
      <c r="A12" s="14"/>
      <c r="B12" s="166"/>
      <c r="C12" s="4" t="s">
        <v>748</v>
      </c>
      <c r="D12" s="10"/>
      <c r="E12" s="10"/>
      <c r="F12" s="16"/>
      <c r="G12" s="17" t="s">
        <v>742</v>
      </c>
      <c r="H12" s="17" t="s">
        <v>739</v>
      </c>
      <c r="I12" s="26" t="s">
        <v>742</v>
      </c>
      <c r="J12" s="8"/>
      <c r="K12" s="27"/>
      <c r="L12" s="27"/>
      <c r="M12" s="28"/>
      <c r="N12" s="24"/>
      <c r="O12" s="25"/>
    </row>
    <row r="13" spans="1:15" ht="15" customHeight="1">
      <c r="A13" s="14"/>
      <c r="B13" s="164" t="s">
        <v>749</v>
      </c>
      <c r="C13" s="4" t="s">
        <v>750</v>
      </c>
      <c r="D13" s="10" t="s">
        <v>739</v>
      </c>
      <c r="E13" s="10" t="s">
        <v>739</v>
      </c>
      <c r="F13" s="16" t="s">
        <v>739</v>
      </c>
      <c r="G13" s="17" t="s">
        <v>739</v>
      </c>
      <c r="H13" s="17" t="s">
        <v>739</v>
      </c>
      <c r="I13" s="26" t="s">
        <v>739</v>
      </c>
      <c r="J13" s="8"/>
      <c r="K13" s="27"/>
      <c r="L13" s="27"/>
      <c r="M13" s="28"/>
      <c r="N13" s="167" t="s">
        <v>751</v>
      </c>
      <c r="O13" s="25"/>
    </row>
    <row r="14" spans="1:15" ht="15.6">
      <c r="A14" s="14"/>
      <c r="B14" s="166"/>
      <c r="C14" s="4" t="s">
        <v>752</v>
      </c>
      <c r="D14" s="10" t="s">
        <v>739</v>
      </c>
      <c r="E14" s="10" t="s">
        <v>739</v>
      </c>
      <c r="F14" s="16" t="s">
        <v>739</v>
      </c>
      <c r="G14" s="17" t="s">
        <v>739</v>
      </c>
      <c r="H14" s="17" t="s">
        <v>739</v>
      </c>
      <c r="I14" s="26" t="s">
        <v>739</v>
      </c>
      <c r="J14" s="8"/>
      <c r="K14" s="27"/>
      <c r="L14" s="27"/>
      <c r="M14" s="28"/>
      <c r="N14" s="167"/>
      <c r="O14" s="25"/>
    </row>
    <row r="15" spans="1:15" ht="15.6">
      <c r="A15" s="14"/>
      <c r="B15" s="15" t="s">
        <v>753</v>
      </c>
      <c r="C15" s="4" t="s">
        <v>738</v>
      </c>
      <c r="D15" s="10" t="s">
        <v>739</v>
      </c>
      <c r="E15" s="10" t="s">
        <v>739</v>
      </c>
      <c r="F15" s="16" t="s">
        <v>739</v>
      </c>
      <c r="G15" s="17" t="s">
        <v>739</v>
      </c>
      <c r="H15" s="17" t="s">
        <v>739</v>
      </c>
      <c r="I15" s="26" t="s">
        <v>739</v>
      </c>
      <c r="J15" s="8" t="s">
        <v>739</v>
      </c>
      <c r="K15" s="27" t="s">
        <v>739</v>
      </c>
      <c r="L15" s="27" t="s">
        <v>739</v>
      </c>
      <c r="M15" s="28" t="s">
        <v>739</v>
      </c>
      <c r="N15" s="24"/>
      <c r="O15" s="25"/>
    </row>
    <row r="16" spans="1:15" ht="15.6">
      <c r="A16" s="14"/>
      <c r="B16" s="164" t="s">
        <v>754</v>
      </c>
      <c r="C16" s="4" t="s">
        <v>738</v>
      </c>
      <c r="D16" s="10" t="s">
        <v>739</v>
      </c>
      <c r="E16" s="10" t="s">
        <v>739</v>
      </c>
      <c r="F16" s="16" t="s">
        <v>739</v>
      </c>
      <c r="G16" s="17" t="s">
        <v>739</v>
      </c>
      <c r="H16" s="17" t="s">
        <v>739</v>
      </c>
      <c r="I16" s="26" t="s">
        <v>739</v>
      </c>
      <c r="J16" s="8"/>
      <c r="K16" s="27"/>
      <c r="L16" s="27"/>
      <c r="M16" s="28"/>
      <c r="N16" s="24"/>
      <c r="O16" s="168" t="s">
        <v>755</v>
      </c>
    </row>
    <row r="17" spans="1:15" ht="15.6">
      <c r="A17" s="14"/>
      <c r="B17" s="165"/>
      <c r="C17" s="4" t="s">
        <v>743</v>
      </c>
      <c r="D17" s="10" t="s">
        <v>739</v>
      </c>
      <c r="E17" s="10" t="s">
        <v>739</v>
      </c>
      <c r="F17" s="16" t="s">
        <v>739</v>
      </c>
      <c r="G17" s="17" t="s">
        <v>742</v>
      </c>
      <c r="H17" s="17" t="s">
        <v>739</v>
      </c>
      <c r="I17" s="26" t="s">
        <v>742</v>
      </c>
      <c r="J17" s="8"/>
      <c r="K17" s="27"/>
      <c r="L17" s="27"/>
      <c r="M17" s="28"/>
      <c r="N17" s="24"/>
      <c r="O17" s="168"/>
    </row>
    <row r="18" spans="1:15" ht="15.6">
      <c r="A18" s="14"/>
      <c r="B18" s="165"/>
      <c r="C18" s="4" t="s">
        <v>747</v>
      </c>
      <c r="D18" s="10"/>
      <c r="E18" s="10"/>
      <c r="F18" s="16"/>
      <c r="G18" s="17" t="s">
        <v>739</v>
      </c>
      <c r="H18" s="17" t="s">
        <v>739</v>
      </c>
      <c r="I18" s="26" t="s">
        <v>739</v>
      </c>
      <c r="J18" s="8"/>
      <c r="K18" s="27"/>
      <c r="L18" s="27"/>
      <c r="M18" s="28"/>
      <c r="N18" s="24"/>
      <c r="O18" s="169" t="s">
        <v>756</v>
      </c>
    </row>
    <row r="19" spans="1:15" ht="15.6">
      <c r="A19" s="14"/>
      <c r="B19" s="166"/>
      <c r="C19" s="4" t="s">
        <v>748</v>
      </c>
      <c r="D19" s="10"/>
      <c r="E19" s="10"/>
      <c r="F19" s="16"/>
      <c r="G19" s="17" t="s">
        <v>742</v>
      </c>
      <c r="H19" s="17" t="s">
        <v>739</v>
      </c>
      <c r="I19" s="26" t="s">
        <v>742</v>
      </c>
      <c r="J19" s="8"/>
      <c r="K19" s="27"/>
      <c r="L19" s="27"/>
      <c r="M19" s="28"/>
      <c r="N19" s="24"/>
      <c r="O19" s="169"/>
    </row>
    <row r="20" spans="1:15" ht="15.6">
      <c r="A20" s="14"/>
      <c r="B20" s="19" t="s">
        <v>757</v>
      </c>
      <c r="C20" s="4" t="s">
        <v>738</v>
      </c>
      <c r="D20" s="10" t="s">
        <v>739</v>
      </c>
      <c r="E20" s="10" t="s">
        <v>739</v>
      </c>
      <c r="F20" s="16" t="s">
        <v>739</v>
      </c>
      <c r="G20" s="17" t="s">
        <v>739</v>
      </c>
      <c r="H20" s="17" t="s">
        <v>739</v>
      </c>
      <c r="I20" s="26" t="s">
        <v>739</v>
      </c>
      <c r="J20" s="8"/>
      <c r="K20" s="27"/>
      <c r="L20" s="27"/>
      <c r="M20" s="28"/>
      <c r="N20" s="29"/>
      <c r="O20" s="25"/>
    </row>
    <row r="21" spans="1:15" ht="15.6">
      <c r="A21" s="14"/>
      <c r="B21" s="15" t="s">
        <v>758</v>
      </c>
      <c r="C21" s="4" t="s">
        <v>738</v>
      </c>
      <c r="D21" s="10" t="s">
        <v>739</v>
      </c>
      <c r="E21" s="10" t="s">
        <v>739</v>
      </c>
      <c r="F21" s="16" t="s">
        <v>739</v>
      </c>
      <c r="G21" s="17" t="s">
        <v>739</v>
      </c>
      <c r="H21" s="17" t="s">
        <v>739</v>
      </c>
      <c r="I21" s="26" t="s">
        <v>739</v>
      </c>
      <c r="J21" s="8"/>
      <c r="K21" s="27"/>
      <c r="L21" s="27"/>
      <c r="M21" s="28"/>
      <c r="N21" s="24"/>
      <c r="O21" s="25"/>
    </row>
    <row r="22" spans="1:15" ht="15.6">
      <c r="A22" s="14"/>
      <c r="B22" s="15" t="s">
        <v>759</v>
      </c>
      <c r="C22" s="4" t="s">
        <v>738</v>
      </c>
      <c r="D22" s="10" t="s">
        <v>739</v>
      </c>
      <c r="E22" s="10" t="s">
        <v>739</v>
      </c>
      <c r="F22" s="16" t="s">
        <v>739</v>
      </c>
      <c r="G22" s="17" t="s">
        <v>739</v>
      </c>
      <c r="H22" s="17" t="s">
        <v>739</v>
      </c>
      <c r="I22" s="26" t="s">
        <v>739</v>
      </c>
      <c r="J22" s="8" t="s">
        <v>739</v>
      </c>
      <c r="K22" s="27" t="s">
        <v>739</v>
      </c>
      <c r="L22" s="27" t="s">
        <v>739</v>
      </c>
      <c r="M22" s="28" t="s">
        <v>739</v>
      </c>
      <c r="N22" s="24" t="s">
        <v>760</v>
      </c>
      <c r="O22" s="25"/>
    </row>
    <row r="23" spans="1:15" ht="15.6">
      <c r="A23" s="14"/>
      <c r="B23" s="20" t="s">
        <v>761</v>
      </c>
      <c r="C23" s="13" t="s">
        <v>738</v>
      </c>
      <c r="D23" s="21" t="s">
        <v>739</v>
      </c>
      <c r="E23" s="21" t="s">
        <v>739</v>
      </c>
      <c r="F23" s="22" t="s">
        <v>739</v>
      </c>
      <c r="G23" s="23" t="s">
        <v>739</v>
      </c>
      <c r="H23" s="23" t="s">
        <v>739</v>
      </c>
      <c r="I23" s="30" t="s">
        <v>739</v>
      </c>
      <c r="J23" s="31" t="s">
        <v>739</v>
      </c>
      <c r="K23" s="32" t="s">
        <v>739</v>
      </c>
      <c r="L23" s="32" t="s">
        <v>739</v>
      </c>
      <c r="M23" s="33" t="s">
        <v>739</v>
      </c>
      <c r="N23" s="24" t="s">
        <v>760</v>
      </c>
      <c r="O23" s="25"/>
    </row>
  </sheetData>
  <mergeCells count="9">
    <mergeCell ref="B16:B19"/>
    <mergeCell ref="N13:N14"/>
    <mergeCell ref="O16:O17"/>
    <mergeCell ref="O18:O19"/>
    <mergeCell ref="D2:F2"/>
    <mergeCell ref="G2:I2"/>
    <mergeCell ref="J2:M2"/>
    <mergeCell ref="B4:B12"/>
    <mergeCell ref="B13:B14"/>
  </mergeCells>
  <phoneticPr fontId="3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zoomScale="161" zoomScaleNormal="161" workbookViewId="0">
      <selection activeCell="B30" sqref="B30"/>
    </sheetView>
  </sheetViews>
  <sheetFormatPr defaultColWidth="11" defaultRowHeight="14.4"/>
  <cols>
    <col min="2" max="2" width="17.109375" customWidth="1"/>
    <col min="3" max="3" width="38.44140625" customWidth="1"/>
    <col min="5" max="5" width="21" customWidth="1"/>
    <col min="6" max="6" width="81.44140625" customWidth="1"/>
    <col min="7" max="7" width="61.109375" customWidth="1"/>
    <col min="8" max="8" width="33.6640625" customWidth="1"/>
  </cols>
  <sheetData>
    <row r="1" spans="1:8">
      <c r="A1" t="s">
        <v>762</v>
      </c>
    </row>
    <row r="2" spans="1:8" ht="15.6">
      <c r="B2" s="1"/>
      <c r="C2" s="2"/>
      <c r="D2" s="179" t="s">
        <v>763</v>
      </c>
      <c r="E2" s="180"/>
      <c r="F2" s="180"/>
      <c r="G2" s="180"/>
      <c r="H2" s="180"/>
    </row>
    <row r="3" spans="1:8" ht="15.6">
      <c r="B3" s="3" t="s">
        <v>730</v>
      </c>
      <c r="C3" s="4" t="s">
        <v>731</v>
      </c>
      <c r="D3" s="5" t="s">
        <v>764</v>
      </c>
      <c r="E3" s="6" t="s">
        <v>765</v>
      </c>
      <c r="F3" s="181" t="s">
        <v>766</v>
      </c>
      <c r="G3" s="182"/>
      <c r="H3" s="183"/>
    </row>
    <row r="4" spans="1:8" ht="15.6">
      <c r="B4" s="184" t="s">
        <v>737</v>
      </c>
      <c r="C4" s="4" t="s">
        <v>767</v>
      </c>
      <c r="D4" s="5">
        <v>64</v>
      </c>
      <c r="E4" s="7">
        <v>28.44</v>
      </c>
      <c r="F4" s="8" t="s">
        <v>768</v>
      </c>
      <c r="G4" s="8" t="s">
        <v>769</v>
      </c>
      <c r="H4" s="8" t="s">
        <v>770</v>
      </c>
    </row>
    <row r="5" spans="1:8" ht="15.6">
      <c r="B5" s="185"/>
      <c r="C5" s="4" t="s">
        <v>771</v>
      </c>
      <c r="D5" s="5">
        <v>64</v>
      </c>
      <c r="E5" s="7">
        <v>28.44</v>
      </c>
      <c r="F5" s="8" t="s">
        <v>768</v>
      </c>
      <c r="G5" s="8" t="s">
        <v>769</v>
      </c>
      <c r="H5" s="8" t="s">
        <v>770</v>
      </c>
    </row>
    <row r="6" spans="1:8" ht="15.6">
      <c r="B6" s="185"/>
      <c r="C6" s="4" t="s">
        <v>741</v>
      </c>
      <c r="D6" s="5">
        <v>64</v>
      </c>
      <c r="E6" s="7" t="s">
        <v>772</v>
      </c>
      <c r="F6" s="8" t="s">
        <v>773</v>
      </c>
      <c r="G6" s="8" t="s">
        <v>769</v>
      </c>
      <c r="H6" s="8" t="s">
        <v>774</v>
      </c>
    </row>
    <row r="7" spans="1:8" ht="15.6">
      <c r="B7" s="185"/>
      <c r="C7" s="4" t="s">
        <v>743</v>
      </c>
      <c r="D7" s="5">
        <v>64</v>
      </c>
      <c r="E7" s="7">
        <v>28.44</v>
      </c>
      <c r="F7" s="8" t="s">
        <v>768</v>
      </c>
      <c r="G7" s="8" t="s">
        <v>769</v>
      </c>
      <c r="H7" s="8" t="s">
        <v>770</v>
      </c>
    </row>
    <row r="8" spans="1:8" ht="15.6">
      <c r="B8" s="185"/>
      <c r="C8" s="4" t="s">
        <v>744</v>
      </c>
      <c r="D8" s="9">
        <v>64</v>
      </c>
      <c r="E8" s="7" t="s">
        <v>772</v>
      </c>
      <c r="F8" s="8" t="s">
        <v>773</v>
      </c>
      <c r="G8" s="8"/>
      <c r="H8" s="8" t="s">
        <v>775</v>
      </c>
    </row>
    <row r="9" spans="1:8" ht="15.6">
      <c r="B9" s="185"/>
      <c r="C9" s="4" t="s">
        <v>776</v>
      </c>
      <c r="D9" s="10">
        <v>64</v>
      </c>
      <c r="E9" s="7">
        <v>28.44</v>
      </c>
      <c r="F9" s="8" t="s">
        <v>768</v>
      </c>
      <c r="G9" s="8" t="s">
        <v>769</v>
      </c>
      <c r="H9" s="8" t="s">
        <v>770</v>
      </c>
    </row>
    <row r="10" spans="1:8" ht="15.6">
      <c r="B10" s="185"/>
      <c r="C10" s="4" t="s">
        <v>747</v>
      </c>
      <c r="D10" s="10">
        <v>64</v>
      </c>
      <c r="E10" s="7">
        <v>32</v>
      </c>
      <c r="F10" s="8"/>
      <c r="G10" s="8" t="s">
        <v>769</v>
      </c>
      <c r="H10" s="8" t="s">
        <v>774</v>
      </c>
    </row>
    <row r="11" spans="1:8" ht="15.6">
      <c r="B11" s="186"/>
      <c r="C11" s="4" t="s">
        <v>748</v>
      </c>
      <c r="D11" s="10">
        <v>64</v>
      </c>
      <c r="E11" s="7">
        <v>32</v>
      </c>
      <c r="F11" s="8"/>
      <c r="G11" s="8" t="s">
        <v>769</v>
      </c>
      <c r="H11" s="8" t="s">
        <v>774</v>
      </c>
    </row>
    <row r="12" spans="1:8" ht="15.6">
      <c r="B12" s="177" t="s">
        <v>749</v>
      </c>
      <c r="C12" s="4" t="s">
        <v>777</v>
      </c>
      <c r="D12" s="10">
        <v>64</v>
      </c>
      <c r="E12" s="7">
        <v>28.44</v>
      </c>
      <c r="F12" s="8" t="s">
        <v>768</v>
      </c>
      <c r="G12" s="8" t="s">
        <v>769</v>
      </c>
      <c r="H12" s="8" t="s">
        <v>778</v>
      </c>
    </row>
    <row r="13" spans="1:8" ht="15.6">
      <c r="B13" s="177"/>
      <c r="C13" s="4" t="s">
        <v>779</v>
      </c>
      <c r="D13" s="10">
        <v>64</v>
      </c>
      <c r="E13" s="7">
        <v>28.44</v>
      </c>
      <c r="F13" s="8" t="s">
        <v>768</v>
      </c>
      <c r="G13" s="8" t="s">
        <v>769</v>
      </c>
      <c r="H13" s="8" t="s">
        <v>778</v>
      </c>
    </row>
    <row r="14" spans="1:8" ht="15.6">
      <c r="B14" s="177"/>
      <c r="C14" s="4" t="s">
        <v>780</v>
      </c>
      <c r="D14" s="9">
        <v>64</v>
      </c>
      <c r="E14" s="7" t="s">
        <v>772</v>
      </c>
      <c r="F14" s="8" t="s">
        <v>773</v>
      </c>
      <c r="G14" s="8"/>
      <c r="H14" s="8" t="s">
        <v>770</v>
      </c>
    </row>
    <row r="15" spans="1:8" ht="15.6">
      <c r="B15" s="177"/>
      <c r="C15" s="4" t="s">
        <v>781</v>
      </c>
      <c r="D15" s="10">
        <v>64</v>
      </c>
      <c r="E15" s="7">
        <v>32</v>
      </c>
      <c r="F15" s="8"/>
      <c r="G15" s="8" t="s">
        <v>769</v>
      </c>
      <c r="H15" s="8" t="s">
        <v>770</v>
      </c>
    </row>
    <row r="16" spans="1:8" ht="15.6">
      <c r="B16" s="11" t="s">
        <v>753</v>
      </c>
      <c r="C16" s="4" t="s">
        <v>738</v>
      </c>
      <c r="D16" s="9">
        <v>32</v>
      </c>
      <c r="E16" s="7">
        <v>32</v>
      </c>
      <c r="F16" s="8"/>
      <c r="G16" s="8"/>
      <c r="H16" s="8"/>
    </row>
    <row r="17" spans="2:8" ht="15.6">
      <c r="B17" s="177" t="s">
        <v>782</v>
      </c>
      <c r="C17" s="4" t="s">
        <v>738</v>
      </c>
      <c r="D17" s="5">
        <v>64</v>
      </c>
      <c r="E17" s="7">
        <v>56.88</v>
      </c>
      <c r="F17" s="8" t="s">
        <v>768</v>
      </c>
      <c r="G17" s="8"/>
      <c r="H17" s="8"/>
    </row>
    <row r="18" spans="2:8" ht="15.6">
      <c r="B18" s="177"/>
      <c r="C18" s="4" t="s">
        <v>743</v>
      </c>
      <c r="D18" s="5">
        <v>64</v>
      </c>
      <c r="E18" s="7">
        <v>56.88</v>
      </c>
      <c r="F18" s="8" t="s">
        <v>768</v>
      </c>
      <c r="G18" s="8"/>
      <c r="H18" s="8"/>
    </row>
    <row r="19" spans="2:8" ht="15.6">
      <c r="B19" s="177"/>
      <c r="C19" s="4" t="s">
        <v>747</v>
      </c>
      <c r="D19" s="5">
        <v>64</v>
      </c>
      <c r="E19" s="7">
        <v>64</v>
      </c>
      <c r="F19" s="8"/>
      <c r="G19" s="8"/>
      <c r="H19" s="8"/>
    </row>
    <row r="20" spans="2:8" ht="15.6">
      <c r="B20" s="177"/>
      <c r="C20" s="4" t="s">
        <v>748</v>
      </c>
      <c r="D20" s="5">
        <v>64</v>
      </c>
      <c r="E20" s="7">
        <v>64</v>
      </c>
      <c r="F20" s="8"/>
      <c r="G20" s="8"/>
      <c r="H20" s="8"/>
    </row>
    <row r="21" spans="2:8" ht="15.6">
      <c r="B21" s="177" t="s">
        <v>771</v>
      </c>
      <c r="C21" s="4" t="s">
        <v>783</v>
      </c>
      <c r="D21" s="9">
        <v>64</v>
      </c>
      <c r="E21" s="7" t="s">
        <v>772</v>
      </c>
      <c r="F21" s="8" t="s">
        <v>773</v>
      </c>
      <c r="G21" s="8" t="s">
        <v>769</v>
      </c>
      <c r="H21" s="8" t="s">
        <v>774</v>
      </c>
    </row>
    <row r="22" spans="2:8" ht="15.6">
      <c r="B22" s="177"/>
      <c r="C22" s="4" t="s">
        <v>784</v>
      </c>
      <c r="D22" s="5">
        <v>64</v>
      </c>
      <c r="E22" s="7">
        <v>28.44</v>
      </c>
      <c r="F22" s="8" t="s">
        <v>768</v>
      </c>
      <c r="G22" s="8" t="s">
        <v>769</v>
      </c>
      <c r="H22" s="8" t="s">
        <v>770</v>
      </c>
    </row>
    <row r="23" spans="2:8" ht="15.6">
      <c r="B23" s="177"/>
      <c r="C23" s="4" t="s">
        <v>785</v>
      </c>
      <c r="D23" s="9">
        <v>32</v>
      </c>
      <c r="E23" s="7">
        <v>16</v>
      </c>
      <c r="F23" s="8" t="s">
        <v>786</v>
      </c>
      <c r="G23" s="8"/>
      <c r="H23" s="8" t="s">
        <v>770</v>
      </c>
    </row>
    <row r="24" spans="2:8" ht="15.6">
      <c r="B24" s="177"/>
      <c r="C24" s="4" t="s">
        <v>787</v>
      </c>
      <c r="D24" s="9">
        <v>32</v>
      </c>
      <c r="E24" s="7">
        <v>16</v>
      </c>
      <c r="F24" s="8" t="s">
        <v>786</v>
      </c>
      <c r="G24" s="8"/>
      <c r="H24" s="8" t="s">
        <v>770</v>
      </c>
    </row>
    <row r="25" spans="2:8" ht="15.6">
      <c r="B25" s="3" t="s">
        <v>758</v>
      </c>
      <c r="C25" s="4" t="s">
        <v>738</v>
      </c>
      <c r="D25" s="10">
        <v>64</v>
      </c>
      <c r="E25" s="7">
        <v>16</v>
      </c>
      <c r="F25" s="8" t="s">
        <v>788</v>
      </c>
      <c r="G25" s="8"/>
      <c r="H25" s="8"/>
    </row>
    <row r="26" spans="2:8" ht="15.6">
      <c r="B26" s="3" t="s">
        <v>789</v>
      </c>
      <c r="C26" s="4" t="s">
        <v>790</v>
      </c>
      <c r="D26" s="10">
        <v>64</v>
      </c>
      <c r="E26" s="7">
        <v>32</v>
      </c>
      <c r="F26" s="8"/>
      <c r="G26" s="8" t="s">
        <v>769</v>
      </c>
      <c r="H26" s="8" t="s">
        <v>770</v>
      </c>
    </row>
    <row r="27" spans="2:8" ht="15.6">
      <c r="B27" s="178" t="s">
        <v>791</v>
      </c>
      <c r="C27" s="4" t="s">
        <v>738</v>
      </c>
      <c r="D27" s="10">
        <v>64</v>
      </c>
      <c r="E27" s="7"/>
      <c r="F27" s="8"/>
      <c r="G27" s="8"/>
      <c r="H27" s="8"/>
    </row>
    <row r="28" spans="2:8" ht="15.6">
      <c r="B28" s="178"/>
      <c r="C28" s="4" t="s">
        <v>743</v>
      </c>
      <c r="D28" s="10">
        <v>64</v>
      </c>
      <c r="E28" s="7"/>
      <c r="F28" s="8"/>
      <c r="G28" s="8"/>
      <c r="H28" s="8"/>
    </row>
    <row r="29" spans="2:8" ht="15.6">
      <c r="B29" s="178"/>
      <c r="C29" s="4" t="s">
        <v>744</v>
      </c>
      <c r="D29" s="10">
        <v>64</v>
      </c>
      <c r="E29" s="7"/>
      <c r="F29" s="8"/>
      <c r="G29" s="8"/>
      <c r="H29" s="8"/>
    </row>
    <row r="30" spans="2:8" ht="15.6">
      <c r="B30" s="3" t="s">
        <v>759</v>
      </c>
      <c r="C30" s="4" t="s">
        <v>738</v>
      </c>
      <c r="D30" s="10">
        <v>64</v>
      </c>
      <c r="E30" s="7">
        <v>28.44</v>
      </c>
      <c r="F30" s="8" t="s">
        <v>768</v>
      </c>
      <c r="G30" s="8" t="s">
        <v>769</v>
      </c>
      <c r="H30" s="8" t="s">
        <v>770</v>
      </c>
    </row>
    <row r="31" spans="2:8" ht="15.6">
      <c r="B31" s="12" t="s">
        <v>761</v>
      </c>
      <c r="C31" s="13" t="s">
        <v>738</v>
      </c>
      <c r="D31" s="10">
        <v>64</v>
      </c>
      <c r="E31" s="7">
        <v>28.44</v>
      </c>
      <c r="F31" s="8" t="s">
        <v>768</v>
      </c>
      <c r="G31" s="8" t="s">
        <v>769</v>
      </c>
      <c r="H31" s="8" t="s">
        <v>770</v>
      </c>
    </row>
  </sheetData>
  <mergeCells count="7">
    <mergeCell ref="B21:B24"/>
    <mergeCell ref="B27:B29"/>
    <mergeCell ref="D2:H2"/>
    <mergeCell ref="F3:H3"/>
    <mergeCell ref="B4:B11"/>
    <mergeCell ref="B12:B15"/>
    <mergeCell ref="B17:B20"/>
  </mergeCells>
  <phoneticPr fontId="3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21</vt:i4>
      </vt:variant>
    </vt:vector>
  </HeadingPairs>
  <TitlesOfParts>
    <vt:vector size="21" baseType="lpstr">
      <vt:lpstr>Rev</vt:lpstr>
      <vt:lpstr>template</vt:lpstr>
      <vt:lpstr>CSR Table</vt:lpstr>
      <vt:lpstr>DMA_tensor（0x000）</vt:lpstr>
      <vt:lpstr>DMA_matrix</vt:lpstr>
      <vt:lpstr>sDMA_matrix</vt:lpstr>
      <vt:lpstr>DMA_masked_select</vt:lpstr>
      <vt:lpstr>sDMA_masked_select </vt:lpstr>
      <vt:lpstr>DMA_general</vt:lpstr>
      <vt:lpstr>sDMA_general</vt:lpstr>
      <vt:lpstr>DMA_nonzero</vt:lpstr>
      <vt:lpstr>sDMA_nonzero</vt:lpstr>
      <vt:lpstr>sDMA_sys</vt:lpstr>
      <vt:lpstr>DMA_gather</vt:lpstr>
      <vt:lpstr>des_v1.0</vt:lpstr>
      <vt:lpstr>DMA_scatter</vt:lpstr>
      <vt:lpstr>DMA_reverse</vt:lpstr>
      <vt:lpstr>DMA_lossy_compress</vt:lpstr>
      <vt:lpstr>DMA_lossy_decompress</vt:lpstr>
      <vt:lpstr>src_dst_mem_type</vt:lpstr>
      <vt:lpstr>典型带宽(待分析)</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高鹏</dc:creator>
  <cp:lastModifiedBy>1</cp:lastModifiedBy>
  <cp:lastPrinted>2017-12-19T06:56:00Z</cp:lastPrinted>
  <dcterms:created xsi:type="dcterms:W3CDTF">2017-05-18T07:39:00Z</dcterms:created>
  <dcterms:modified xsi:type="dcterms:W3CDTF">2025-03-21T03:51:03Z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1628E31786E34AEAA91CA9EC6CE88755_12</vt:lpwstr>
  </property>
  <property fmtid="{D5CDD505-2E9C-101B-9397-08002B2CF9AE}" pid="4" name="5B77E7CEEC58BC6AFAE8886BEB80DBEB">
    <vt:lpwstr>otCYQxs9Dbw2bUEn/Soxv9pYAoWsCRIsU8+gIbxzzmNcJN13+qHIPyWmbF9hFzPHyi2m8DLwi54E5OVVM5pJ0yGmgAiYTaR6oYUdYZxdjep6I9xviFUFZ9aTScfBW9OGp4Zrdv1AQygn98Xf9dCyf5khWghg4ekWaZ05LQLFl8iXCuOEk2Pyp6QFjprOxEDy4c0RjyOexQiztMBB0OBY7WjiUvjSxAeKzGmbxQBvXOqpM3IXKjfKYkCt5bkQ0CK</vt:lpwstr>
  </property>
</Properties>
</file>