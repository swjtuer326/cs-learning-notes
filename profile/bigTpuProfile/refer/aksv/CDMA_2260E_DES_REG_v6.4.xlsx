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Objects="none"/>
  <mc:AlternateContent xmlns:mc="http://schemas.openxmlformats.org/markup-compatibility/2006">
    <mc:Choice Requires="x15">
      <x15ac:absPath xmlns:x15ac="http://schemas.microsoft.com/office/spreadsheetml/2010/11/ac" url="C:\material\book\2260e\C2C\CDMA_spec_reg\"/>
    </mc:Choice>
  </mc:AlternateContent>
  <bookViews>
    <workbookView xWindow="0" yWindow="0" windowWidth="3315" windowHeight="0" tabRatio="895"/>
  </bookViews>
  <sheets>
    <sheet name="Rev" sheetId="7" r:id="rId1"/>
    <sheet name="template" sheetId="17" r:id="rId2"/>
    <sheet name="descriptor updt(0x400)" sheetId="77" r:id="rId3"/>
    <sheet name="wdma_csr(0x1400)" sheetId="80" r:id="rId4"/>
    <sheet name="rdma_csr(0x1800)" sheetId="79" r:id="rId5"/>
    <sheet name="CSR_reg（0x1000）" sheetId="71" r:id="rId6"/>
    <sheet name="CSR_reg（0x1000）备份0218" sheetId="84" r:id="rId7"/>
    <sheet name="CSR（0x1000）" sheetId="18" state="hidden" r:id="rId8"/>
    <sheet name="tcredit（0x800）" sheetId="59" r:id="rId9"/>
    <sheet name="DMA_send（0x000）" sheetId="9" r:id="rId10"/>
    <sheet name="sDMA_matrix" sheetId="30" state="hidden" r:id="rId11"/>
    <sheet name="sDMA_masked_select " sheetId="33" state="hidden" r:id="rId12"/>
    <sheet name="sDMA_general" sheetId="34" state="hidden" r:id="rId13"/>
    <sheet name="sDMA_nonzero" sheetId="40" state="hidden" r:id="rId14"/>
    <sheet name="DMA_read（0x000)" sheetId="66" r:id="rId15"/>
    <sheet name="DMA_write（0x000）" sheetId="70" r:id="rId16"/>
    <sheet name="DMA_gather" sheetId="87" r:id="rId17"/>
    <sheet name="DMA_scatter" sheetId="91" r:id="rId18"/>
    <sheet name="DMA_receive（0x000）" sheetId="63" r:id="rId19"/>
    <sheet name="DMA_remote_msgsend" sheetId="92" r:id="rId20"/>
    <sheet name="DMA_lossy_compress（0x000）" sheetId="65" r:id="rId21"/>
    <sheet name="DMA_lossy_decompress（0x000）" sheetId="67" r:id="rId22"/>
    <sheet name="sDMA_sys" sheetId="47" r:id="rId23"/>
    <sheet name="des_v1.0" sheetId="8" state="hidden" r:id="rId24"/>
    <sheet name="perf_monitor" sheetId="57" r:id="rId25"/>
    <sheet name="链表格式" sheetId="86" r:id="rId26"/>
    <sheet name="src_dst_mem_type" sheetId="24" state="hidden" r:id="rId27"/>
    <sheet name="典型带宽(待分析)" sheetId="25" state="hidden" r:id="rId28"/>
  </sheets>
  <calcPr calcId="162913"/>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4" i="92" l="1"/>
  <c r="F4" i="92" s="1"/>
  <c r="E3" i="92"/>
  <c r="G3" i="92" s="1"/>
  <c r="C2" i="92"/>
  <c r="I6" i="92"/>
  <c r="I8" i="92"/>
  <c r="I2" i="92"/>
  <c r="D4" i="92"/>
  <c r="I19" i="9"/>
  <c r="I17" i="92"/>
  <c r="D5" i="92"/>
  <c r="G4" i="92" l="1"/>
  <c r="C5" i="92"/>
  <c r="E2" i="92"/>
  <c r="G2" i="92" s="1"/>
  <c r="F3" i="92"/>
  <c r="E4" i="91"/>
  <c r="F4" i="91" s="1"/>
  <c r="E3" i="91"/>
  <c r="G3" i="91" s="1"/>
  <c r="C2" i="91"/>
  <c r="E2" i="91" s="1"/>
  <c r="G2" i="91" s="1"/>
  <c r="E4" i="87"/>
  <c r="F4" i="87" s="1"/>
  <c r="E3" i="87"/>
  <c r="G3" i="87" s="1"/>
  <c r="C2" i="87"/>
  <c r="I13" i="63"/>
  <c r="I18" i="9"/>
  <c r="I16" i="63"/>
  <c r="I12" i="66"/>
  <c r="I16" i="9"/>
  <c r="I11" i="63"/>
  <c r="I6" i="91"/>
  <c r="I8" i="91"/>
  <c r="I4" i="70"/>
  <c r="I14" i="63"/>
  <c r="I14" i="9"/>
  <c r="I15" i="9"/>
  <c r="I15" i="63"/>
  <c r="D4" i="87"/>
  <c r="I12" i="63"/>
  <c r="I6" i="87"/>
  <c r="I18" i="63"/>
  <c r="D5" i="91"/>
  <c r="D4" i="91"/>
  <c r="I12" i="9"/>
  <c r="I4" i="66"/>
  <c r="D5" i="87"/>
  <c r="I17" i="63"/>
  <c r="I2" i="91"/>
  <c r="I2" i="87"/>
  <c r="D6" i="92"/>
  <c r="I13" i="9"/>
  <c r="I16" i="87"/>
  <c r="I17" i="9"/>
  <c r="I16" i="91"/>
  <c r="I8" i="87"/>
  <c r="C6" i="92" l="1"/>
  <c r="F2" i="92"/>
  <c r="E5" i="92"/>
  <c r="G5" i="92" s="1"/>
  <c r="C5" i="91"/>
  <c r="G4" i="91"/>
  <c r="F3" i="91"/>
  <c r="F2" i="91"/>
  <c r="C5" i="87"/>
  <c r="G4" i="87"/>
  <c r="E2" i="87"/>
  <c r="G2" i="87" s="1"/>
  <c r="F3" i="87"/>
  <c r="D6" i="87"/>
  <c r="D6" i="91"/>
  <c r="D7" i="92"/>
  <c r="C7" i="92" l="1"/>
  <c r="F5" i="92"/>
  <c r="E6" i="92"/>
  <c r="G6" i="92" s="1"/>
  <c r="C6" i="91"/>
  <c r="E5" i="91"/>
  <c r="G5" i="91" s="1"/>
  <c r="C6" i="87"/>
  <c r="F2" i="87"/>
  <c r="E5" i="87"/>
  <c r="G5" i="87" s="1"/>
  <c r="D7" i="91"/>
  <c r="D8" i="92"/>
  <c r="C8" i="92" l="1"/>
  <c r="F6" i="92"/>
  <c r="E7" i="92"/>
  <c r="G7" i="92" s="1"/>
  <c r="C7" i="91"/>
  <c r="F5" i="91"/>
  <c r="E6" i="91"/>
  <c r="G6" i="91" s="1"/>
  <c r="F5" i="87"/>
  <c r="E6" i="87"/>
  <c r="G6" i="87" s="1"/>
  <c r="D9" i="92"/>
  <c r="D7" i="87"/>
  <c r="D8" i="91"/>
  <c r="C9" i="92" l="1"/>
  <c r="E8" i="92"/>
  <c r="G8" i="92" s="1"/>
  <c r="F7" i="92"/>
  <c r="C8" i="91"/>
  <c r="E7" i="91"/>
  <c r="G7" i="91" s="1"/>
  <c r="C7" i="87"/>
  <c r="F6" i="91"/>
  <c r="F6" i="87"/>
  <c r="D10" i="92"/>
  <c r="D9" i="91"/>
  <c r="D8" i="87"/>
  <c r="C9" i="91" l="1"/>
  <c r="C10" i="92"/>
  <c r="F8" i="92"/>
  <c r="E9" i="92"/>
  <c r="G9" i="92" s="1"/>
  <c r="F7" i="91"/>
  <c r="E8" i="91"/>
  <c r="G8" i="91" s="1"/>
  <c r="C8" i="87"/>
  <c r="E8" i="87" s="1"/>
  <c r="G8" i="87" s="1"/>
  <c r="E7" i="87"/>
  <c r="G7" i="87" s="1"/>
  <c r="D10" i="91"/>
  <c r="D9" i="87"/>
  <c r="D11" i="92"/>
  <c r="C10" i="91" l="1"/>
  <c r="E10" i="91" s="1"/>
  <c r="G10" i="91" s="1"/>
  <c r="E9" i="91"/>
  <c r="G9" i="91" s="1"/>
  <c r="C11" i="92"/>
  <c r="F9" i="92"/>
  <c r="E10" i="92"/>
  <c r="G10" i="92" s="1"/>
  <c r="F8" i="91"/>
  <c r="C9" i="87"/>
  <c r="E9" i="87" s="1"/>
  <c r="G9" i="87" s="1"/>
  <c r="F7" i="87"/>
  <c r="F8" i="87"/>
  <c r="D11" i="91"/>
  <c r="D12" i="92"/>
  <c r="D10" i="87"/>
  <c r="C11" i="91" l="1"/>
  <c r="E11" i="91" s="1"/>
  <c r="G11" i="91" s="1"/>
  <c r="F9" i="91"/>
  <c r="C12" i="92"/>
  <c r="F10" i="92"/>
  <c r="E11" i="92"/>
  <c r="G11" i="92" s="1"/>
  <c r="C10" i="87"/>
  <c r="F10" i="91"/>
  <c r="F9" i="87"/>
  <c r="D13" i="92"/>
  <c r="D11" i="87"/>
  <c r="D12" i="91"/>
  <c r="C12" i="91" l="1"/>
  <c r="C13" i="92"/>
  <c r="F11" i="92"/>
  <c r="E12" i="92"/>
  <c r="G12" i="92" s="1"/>
  <c r="F11" i="91"/>
  <c r="E10" i="87"/>
  <c r="G10" i="87" s="1"/>
  <c r="C11" i="87"/>
  <c r="E11" i="87" s="1"/>
  <c r="G11" i="87" s="1"/>
  <c r="D14" i="92"/>
  <c r="D12" i="87"/>
  <c r="D13" i="91"/>
  <c r="C13" i="91" l="1"/>
  <c r="E12" i="91"/>
  <c r="C14" i="92"/>
  <c r="E13" i="92"/>
  <c r="G13" i="92" s="1"/>
  <c r="F12" i="92"/>
  <c r="F10" i="87"/>
  <c r="C12" i="87"/>
  <c r="E12" i="87" s="1"/>
  <c r="F11" i="87"/>
  <c r="D14" i="91"/>
  <c r="D13" i="87"/>
  <c r="D15" i="92"/>
  <c r="C14" i="91" l="1"/>
  <c r="G12" i="91"/>
  <c r="F12" i="91"/>
  <c r="E13" i="91"/>
  <c r="C15" i="92"/>
  <c r="E15" i="92" s="1"/>
  <c r="G15" i="92" s="1"/>
  <c r="E14" i="92"/>
  <c r="G14" i="92" s="1"/>
  <c r="F13" i="92"/>
  <c r="C13" i="87"/>
  <c r="E13" i="87" s="1"/>
  <c r="G12" i="87"/>
  <c r="F12" i="87"/>
  <c r="D15" i="91"/>
  <c r="D14" i="87"/>
  <c r="D16" i="92"/>
  <c r="C15" i="91" l="1"/>
  <c r="G13" i="91"/>
  <c r="F13" i="91"/>
  <c r="E14" i="91"/>
  <c r="C16" i="92"/>
  <c r="F14" i="92"/>
  <c r="F15" i="92"/>
  <c r="C14" i="87"/>
  <c r="E14" i="87" s="1"/>
  <c r="G13" i="87"/>
  <c r="F13" i="87"/>
  <c r="D15" i="87"/>
  <c r="D16" i="91"/>
  <c r="D17" i="92"/>
  <c r="C16" i="91" l="1"/>
  <c r="G14" i="91"/>
  <c r="F14" i="91"/>
  <c r="E15" i="91"/>
  <c r="E16" i="92"/>
  <c r="G16" i="92" s="1"/>
  <c r="C17" i="92"/>
  <c r="C15" i="87"/>
  <c r="E15" i="87" s="1"/>
  <c r="G14" i="87"/>
  <c r="F14" i="87"/>
  <c r="D17" i="91"/>
  <c r="D18" i="92"/>
  <c r="D16" i="87"/>
  <c r="C17" i="91" l="1"/>
  <c r="G15" i="91"/>
  <c r="F15" i="91"/>
  <c r="E16" i="91"/>
  <c r="F16" i="92"/>
  <c r="C18" i="92"/>
  <c r="E17" i="92"/>
  <c r="G17" i="92" s="1"/>
  <c r="C16" i="87"/>
  <c r="E16" i="87" s="1"/>
  <c r="G15" i="87"/>
  <c r="F15" i="87"/>
  <c r="D18" i="91"/>
  <c r="D19" i="92"/>
  <c r="D17" i="87"/>
  <c r="C18" i="91" l="1"/>
  <c r="G16" i="91"/>
  <c r="F16" i="91"/>
  <c r="E17" i="91"/>
  <c r="C19" i="92"/>
  <c r="F17" i="92"/>
  <c r="E18" i="92"/>
  <c r="C17" i="87"/>
  <c r="E17" i="87" s="1"/>
  <c r="G16" i="87"/>
  <c r="F16" i="87"/>
  <c r="D19" i="91"/>
  <c r="D20" i="92"/>
  <c r="D18" i="87"/>
  <c r="C19" i="91" l="1"/>
  <c r="G17" i="91"/>
  <c r="F17" i="91"/>
  <c r="E18" i="91"/>
  <c r="C20" i="92"/>
  <c r="G18" i="92"/>
  <c r="F18" i="92"/>
  <c r="E19" i="92"/>
  <c r="C18" i="87"/>
  <c r="E18" i="87" s="1"/>
  <c r="G17" i="87"/>
  <c r="F17" i="87"/>
  <c r="D21" i="92"/>
  <c r="D20" i="91"/>
  <c r="D19" i="87"/>
  <c r="C20" i="91" l="1"/>
  <c r="G18" i="91"/>
  <c r="F18" i="91"/>
  <c r="E19" i="91"/>
  <c r="C21" i="92"/>
  <c r="G19" i="92"/>
  <c r="F19" i="92"/>
  <c r="E20" i="92"/>
  <c r="C19" i="87"/>
  <c r="E19" i="87" s="1"/>
  <c r="G18" i="87"/>
  <c r="F18" i="87"/>
  <c r="D22" i="92"/>
  <c r="D20" i="87"/>
  <c r="D21" i="91"/>
  <c r="C21" i="91" l="1"/>
  <c r="G19" i="91"/>
  <c r="F19" i="91"/>
  <c r="E20" i="91"/>
  <c r="C22" i="92"/>
  <c r="G20" i="92"/>
  <c r="F20" i="92"/>
  <c r="E21" i="92"/>
  <c r="C20" i="87"/>
  <c r="E20" i="87" s="1"/>
  <c r="G19" i="87"/>
  <c r="F19" i="87"/>
  <c r="D22" i="91"/>
  <c r="D21" i="87"/>
  <c r="D23" i="92"/>
  <c r="C22" i="91" l="1"/>
  <c r="G20" i="91"/>
  <c r="F20" i="91"/>
  <c r="E21" i="91"/>
  <c r="C23" i="92"/>
  <c r="G21" i="92"/>
  <c r="F21" i="92"/>
  <c r="E22" i="92"/>
  <c r="C21" i="87"/>
  <c r="E21" i="87" s="1"/>
  <c r="G20" i="87"/>
  <c r="F20" i="87"/>
  <c r="D24" i="92"/>
  <c r="D22" i="87"/>
  <c r="D23" i="91"/>
  <c r="C23" i="91" l="1"/>
  <c r="G21" i="91"/>
  <c r="F21" i="91"/>
  <c r="E22" i="91"/>
  <c r="C24" i="92"/>
  <c r="G22" i="92"/>
  <c r="F22" i="92"/>
  <c r="E23" i="92"/>
  <c r="C22" i="87"/>
  <c r="G21" i="87"/>
  <c r="F21" i="87"/>
  <c r="D25" i="92"/>
  <c r="D24" i="91"/>
  <c r="C24" i="91" l="1"/>
  <c r="G22" i="91"/>
  <c r="F22" i="91"/>
  <c r="E23" i="91"/>
  <c r="C25" i="92"/>
  <c r="G23" i="92"/>
  <c r="F23" i="92"/>
  <c r="E24" i="92"/>
  <c r="E22" i="87"/>
  <c r="G22" i="87" s="1"/>
  <c r="D25" i="91"/>
  <c r="D26" i="92"/>
  <c r="C25" i="91" l="1"/>
  <c r="G23" i="91"/>
  <c r="F23" i="91"/>
  <c r="E24" i="91"/>
  <c r="C26" i="92"/>
  <c r="G24" i="92"/>
  <c r="F24" i="92"/>
  <c r="E25" i="92"/>
  <c r="E25" i="91"/>
  <c r="F22" i="87"/>
  <c r="D27" i="92"/>
  <c r="G24" i="91" l="1"/>
  <c r="F24" i="91"/>
  <c r="C27" i="92"/>
  <c r="E27" i="92" s="1"/>
  <c r="G27" i="92" s="1"/>
  <c r="G25" i="92"/>
  <c r="F25" i="92"/>
  <c r="E26" i="92"/>
  <c r="G25" i="91"/>
  <c r="F25" i="91"/>
  <c r="D26" i="91"/>
  <c r="D28" i="92"/>
  <c r="C26" i="91" l="1"/>
  <c r="E26" i="91" s="1"/>
  <c r="C28" i="92"/>
  <c r="E28" i="92" s="1"/>
  <c r="G28" i="92" s="1"/>
  <c r="G26" i="92"/>
  <c r="F26" i="92"/>
  <c r="F27" i="92"/>
  <c r="I6" i="63"/>
  <c r="I6" i="70"/>
  <c r="D27" i="91"/>
  <c r="C27" i="91" l="1"/>
  <c r="E27" i="91" s="1"/>
  <c r="G27" i="91" s="1"/>
  <c r="F28" i="92"/>
  <c r="G26" i="91"/>
  <c r="F26" i="91"/>
  <c r="J119" i="79"/>
  <c r="J118" i="79"/>
  <c r="J117" i="79"/>
  <c r="J116" i="79"/>
  <c r="J115" i="79"/>
  <c r="J114" i="79"/>
  <c r="J113" i="79"/>
  <c r="J112" i="79"/>
  <c r="J111" i="79"/>
  <c r="J110" i="79"/>
  <c r="J109" i="79"/>
  <c r="J108" i="79"/>
  <c r="J107" i="79"/>
  <c r="J106" i="79"/>
  <c r="J105" i="79"/>
  <c r="J104" i="79"/>
  <c r="J103" i="79"/>
  <c r="J102" i="79"/>
  <c r="J101" i="79"/>
  <c r="J100" i="79"/>
  <c r="J99" i="79"/>
  <c r="J98" i="79"/>
  <c r="J97" i="79"/>
  <c r="J96" i="79"/>
  <c r="J95" i="79"/>
  <c r="J94" i="79"/>
  <c r="J93" i="79"/>
  <c r="J92" i="79"/>
  <c r="J91" i="79"/>
  <c r="J90" i="79"/>
  <c r="J89" i="79"/>
  <c r="J88" i="79"/>
  <c r="J87" i="79"/>
  <c r="J86" i="79"/>
  <c r="J85" i="79"/>
  <c r="J84" i="79"/>
  <c r="J83" i="79"/>
  <c r="J82" i="79"/>
  <c r="J81" i="79"/>
  <c r="J80" i="79"/>
  <c r="J79" i="79"/>
  <c r="J78" i="79"/>
  <c r="J77" i="79"/>
  <c r="J76" i="79"/>
  <c r="J75" i="79"/>
  <c r="J74" i="79"/>
  <c r="J73" i="79"/>
  <c r="J72" i="79"/>
  <c r="J71" i="79"/>
  <c r="J70" i="79"/>
  <c r="J69" i="79"/>
  <c r="J68" i="79"/>
  <c r="J67" i="79"/>
  <c r="J66" i="79"/>
  <c r="J65" i="79"/>
  <c r="J64" i="79"/>
  <c r="J63" i="79"/>
  <c r="J62" i="79"/>
  <c r="J61" i="79"/>
  <c r="J60" i="79"/>
  <c r="J59" i="79"/>
  <c r="J58" i="79"/>
  <c r="J57" i="79"/>
  <c r="J56" i="79"/>
  <c r="J55" i="79"/>
  <c r="J54" i="79"/>
  <c r="J53" i="79"/>
  <c r="J52" i="79"/>
  <c r="J51" i="79"/>
  <c r="J50" i="79"/>
  <c r="J49" i="79"/>
  <c r="J48" i="79"/>
  <c r="J47" i="79"/>
  <c r="J46" i="79"/>
  <c r="J45" i="79"/>
  <c r="J44" i="79"/>
  <c r="J43" i="79"/>
  <c r="J42" i="79"/>
  <c r="J41" i="79"/>
  <c r="J40" i="79"/>
  <c r="J39" i="79"/>
  <c r="J38" i="79"/>
  <c r="J37" i="79"/>
  <c r="J32" i="79"/>
  <c r="J31" i="79"/>
  <c r="J30" i="79"/>
  <c r="J29" i="79"/>
  <c r="J28" i="79"/>
  <c r="J27" i="79"/>
  <c r="J26" i="79"/>
  <c r="J25" i="79"/>
  <c r="J24" i="79"/>
  <c r="J23" i="79"/>
  <c r="J104" i="80"/>
  <c r="J103" i="80"/>
  <c r="J102" i="80"/>
  <c r="J101" i="80"/>
  <c r="J100" i="80"/>
  <c r="J99" i="80"/>
  <c r="J98" i="80"/>
  <c r="J97" i="80"/>
  <c r="J96" i="80"/>
  <c r="J95" i="80"/>
  <c r="J94" i="80"/>
  <c r="J93" i="80"/>
  <c r="J92" i="80"/>
  <c r="J91" i="80"/>
  <c r="J90" i="80"/>
  <c r="J89" i="80"/>
  <c r="J88" i="80"/>
  <c r="J87" i="80"/>
  <c r="J86" i="80"/>
  <c r="J85" i="80"/>
  <c r="J84" i="80"/>
  <c r="J83" i="80"/>
  <c r="J82" i="80"/>
  <c r="J81" i="80"/>
  <c r="J80" i="80"/>
  <c r="J79" i="80"/>
  <c r="J78" i="80"/>
  <c r="J77" i="80"/>
  <c r="J76" i="80"/>
  <c r="J75" i="80"/>
  <c r="J74" i="80"/>
  <c r="J73" i="80"/>
  <c r="J72" i="80"/>
  <c r="J71" i="80"/>
  <c r="J70" i="80"/>
  <c r="J69" i="80"/>
  <c r="J68" i="80"/>
  <c r="J67" i="80"/>
  <c r="J66" i="80"/>
  <c r="J65" i="80"/>
  <c r="J64" i="80"/>
  <c r="J63" i="80"/>
  <c r="J62" i="80"/>
  <c r="J61" i="80"/>
  <c r="J60" i="80"/>
  <c r="J59" i="80"/>
  <c r="J58" i="80"/>
  <c r="J57" i="80"/>
  <c r="J56" i="80"/>
  <c r="J55" i="80"/>
  <c r="J54" i="80"/>
  <c r="J53" i="80"/>
  <c r="J52" i="80"/>
  <c r="J51" i="80"/>
  <c r="J50" i="80"/>
  <c r="J49" i="80"/>
  <c r="J48" i="80"/>
  <c r="J47" i="80"/>
  <c r="J46" i="80"/>
  <c r="J45" i="80"/>
  <c r="J44" i="80"/>
  <c r="J43" i="80"/>
  <c r="J42" i="80"/>
  <c r="J41" i="80"/>
  <c r="J40" i="80"/>
  <c r="J39" i="80"/>
  <c r="J38" i="80"/>
  <c r="J37" i="80"/>
  <c r="J36" i="80"/>
  <c r="J35" i="80"/>
  <c r="J34" i="80"/>
  <c r="J33" i="80"/>
  <c r="J32" i="80"/>
  <c r="J31" i="80"/>
  <c r="J30" i="80"/>
  <c r="J29" i="80"/>
  <c r="J28" i="80"/>
  <c r="J27" i="80"/>
  <c r="J26" i="80"/>
  <c r="J25" i="80"/>
  <c r="J24" i="80"/>
  <c r="J23" i="80"/>
  <c r="J22" i="80"/>
  <c r="J21" i="80"/>
  <c r="J19" i="80"/>
  <c r="I9" i="9"/>
  <c r="F27" i="91" l="1"/>
  <c r="D23" i="87"/>
  <c r="C23" i="87" l="1"/>
  <c r="E23" i="87" s="1"/>
  <c r="G23" i="87" s="1"/>
  <c r="G21" i="65"/>
  <c r="C21" i="65"/>
  <c r="F21" i="65" s="1"/>
  <c r="D24" i="87"/>
  <c r="I9" i="66"/>
  <c r="C24" i="87" l="1"/>
  <c r="E24" i="87" s="1"/>
  <c r="G24" i="87" s="1"/>
  <c r="F23" i="87"/>
  <c r="I14" i="67"/>
  <c r="I13" i="67"/>
  <c r="I9" i="65"/>
  <c r="I3" i="67"/>
  <c r="I12" i="67"/>
  <c r="D3" i="67"/>
  <c r="F24" i="87" l="1"/>
  <c r="C3" i="67"/>
  <c r="E3" i="67" l="1"/>
  <c r="G3" i="67" s="1"/>
  <c r="F3" i="67" l="1"/>
  <c r="C2" i="70" l="1"/>
  <c r="E2" i="70" s="1"/>
  <c r="I22" i="65"/>
  <c r="I17" i="65"/>
  <c r="I15" i="67"/>
  <c r="I22" i="67"/>
  <c r="I17" i="67"/>
  <c r="I16" i="65"/>
  <c r="I13" i="65"/>
  <c r="I3" i="70"/>
  <c r="I15" i="65"/>
  <c r="I12" i="65"/>
  <c r="I3" i="65"/>
  <c r="I20" i="67"/>
  <c r="I14" i="65"/>
  <c r="I16" i="67"/>
  <c r="D3" i="70"/>
  <c r="I2" i="70"/>
  <c r="I20" i="65"/>
  <c r="C3" i="70" l="1"/>
  <c r="G2" i="70"/>
  <c r="F2" i="70"/>
  <c r="C2" i="67"/>
  <c r="E2" i="67" s="1"/>
  <c r="G2" i="67" s="1"/>
  <c r="C2" i="66"/>
  <c r="E2" i="66" s="1"/>
  <c r="I3" i="66"/>
  <c r="I2" i="67"/>
  <c r="I7" i="9"/>
  <c r="I6" i="66"/>
  <c r="I9" i="67"/>
  <c r="I4" i="67"/>
  <c r="I6" i="67"/>
  <c r="D3" i="66"/>
  <c r="I2" i="66"/>
  <c r="I5" i="47"/>
  <c r="D4" i="70"/>
  <c r="I10" i="67"/>
  <c r="I4" i="9"/>
  <c r="C4" i="70" l="1"/>
  <c r="E3" i="70"/>
  <c r="G3" i="70" s="1"/>
  <c r="F2" i="67"/>
  <c r="C3" i="66"/>
  <c r="G2" i="66"/>
  <c r="F2" i="66"/>
  <c r="C2" i="65"/>
  <c r="C2" i="63"/>
  <c r="E2" i="63" s="1"/>
  <c r="C2" i="59"/>
  <c r="I10" i="33"/>
  <c r="I13" i="33"/>
  <c r="I20" i="33"/>
  <c r="I6" i="40"/>
  <c r="I10" i="9"/>
  <c r="I3" i="40"/>
  <c r="I10" i="34"/>
  <c r="I11" i="34"/>
  <c r="I7" i="33"/>
  <c r="I2" i="47"/>
  <c r="I22" i="40"/>
  <c r="I16" i="30"/>
  <c r="I13" i="34"/>
  <c r="I15" i="30"/>
  <c r="I34" i="30"/>
  <c r="I3" i="63"/>
  <c r="I14" i="34"/>
  <c r="I16" i="34"/>
  <c r="D3" i="65"/>
  <c r="I13" i="40"/>
  <c r="I10" i="40"/>
  <c r="I15" i="33"/>
  <c r="I2" i="63"/>
  <c r="I29" i="30"/>
  <c r="I30" i="33"/>
  <c r="I12" i="30"/>
  <c r="I28" i="30"/>
  <c r="I26" i="40"/>
  <c r="I6" i="34"/>
  <c r="I22" i="33"/>
  <c r="I6" i="9"/>
  <c r="I8" i="33"/>
  <c r="I9" i="30"/>
  <c r="I9" i="33"/>
  <c r="I5" i="33"/>
  <c r="I27" i="34"/>
  <c r="I30" i="30"/>
  <c r="I33" i="30"/>
  <c r="I2" i="65"/>
  <c r="I2" i="30"/>
  <c r="I23" i="34"/>
  <c r="I5" i="34"/>
  <c r="I21" i="34"/>
  <c r="I24" i="34"/>
  <c r="I11" i="33"/>
  <c r="I6" i="65"/>
  <c r="I26" i="33"/>
  <c r="I11" i="40"/>
  <c r="I5" i="30"/>
  <c r="I27" i="30"/>
  <c r="I12" i="33"/>
  <c r="D4" i="67"/>
  <c r="I30" i="40"/>
  <c r="I8" i="34"/>
  <c r="I27" i="40"/>
  <c r="I26" i="34"/>
  <c r="I2" i="34"/>
  <c r="I14" i="33"/>
  <c r="I29" i="33"/>
  <c r="I11" i="30"/>
  <c r="I33" i="33"/>
  <c r="I3" i="34"/>
  <c r="D3" i="63"/>
  <c r="I24" i="33"/>
  <c r="I3" i="9"/>
  <c r="I2" i="9"/>
  <c r="I28" i="33"/>
  <c r="I25" i="40"/>
  <c r="I6" i="33"/>
  <c r="I4" i="30"/>
  <c r="I14" i="40"/>
  <c r="I31" i="30"/>
  <c r="I4" i="65"/>
  <c r="I25" i="34"/>
  <c r="D4" i="66"/>
  <c r="I29" i="40"/>
  <c r="I3" i="30"/>
  <c r="D3" i="59"/>
  <c r="I13" i="30"/>
  <c r="I6" i="30"/>
  <c r="I28" i="40"/>
  <c r="I19" i="34"/>
  <c r="I24" i="40"/>
  <c r="I9" i="34"/>
  <c r="I20" i="40"/>
  <c r="I4" i="34"/>
  <c r="I16" i="40"/>
  <c r="I23" i="33"/>
  <c r="I8" i="30"/>
  <c r="I28" i="34"/>
  <c r="I7" i="30"/>
  <c r="I21" i="40"/>
  <c r="I4" i="33"/>
  <c r="I10" i="65"/>
  <c r="I18" i="33"/>
  <c r="I3" i="33"/>
  <c r="I17" i="34"/>
  <c r="I7" i="34"/>
  <c r="I9" i="63"/>
  <c r="I15" i="40"/>
  <c r="I25" i="33"/>
  <c r="I22" i="34"/>
  <c r="I10" i="30"/>
  <c r="I14" i="30"/>
  <c r="I15" i="34"/>
  <c r="I7" i="40"/>
  <c r="I8" i="40"/>
  <c r="I18" i="34"/>
  <c r="D5" i="70"/>
  <c r="I32" i="33"/>
  <c r="I9" i="40"/>
  <c r="I17" i="40"/>
  <c r="I31" i="33"/>
  <c r="I12" i="40"/>
  <c r="I23" i="40"/>
  <c r="I16" i="33"/>
  <c r="I21" i="33"/>
  <c r="I19" i="40"/>
  <c r="I17" i="33"/>
  <c r="I19" i="33"/>
  <c r="I2" i="40"/>
  <c r="I12" i="34"/>
  <c r="I26" i="30"/>
  <c r="I4" i="40"/>
  <c r="I2" i="33"/>
  <c r="I18" i="40"/>
  <c r="I5" i="40"/>
  <c r="I27" i="33"/>
  <c r="C3" i="65" l="1"/>
  <c r="C5" i="70"/>
  <c r="F3" i="70"/>
  <c r="E4" i="70"/>
  <c r="G4" i="70" s="1"/>
  <c r="C4" i="67"/>
  <c r="C4" i="66"/>
  <c r="E3" i="66"/>
  <c r="G3" i="66" s="1"/>
  <c r="E2" i="65"/>
  <c r="G2" i="65" s="1"/>
  <c r="C3" i="63"/>
  <c r="G2" i="63"/>
  <c r="F2" i="63"/>
  <c r="C3" i="59"/>
  <c r="E2" i="59"/>
  <c r="G2" i="59" s="1"/>
  <c r="C2" i="47"/>
  <c r="D4" i="65"/>
  <c r="D3" i="47"/>
  <c r="D5" i="67"/>
  <c r="D5" i="66"/>
  <c r="D4" i="59"/>
  <c r="E3" i="65" l="1"/>
  <c r="G3" i="65" s="1"/>
  <c r="C5" i="67"/>
  <c r="E5" i="70"/>
  <c r="G5" i="70" s="1"/>
  <c r="C5" i="66"/>
  <c r="F4" i="70"/>
  <c r="E4" i="67"/>
  <c r="G4" i="67" s="1"/>
  <c r="C3" i="47"/>
  <c r="F3" i="66"/>
  <c r="E4" i="66"/>
  <c r="G4" i="66" s="1"/>
  <c r="C4" i="65"/>
  <c r="F2" i="65"/>
  <c r="E3" i="63"/>
  <c r="G3" i="63" s="1"/>
  <c r="C4" i="59"/>
  <c r="E3" i="59"/>
  <c r="G3" i="59" s="1"/>
  <c r="F2" i="59"/>
  <c r="E2" i="47"/>
  <c r="G2" i="47" s="1"/>
  <c r="D6" i="70"/>
  <c r="D5" i="59"/>
  <c r="D4" i="63"/>
  <c r="D5" i="65"/>
  <c r="D4" i="47"/>
  <c r="D6" i="67"/>
  <c r="D6" i="66"/>
  <c r="F3" i="65" l="1"/>
  <c r="C4" i="47"/>
  <c r="E5" i="67"/>
  <c r="G5" i="67" s="1"/>
  <c r="C5" i="65"/>
  <c r="F5" i="70"/>
  <c r="C6" i="70"/>
  <c r="E6" i="70" s="1"/>
  <c r="G6" i="70" s="1"/>
  <c r="E5" i="66"/>
  <c r="G5" i="66" s="1"/>
  <c r="C6" i="67"/>
  <c r="F4" i="67"/>
  <c r="E3" i="47"/>
  <c r="G3" i="47" s="1"/>
  <c r="C6" i="66"/>
  <c r="F4" i="66"/>
  <c r="E4" i="65"/>
  <c r="G4" i="65" s="1"/>
  <c r="C4" i="63"/>
  <c r="F3" i="63"/>
  <c r="C5" i="59"/>
  <c r="E4" i="59"/>
  <c r="G4" i="59" s="1"/>
  <c r="F3" i="59"/>
  <c r="F2" i="47"/>
  <c r="D6" i="65"/>
  <c r="D7" i="67"/>
  <c r="D5" i="63"/>
  <c r="D6" i="59"/>
  <c r="D7" i="70"/>
  <c r="D7" i="66"/>
  <c r="E4" i="47" l="1"/>
  <c r="G4" i="47" s="1"/>
  <c r="F5" i="67"/>
  <c r="E5" i="65"/>
  <c r="G5" i="65" s="1"/>
  <c r="C5" i="63"/>
  <c r="C7" i="70"/>
  <c r="E7" i="70" s="1"/>
  <c r="G7" i="70" s="1"/>
  <c r="F5" i="66"/>
  <c r="F6" i="70"/>
  <c r="C7" i="67"/>
  <c r="E6" i="67"/>
  <c r="G6" i="67" s="1"/>
  <c r="F3" i="47"/>
  <c r="C7" i="66"/>
  <c r="E6" i="66"/>
  <c r="G6" i="66" s="1"/>
  <c r="C6" i="65"/>
  <c r="F4" i="65"/>
  <c r="E4" i="63"/>
  <c r="G4" i="63" s="1"/>
  <c r="C6" i="59"/>
  <c r="E5" i="59"/>
  <c r="G5" i="59" s="1"/>
  <c r="F4" i="59"/>
  <c r="D8" i="70"/>
  <c r="D7" i="59"/>
  <c r="D6" i="63"/>
  <c r="D7" i="65"/>
  <c r="D8" i="67"/>
  <c r="D8" i="66"/>
  <c r="C8" i="66" l="1"/>
  <c r="F4" i="47"/>
  <c r="F5" i="65"/>
  <c r="E5" i="63"/>
  <c r="G5" i="63" s="1"/>
  <c r="C6" i="63"/>
  <c r="E6" i="63" s="1"/>
  <c r="G6" i="63" s="1"/>
  <c r="C8" i="70"/>
  <c r="F7" i="70"/>
  <c r="C8" i="67"/>
  <c r="F6" i="67"/>
  <c r="E7" i="67"/>
  <c r="G7" i="67" s="1"/>
  <c r="F6" i="66"/>
  <c r="E7" i="66"/>
  <c r="G7" i="66" s="1"/>
  <c r="C7" i="65"/>
  <c r="E6" i="65"/>
  <c r="G6" i="65" s="1"/>
  <c r="F4" i="63"/>
  <c r="F5" i="59"/>
  <c r="C7" i="59"/>
  <c r="E6" i="59"/>
  <c r="G6" i="59" s="1"/>
  <c r="D9" i="66"/>
  <c r="D8" i="65"/>
  <c r="D9" i="70"/>
  <c r="D8" i="59"/>
  <c r="D9" i="67"/>
  <c r="D7" i="63"/>
  <c r="C9" i="70" l="1"/>
  <c r="E8" i="70"/>
  <c r="G8" i="70" s="1"/>
  <c r="E8" i="66"/>
  <c r="G8" i="66" s="1"/>
  <c r="F5" i="63"/>
  <c r="C7" i="63"/>
  <c r="E7" i="63" s="1"/>
  <c r="G7" i="63" s="1"/>
  <c r="C9" i="67"/>
  <c r="F7" i="67"/>
  <c r="E8" i="67"/>
  <c r="G8" i="67" s="1"/>
  <c r="C8" i="65"/>
  <c r="F7" i="66"/>
  <c r="C9" i="66"/>
  <c r="F6" i="65"/>
  <c r="E7" i="65"/>
  <c r="G7" i="65" s="1"/>
  <c r="F6" i="63"/>
  <c r="C8" i="59"/>
  <c r="E7" i="59"/>
  <c r="G7" i="59" s="1"/>
  <c r="F6" i="59"/>
  <c r="D9" i="59"/>
  <c r="D9" i="65"/>
  <c r="F8" i="70" l="1"/>
  <c r="E9" i="70"/>
  <c r="G9" i="70" s="1"/>
  <c r="F8" i="66"/>
  <c r="E9" i="67"/>
  <c r="G9" i="67" s="1"/>
  <c r="F8" i="67"/>
  <c r="E8" i="65"/>
  <c r="G8" i="65" s="1"/>
  <c r="E9" i="66"/>
  <c r="G9" i="66" s="1"/>
  <c r="C9" i="65"/>
  <c r="F7" i="65"/>
  <c r="F7" i="63"/>
  <c r="C9" i="59"/>
  <c r="E8" i="59"/>
  <c r="G8" i="59" s="1"/>
  <c r="F7" i="59"/>
  <c r="D8" i="63"/>
  <c r="D10" i="59"/>
  <c r="D10" i="67"/>
  <c r="D10" i="66"/>
  <c r="D10" i="70"/>
  <c r="F9" i="70" l="1"/>
  <c r="C10" i="70"/>
  <c r="C10" i="67"/>
  <c r="F9" i="67"/>
  <c r="F8" i="65"/>
  <c r="C10" i="66"/>
  <c r="F9" i="66"/>
  <c r="E9" i="65"/>
  <c r="G9" i="65" s="1"/>
  <c r="C8" i="63"/>
  <c r="C10" i="59"/>
  <c r="E9" i="59"/>
  <c r="G9" i="59" s="1"/>
  <c r="F8" i="59"/>
  <c r="D11" i="66"/>
  <c r="D11" i="67"/>
  <c r="D9" i="63"/>
  <c r="D11" i="59"/>
  <c r="D11" i="70"/>
  <c r="D10" i="65"/>
  <c r="C11" i="70" l="1"/>
  <c r="C11" i="66"/>
  <c r="E10" i="70"/>
  <c r="G10" i="70" s="1"/>
  <c r="C11" i="67"/>
  <c r="C11" i="59"/>
  <c r="E10" i="67"/>
  <c r="G10" i="67" s="1"/>
  <c r="E10" i="66"/>
  <c r="G10" i="66" s="1"/>
  <c r="C10" i="65"/>
  <c r="F9" i="65"/>
  <c r="C9" i="63"/>
  <c r="E8" i="63"/>
  <c r="G8" i="63" s="1"/>
  <c r="E10" i="59"/>
  <c r="G10" i="59" s="1"/>
  <c r="F9" i="59"/>
  <c r="D12" i="59"/>
  <c r="D10" i="63"/>
  <c r="D12" i="67"/>
  <c r="D11" i="65"/>
  <c r="D5" i="47"/>
  <c r="E11" i="70" l="1"/>
  <c r="G11" i="70" s="1"/>
  <c r="E11" i="66"/>
  <c r="G11" i="66" s="1"/>
  <c r="C12" i="59"/>
  <c r="F10" i="70"/>
  <c r="C12" i="67"/>
  <c r="C10" i="63"/>
  <c r="E11" i="67"/>
  <c r="G11" i="67" s="1"/>
  <c r="C11" i="65"/>
  <c r="E11" i="59"/>
  <c r="G11" i="59" s="1"/>
  <c r="F10" i="67"/>
  <c r="F10" i="66"/>
  <c r="E10" i="65"/>
  <c r="G10" i="65" s="1"/>
  <c r="E9" i="63"/>
  <c r="G9" i="63" s="1"/>
  <c r="F8" i="63"/>
  <c r="F10" i="59"/>
  <c r="C5" i="47"/>
  <c r="D13" i="59"/>
  <c r="D13" i="67"/>
  <c r="D6" i="47"/>
  <c r="F11" i="70" l="1"/>
  <c r="F11" i="66"/>
  <c r="C13" i="59"/>
  <c r="E13" i="59" s="1"/>
  <c r="G13" i="59" s="1"/>
  <c r="E12" i="59"/>
  <c r="G12" i="59" s="1"/>
  <c r="C13" i="67"/>
  <c r="E12" i="67"/>
  <c r="G12" i="67" s="1"/>
  <c r="E10" i="63"/>
  <c r="G10" i="63" s="1"/>
  <c r="F11" i="67"/>
  <c r="E11" i="65"/>
  <c r="G11" i="65" s="1"/>
  <c r="F11" i="59"/>
  <c r="F10" i="65"/>
  <c r="F9" i="63"/>
  <c r="C6" i="47"/>
  <c r="E5" i="47"/>
  <c r="D14" i="67"/>
  <c r="D12" i="65"/>
  <c r="F12" i="59" l="1"/>
  <c r="C14" i="67"/>
  <c r="F12" i="67"/>
  <c r="E13" i="67"/>
  <c r="G13" i="67" s="1"/>
  <c r="F10" i="63"/>
  <c r="F13" i="59"/>
  <c r="F11" i="65"/>
  <c r="C12" i="65"/>
  <c r="G5" i="47"/>
  <c r="F5" i="47"/>
  <c r="E6" i="47"/>
  <c r="D12" i="70"/>
  <c r="D13" i="65"/>
  <c r="C12" i="70" l="1"/>
  <c r="F13" i="67"/>
  <c r="E14" i="67"/>
  <c r="G14" i="67" s="1"/>
  <c r="C13" i="65"/>
  <c r="E12" i="65"/>
  <c r="G12" i="65" s="1"/>
  <c r="G6" i="47"/>
  <c r="F6" i="47"/>
  <c r="D13" i="70"/>
  <c r="D7" i="47"/>
  <c r="D14" i="65"/>
  <c r="C13" i="70" l="1"/>
  <c r="E12" i="70"/>
  <c r="F12" i="70" s="1"/>
  <c r="F14" i="67"/>
  <c r="C14" i="65"/>
  <c r="F12" i="65"/>
  <c r="E13" i="65"/>
  <c r="G13" i="65" s="1"/>
  <c r="C7" i="47"/>
  <c r="D14" i="70"/>
  <c r="D11" i="63"/>
  <c r="G12" i="70" l="1"/>
  <c r="C14" i="70"/>
  <c r="E14" i="70" s="1"/>
  <c r="G14" i="70" s="1"/>
  <c r="E13" i="70"/>
  <c r="G13" i="70" s="1"/>
  <c r="F13" i="65"/>
  <c r="E14" i="65"/>
  <c r="G14" i="65" s="1"/>
  <c r="C11" i="63"/>
  <c r="E7" i="47"/>
  <c r="G7" i="47" s="1"/>
  <c r="D12" i="63"/>
  <c r="D15" i="70"/>
  <c r="F13" i="70" l="1"/>
  <c r="C15" i="70"/>
  <c r="F14" i="70"/>
  <c r="F14" i="65"/>
  <c r="C12" i="63"/>
  <c r="E11" i="63"/>
  <c r="G11" i="63" s="1"/>
  <c r="F7" i="47"/>
  <c r="D13" i="63"/>
  <c r="D15" i="67"/>
  <c r="D16" i="70"/>
  <c r="C16" i="70" l="1"/>
  <c r="E15" i="70"/>
  <c r="C15" i="67"/>
  <c r="C13" i="63"/>
  <c r="F11" i="63"/>
  <c r="E12" i="63"/>
  <c r="G12" i="63" s="1"/>
  <c r="D8" i="47"/>
  <c r="D15" i="65"/>
  <c r="D16" i="67"/>
  <c r="D17" i="70"/>
  <c r="C17" i="70" l="1"/>
  <c r="G15" i="70"/>
  <c r="F15" i="70"/>
  <c r="E16" i="70"/>
  <c r="C16" i="67"/>
  <c r="E15" i="67"/>
  <c r="G15" i="67" s="1"/>
  <c r="C15" i="65"/>
  <c r="F12" i="63"/>
  <c r="E13" i="63"/>
  <c r="G13" i="63" s="1"/>
  <c r="C8" i="47"/>
  <c r="D18" i="70"/>
  <c r="D9" i="47"/>
  <c r="D17" i="67"/>
  <c r="D16" i="65"/>
  <c r="C18" i="70" l="1"/>
  <c r="G16" i="70"/>
  <c r="F16" i="70"/>
  <c r="E17" i="70"/>
  <c r="C9" i="47"/>
  <c r="F15" i="67"/>
  <c r="C17" i="67"/>
  <c r="E16" i="67"/>
  <c r="G16" i="67" s="1"/>
  <c r="C16" i="65"/>
  <c r="E15" i="65"/>
  <c r="G15" i="65" s="1"/>
  <c r="F13" i="63"/>
  <c r="E8" i="47"/>
  <c r="G8" i="47" s="1"/>
  <c r="D19" i="70"/>
  <c r="D17" i="65"/>
  <c r="D18" i="67"/>
  <c r="D10" i="47"/>
  <c r="C18" i="67" l="1"/>
  <c r="C19" i="70"/>
  <c r="G17" i="70"/>
  <c r="F17" i="70"/>
  <c r="E18" i="70"/>
  <c r="F15" i="65"/>
  <c r="F16" i="67"/>
  <c r="C10" i="47"/>
  <c r="E9" i="47"/>
  <c r="G9" i="47" s="1"/>
  <c r="E17" i="67"/>
  <c r="G17" i="67" s="1"/>
  <c r="C17" i="65"/>
  <c r="E16" i="65"/>
  <c r="G16" i="65" s="1"/>
  <c r="F8" i="47"/>
  <c r="D20" i="70"/>
  <c r="D18" i="65"/>
  <c r="D19" i="67"/>
  <c r="D11" i="47"/>
  <c r="C19" i="67" l="1"/>
  <c r="E19" i="67" s="1"/>
  <c r="G19" i="67" s="1"/>
  <c r="E18" i="67"/>
  <c r="G18" i="67" s="1"/>
  <c r="C18" i="65"/>
  <c r="C20" i="70"/>
  <c r="G18" i="70"/>
  <c r="F18" i="70"/>
  <c r="E19" i="70"/>
  <c r="F17" i="67"/>
  <c r="C11" i="47"/>
  <c r="E10" i="47"/>
  <c r="G10" i="47" s="1"/>
  <c r="F9" i="47"/>
  <c r="E17" i="65"/>
  <c r="G17" i="65" s="1"/>
  <c r="F16" i="65"/>
  <c r="C2" i="40"/>
  <c r="C2" i="34"/>
  <c r="E2" i="34" s="1"/>
  <c r="G2" i="34" s="1"/>
  <c r="C2" i="33"/>
  <c r="C2" i="30"/>
  <c r="D21" i="70"/>
  <c r="D19" i="65"/>
  <c r="D14" i="63"/>
  <c r="D20" i="67"/>
  <c r="C20" i="67" l="1"/>
  <c r="F18" i="67"/>
  <c r="C19" i="65"/>
  <c r="E18" i="65"/>
  <c r="G18" i="65" s="1"/>
  <c r="C21" i="70"/>
  <c r="G19" i="70"/>
  <c r="F19" i="70"/>
  <c r="E20" i="70"/>
  <c r="F19" i="67"/>
  <c r="G19" i="65"/>
  <c r="F17" i="65"/>
  <c r="E11" i="47"/>
  <c r="G11" i="47" s="1"/>
  <c r="F10" i="47"/>
  <c r="C14" i="63"/>
  <c r="E2" i="40"/>
  <c r="G2" i="40" s="1"/>
  <c r="F2" i="34"/>
  <c r="E2" i="33"/>
  <c r="G2" i="33" s="1"/>
  <c r="E2" i="30"/>
  <c r="G2" i="30" s="1"/>
  <c r="D3" i="34"/>
  <c r="D22" i="70"/>
  <c r="D3" i="33"/>
  <c r="D15" i="63"/>
  <c r="D21" i="67"/>
  <c r="D3" i="30"/>
  <c r="D3" i="40"/>
  <c r="D20" i="65"/>
  <c r="C21" i="67" l="1"/>
  <c r="E21" i="67" s="1"/>
  <c r="G21" i="67" s="1"/>
  <c r="E20" i="67"/>
  <c r="C20" i="65"/>
  <c r="F18" i="65"/>
  <c r="F19" i="65"/>
  <c r="C22" i="70"/>
  <c r="G20" i="70"/>
  <c r="F20" i="70"/>
  <c r="E21" i="70"/>
  <c r="G20" i="65"/>
  <c r="F20" i="65"/>
  <c r="F11" i="47"/>
  <c r="C15" i="63"/>
  <c r="E14" i="63"/>
  <c r="G14" i="63" s="1"/>
  <c r="C3" i="40"/>
  <c r="F2" i="40"/>
  <c r="C3" i="34"/>
  <c r="C3" i="33"/>
  <c r="F2" i="33"/>
  <c r="C3" i="30"/>
  <c r="F2" i="30"/>
  <c r="C2" i="9"/>
  <c r="D4" i="33"/>
  <c r="D16" i="63"/>
  <c r="D4" i="30"/>
  <c r="D4" i="40"/>
  <c r="D4" i="34"/>
  <c r="D23" i="70"/>
  <c r="G20" i="67" l="1"/>
  <c r="F20" i="67"/>
  <c r="C23" i="70"/>
  <c r="G21" i="70"/>
  <c r="F21" i="70"/>
  <c r="E22" i="70"/>
  <c r="F21" i="67"/>
  <c r="C16" i="63"/>
  <c r="E15" i="63"/>
  <c r="G15" i="63" s="1"/>
  <c r="F14" i="63"/>
  <c r="C4" i="40"/>
  <c r="E3" i="40"/>
  <c r="G3" i="40" s="1"/>
  <c r="C4" i="34"/>
  <c r="E3" i="34"/>
  <c r="G3" i="34" s="1"/>
  <c r="C4" i="33"/>
  <c r="E3" i="33"/>
  <c r="G3" i="33" s="1"/>
  <c r="C4" i="30"/>
  <c r="E3" i="30"/>
  <c r="G3" i="30" s="1"/>
  <c r="E2" i="9"/>
  <c r="G2" i="9" s="1"/>
  <c r="D24" i="70"/>
  <c r="D5" i="40"/>
  <c r="D17" i="63"/>
  <c r="D22" i="67"/>
  <c r="D5" i="34"/>
  <c r="D5" i="30"/>
  <c r="C24" i="70" l="1"/>
  <c r="E24" i="70" s="1"/>
  <c r="G24" i="70" s="1"/>
  <c r="G22" i="70"/>
  <c r="F22" i="70"/>
  <c r="E23" i="70"/>
  <c r="C22" i="67"/>
  <c r="C17" i="63"/>
  <c r="F15" i="63"/>
  <c r="E16" i="63"/>
  <c r="G16" i="63" s="1"/>
  <c r="C5" i="40"/>
  <c r="F3" i="40"/>
  <c r="E4" i="40"/>
  <c r="G4" i="40" s="1"/>
  <c r="C5" i="34"/>
  <c r="F3" i="34"/>
  <c r="E4" i="34"/>
  <c r="G4" i="34" s="1"/>
  <c r="F3" i="33"/>
  <c r="E4" i="33"/>
  <c r="G4" i="33" s="1"/>
  <c r="C5" i="30"/>
  <c r="F3" i="30"/>
  <c r="E4" i="30"/>
  <c r="G4" i="30" s="1"/>
  <c r="F2" i="9"/>
  <c r="D25" i="70"/>
  <c r="D6" i="34"/>
  <c r="D22" i="65"/>
  <c r="D6" i="40"/>
  <c r="D6" i="30"/>
  <c r="D5" i="33"/>
  <c r="C25" i="70" l="1"/>
  <c r="E25" i="70" s="1"/>
  <c r="G25" i="70" s="1"/>
  <c r="G23" i="70"/>
  <c r="F23" i="70"/>
  <c r="F24" i="70"/>
  <c r="C22" i="65"/>
  <c r="E22" i="67"/>
  <c r="G22" i="67" s="1"/>
  <c r="F16" i="63"/>
  <c r="E17" i="63"/>
  <c r="G17" i="63" s="1"/>
  <c r="C6" i="30"/>
  <c r="C5" i="33"/>
  <c r="E5" i="33" s="1"/>
  <c r="G5" i="33" s="1"/>
  <c r="C6" i="34"/>
  <c r="C6" i="40"/>
  <c r="F4" i="40"/>
  <c r="E5" i="40"/>
  <c r="G5" i="40" s="1"/>
  <c r="F4" i="34"/>
  <c r="F4" i="33"/>
  <c r="E5" i="34"/>
  <c r="G5" i="34" s="1"/>
  <c r="F4" i="30"/>
  <c r="E5" i="30"/>
  <c r="G5" i="30" s="1"/>
  <c r="D7" i="30"/>
  <c r="D7" i="40"/>
  <c r="D7" i="34"/>
  <c r="D6" i="33"/>
  <c r="D26" i="70"/>
  <c r="D18" i="63"/>
  <c r="C26" i="70" l="1"/>
  <c r="E26" i="70" s="1"/>
  <c r="G26" i="70" s="1"/>
  <c r="F25" i="70"/>
  <c r="F22" i="67"/>
  <c r="G22" i="65"/>
  <c r="C18" i="63"/>
  <c r="F17" i="63"/>
  <c r="C7" i="40"/>
  <c r="C7" i="34"/>
  <c r="C7" i="30"/>
  <c r="E6" i="30"/>
  <c r="G6" i="30" s="1"/>
  <c r="C6" i="33"/>
  <c r="F5" i="33"/>
  <c r="E6" i="34"/>
  <c r="G6" i="34" s="1"/>
  <c r="E6" i="40"/>
  <c r="G6" i="40" s="1"/>
  <c r="F5" i="40"/>
  <c r="F5" i="34"/>
  <c r="F5" i="30"/>
  <c r="D8" i="34"/>
  <c r="D27" i="70"/>
  <c r="D8" i="30"/>
  <c r="D7" i="33"/>
  <c r="D19" i="63"/>
  <c r="D8" i="40"/>
  <c r="C19" i="63" l="1"/>
  <c r="C27" i="70"/>
  <c r="F26" i="70"/>
  <c r="F22" i="65"/>
  <c r="E18" i="63"/>
  <c r="G18" i="63" s="1"/>
  <c r="C8" i="40"/>
  <c r="E7" i="40"/>
  <c r="G7" i="40" s="1"/>
  <c r="C8" i="34"/>
  <c r="E7" i="34"/>
  <c r="G7" i="34" s="1"/>
  <c r="C7" i="33"/>
  <c r="C8" i="30"/>
  <c r="E7" i="30"/>
  <c r="G7" i="30" s="1"/>
  <c r="F6" i="30"/>
  <c r="E6" i="33"/>
  <c r="G6" i="33" s="1"/>
  <c r="F6" i="34"/>
  <c r="F6" i="40"/>
  <c r="D20" i="63"/>
  <c r="D8" i="33"/>
  <c r="D28" i="70"/>
  <c r="C20" i="63" l="1"/>
  <c r="E19" i="63"/>
  <c r="G19" i="63" s="1"/>
  <c r="C28" i="70"/>
  <c r="E28" i="70" s="1"/>
  <c r="G28" i="70" s="1"/>
  <c r="E27" i="70"/>
  <c r="G27" i="70" s="1"/>
  <c r="F18" i="63"/>
  <c r="F7" i="40"/>
  <c r="E8" i="40"/>
  <c r="G8" i="40" s="1"/>
  <c r="E8" i="34"/>
  <c r="G8" i="34" s="1"/>
  <c r="F7" i="34"/>
  <c r="C8" i="33"/>
  <c r="E7" i="33"/>
  <c r="G7" i="33" s="1"/>
  <c r="F7" i="30"/>
  <c r="E8" i="30"/>
  <c r="G8" i="30" s="1"/>
  <c r="F6" i="33"/>
  <c r="D29" i="70"/>
  <c r="D21" i="63"/>
  <c r="C21" i="63" l="1"/>
  <c r="F19" i="63"/>
  <c r="E20" i="63"/>
  <c r="G20" i="63" s="1"/>
  <c r="C29" i="70"/>
  <c r="E29" i="70" s="1"/>
  <c r="F27" i="70"/>
  <c r="F28" i="70"/>
  <c r="F8" i="40"/>
  <c r="F8" i="34"/>
  <c r="E8" i="33"/>
  <c r="G8" i="33" s="1"/>
  <c r="F7" i="33"/>
  <c r="F8" i="30"/>
  <c r="D30" i="70"/>
  <c r="D22" i="63"/>
  <c r="C22" i="63" l="1"/>
  <c r="E21" i="63"/>
  <c r="G21" i="63" s="1"/>
  <c r="F20" i="63"/>
  <c r="C30" i="70"/>
  <c r="E30" i="70" s="1"/>
  <c r="G29" i="70"/>
  <c r="F29" i="70"/>
  <c r="F8" i="33"/>
  <c r="D3" i="9"/>
  <c r="D23" i="63"/>
  <c r="D31" i="70"/>
  <c r="C23" i="63" l="1"/>
  <c r="F21" i="63"/>
  <c r="E22" i="63"/>
  <c r="G22" i="63" s="1"/>
  <c r="C31" i="70"/>
  <c r="E31" i="70" s="1"/>
  <c r="G30" i="70"/>
  <c r="F30" i="70"/>
  <c r="C3" i="9"/>
  <c r="D4" i="9"/>
  <c r="F22" i="63" l="1"/>
  <c r="E23" i="63"/>
  <c r="G23" i="63" s="1"/>
  <c r="G31" i="70"/>
  <c r="F31" i="70"/>
  <c r="C4" i="9"/>
  <c r="E3" i="9"/>
  <c r="G3" i="9" s="1"/>
  <c r="D5" i="9"/>
  <c r="D32" i="70"/>
  <c r="F23" i="63" l="1"/>
  <c r="C32" i="70"/>
  <c r="E32" i="70" s="1"/>
  <c r="C5" i="9"/>
  <c r="E5" i="9" s="1"/>
  <c r="G5" i="9" s="1"/>
  <c r="E4" i="9"/>
  <c r="G4" i="9" s="1"/>
  <c r="F3" i="9"/>
  <c r="D33" i="70"/>
  <c r="D9" i="40"/>
  <c r="C33" i="70" l="1"/>
  <c r="E33" i="70" s="1"/>
  <c r="F32" i="70"/>
  <c r="G32" i="70"/>
  <c r="F5" i="9"/>
  <c r="C9" i="40"/>
  <c r="D34" i="70"/>
  <c r="D9" i="34"/>
  <c r="D10" i="40"/>
  <c r="D9" i="33"/>
  <c r="C34" i="70" l="1"/>
  <c r="E34" i="70" s="1"/>
  <c r="G34" i="70" s="1"/>
  <c r="F33" i="70"/>
  <c r="G33" i="70"/>
  <c r="C10" i="40"/>
  <c r="E10" i="40" s="1"/>
  <c r="G10" i="40" s="1"/>
  <c r="E9" i="40"/>
  <c r="G9" i="40" s="1"/>
  <c r="C9" i="34"/>
  <c r="C9" i="33"/>
  <c r="D10" i="33"/>
  <c r="D10" i="34"/>
  <c r="D11" i="40"/>
  <c r="F34" i="70" l="1"/>
  <c r="F9" i="40"/>
  <c r="C11" i="40"/>
  <c r="E11" i="40" s="1"/>
  <c r="G11" i="40" s="1"/>
  <c r="C10" i="34"/>
  <c r="E10" i="34" s="1"/>
  <c r="G10" i="34" s="1"/>
  <c r="E9" i="34"/>
  <c r="G9" i="34" s="1"/>
  <c r="C10" i="33"/>
  <c r="E10" i="33" s="1"/>
  <c r="G10" i="33" s="1"/>
  <c r="E9" i="33"/>
  <c r="G9" i="33" s="1"/>
  <c r="F10" i="40"/>
  <c r="D11" i="33"/>
  <c r="D11" i="34"/>
  <c r="D12" i="40"/>
  <c r="C12" i="40" l="1"/>
  <c r="E12" i="40" s="1"/>
  <c r="G12" i="40" s="1"/>
  <c r="C11" i="34"/>
  <c r="E11" i="34" s="1"/>
  <c r="G11" i="34" s="1"/>
  <c r="F9" i="34"/>
  <c r="F9" i="33"/>
  <c r="C11" i="33"/>
  <c r="E11" i="33" s="1"/>
  <c r="G11" i="33" s="1"/>
  <c r="F10" i="33"/>
  <c r="F10" i="34"/>
  <c r="F11" i="40"/>
  <c r="D12" i="34"/>
  <c r="D12" i="33"/>
  <c r="C12" i="34" l="1"/>
  <c r="E12" i="34" s="1"/>
  <c r="G12" i="34" s="1"/>
  <c r="C12" i="33"/>
  <c r="E12" i="33" s="1"/>
  <c r="G12" i="33" s="1"/>
  <c r="F12" i="40"/>
  <c r="F11" i="34"/>
  <c r="F11" i="33"/>
  <c r="D9" i="30"/>
  <c r="D13" i="40"/>
  <c r="C9" i="30" l="1"/>
  <c r="C13" i="40"/>
  <c r="F12" i="34"/>
  <c r="F12" i="33"/>
  <c r="D10" i="30"/>
  <c r="D13" i="33"/>
  <c r="D14" i="40"/>
  <c r="D13" i="34"/>
  <c r="C10" i="30" l="1"/>
  <c r="E10" i="30" s="1"/>
  <c r="G10" i="30" s="1"/>
  <c r="E9" i="30"/>
  <c r="G9" i="30" s="1"/>
  <c r="C14" i="40"/>
  <c r="E13" i="40"/>
  <c r="G13" i="40" s="1"/>
  <c r="C13" i="34"/>
  <c r="C13" i="33"/>
  <c r="D14" i="34"/>
  <c r="D14" i="33"/>
  <c r="D11" i="30"/>
  <c r="D15" i="40"/>
  <c r="C11" i="30" l="1"/>
  <c r="E11" i="30" s="1"/>
  <c r="G11" i="30" s="1"/>
  <c r="F9" i="30"/>
  <c r="C14" i="33"/>
  <c r="C15" i="40"/>
  <c r="E15" i="40" s="1"/>
  <c r="G15" i="40" s="1"/>
  <c r="E14" i="40"/>
  <c r="G14" i="40" s="1"/>
  <c r="F10" i="30"/>
  <c r="F13" i="40"/>
  <c r="C14" i="34"/>
  <c r="E13" i="34"/>
  <c r="G13" i="34" s="1"/>
  <c r="E13" i="33"/>
  <c r="G13" i="33" s="1"/>
  <c r="D16" i="40"/>
  <c r="D12" i="30"/>
  <c r="D15" i="33"/>
  <c r="C12" i="30" l="1"/>
  <c r="E12" i="30" s="1"/>
  <c r="G12" i="30" s="1"/>
  <c r="C15" i="33"/>
  <c r="E15" i="33" s="1"/>
  <c r="G15" i="33" s="1"/>
  <c r="E14" i="33"/>
  <c r="G14" i="33" s="1"/>
  <c r="F15" i="40"/>
  <c r="F14" i="40"/>
  <c r="F11" i="30"/>
  <c r="C16" i="40"/>
  <c r="F13" i="34"/>
  <c r="E14" i="34"/>
  <c r="G14" i="34" s="1"/>
  <c r="F13" i="33"/>
  <c r="D15" i="34"/>
  <c r="D16" i="33"/>
  <c r="D17" i="40"/>
  <c r="F14" i="33" l="1"/>
  <c r="F12" i="30"/>
  <c r="C17" i="40"/>
  <c r="E16" i="40"/>
  <c r="G16" i="40" s="1"/>
  <c r="C15" i="34"/>
  <c r="F14" i="34"/>
  <c r="C16" i="33"/>
  <c r="F15" i="33"/>
  <c r="D17" i="33"/>
  <c r="D12" i="66"/>
  <c r="D13" i="30"/>
  <c r="D16" i="34"/>
  <c r="C12" i="66" l="1"/>
  <c r="C13" i="30"/>
  <c r="F16" i="40"/>
  <c r="E17" i="40"/>
  <c r="G17" i="40" s="1"/>
  <c r="C16" i="34"/>
  <c r="E15" i="34"/>
  <c r="G15" i="34" s="1"/>
  <c r="C17" i="33"/>
  <c r="E16" i="33"/>
  <c r="G16" i="33" s="1"/>
  <c r="D17" i="34"/>
  <c r="D13" i="66"/>
  <c r="D14" i="30"/>
  <c r="C13" i="66" l="1"/>
  <c r="E12" i="66"/>
  <c r="G12" i="66" s="1"/>
  <c r="C14" i="30"/>
  <c r="E13" i="30"/>
  <c r="G13" i="30" s="1"/>
  <c r="F17" i="40"/>
  <c r="C17" i="34"/>
  <c r="F15" i="34"/>
  <c r="E16" i="34"/>
  <c r="G16" i="34" s="1"/>
  <c r="F16" i="33"/>
  <c r="E17" i="33"/>
  <c r="G17" i="33" s="1"/>
  <c r="D14" i="66"/>
  <c r="D15" i="30"/>
  <c r="C14" i="66" l="1"/>
  <c r="E14" i="66" s="1"/>
  <c r="G14" i="66" s="1"/>
  <c r="E13" i="66"/>
  <c r="G13" i="66" s="1"/>
  <c r="F12" i="66"/>
  <c r="C15" i="30"/>
  <c r="F13" i="30"/>
  <c r="E14" i="30"/>
  <c r="G14" i="30" s="1"/>
  <c r="F16" i="34"/>
  <c r="E17" i="34"/>
  <c r="G17" i="34" s="1"/>
  <c r="F17" i="33"/>
  <c r="D16" i="30"/>
  <c r="D15" i="66"/>
  <c r="F13" i="66" l="1"/>
  <c r="F14" i="66"/>
  <c r="C15" i="66"/>
  <c r="F14" i="30"/>
  <c r="C16" i="30"/>
  <c r="E15" i="30"/>
  <c r="F17" i="34"/>
  <c r="D16" i="66"/>
  <c r="C16" i="66" l="1"/>
  <c r="E15" i="66"/>
  <c r="G15" i="66" s="1"/>
  <c r="G15" i="30"/>
  <c r="F15" i="30"/>
  <c r="E16" i="30"/>
  <c r="D18" i="34"/>
  <c r="D17" i="66"/>
  <c r="C17" i="66" l="1"/>
  <c r="F15" i="66"/>
  <c r="E16" i="66"/>
  <c r="G16" i="66" s="1"/>
  <c r="G16" i="30"/>
  <c r="F16" i="30"/>
  <c r="C18" i="34"/>
  <c r="D19" i="34"/>
  <c r="D18" i="66"/>
  <c r="C18" i="66" l="1"/>
  <c r="F16" i="66"/>
  <c r="E17" i="66"/>
  <c r="G17" i="66" s="1"/>
  <c r="C19" i="34"/>
  <c r="E18" i="34"/>
  <c r="G18" i="34" s="1"/>
  <c r="D18" i="40"/>
  <c r="D20" i="34"/>
  <c r="D19" i="66"/>
  <c r="D17" i="30"/>
  <c r="C19" i="66" l="1"/>
  <c r="F17" i="66"/>
  <c r="E18" i="66"/>
  <c r="G18" i="66" s="1"/>
  <c r="C20" i="34"/>
  <c r="E19" i="34"/>
  <c r="G19" i="34" s="1"/>
  <c r="C18" i="40"/>
  <c r="F18" i="34"/>
  <c r="C17" i="30"/>
  <c r="D20" i="66"/>
  <c r="D21" i="34"/>
  <c r="C20" i="66" l="1"/>
  <c r="E19" i="66"/>
  <c r="G19" i="66" s="1"/>
  <c r="F18" i="66"/>
  <c r="C21" i="34"/>
  <c r="E20" i="34"/>
  <c r="G20" i="34" s="1"/>
  <c r="F19" i="34"/>
  <c r="E18" i="40"/>
  <c r="G18" i="40" s="1"/>
  <c r="E17" i="30"/>
  <c r="G17" i="30" s="1"/>
  <c r="D18" i="30"/>
  <c r="D22" i="34"/>
  <c r="D21" i="66"/>
  <c r="F19" i="66" l="1"/>
  <c r="C21" i="66"/>
  <c r="E20" i="66"/>
  <c r="G20" i="66" s="1"/>
  <c r="C22" i="34"/>
  <c r="F20" i="34"/>
  <c r="E21" i="34"/>
  <c r="F18" i="40"/>
  <c r="C18" i="30"/>
  <c r="F17" i="30"/>
  <c r="D23" i="34"/>
  <c r="D22" i="66"/>
  <c r="D19" i="30"/>
  <c r="C22" i="66" l="1"/>
  <c r="F20" i="66"/>
  <c r="E21" i="66"/>
  <c r="G21" i="66" s="1"/>
  <c r="C23" i="34"/>
  <c r="G21" i="34"/>
  <c r="F21" i="34"/>
  <c r="E22" i="34"/>
  <c r="C19" i="30"/>
  <c r="E18" i="30"/>
  <c r="G18" i="30" s="1"/>
  <c r="D19" i="40"/>
  <c r="D24" i="34"/>
  <c r="D23" i="66"/>
  <c r="C23" i="66" l="1"/>
  <c r="E22" i="66"/>
  <c r="G22" i="66" s="1"/>
  <c r="F21" i="66"/>
  <c r="C24" i="34"/>
  <c r="G22" i="34"/>
  <c r="F22" i="34"/>
  <c r="E23" i="34"/>
  <c r="C19" i="40"/>
  <c r="F18" i="30"/>
  <c r="E19" i="30"/>
  <c r="G19" i="30" s="1"/>
  <c r="D25" i="34"/>
  <c r="D24" i="66"/>
  <c r="D18" i="33"/>
  <c r="D20" i="40"/>
  <c r="C24" i="66" l="1"/>
  <c r="F22" i="66"/>
  <c r="E23" i="66"/>
  <c r="G23" i="66" s="1"/>
  <c r="C25" i="34"/>
  <c r="G23" i="34"/>
  <c r="F23" i="34"/>
  <c r="E24" i="34"/>
  <c r="C20" i="40"/>
  <c r="E19" i="40"/>
  <c r="G19" i="40" s="1"/>
  <c r="C18" i="33"/>
  <c r="F19" i="30"/>
  <c r="D19" i="33"/>
  <c r="D21" i="40"/>
  <c r="D25" i="66"/>
  <c r="D26" i="34"/>
  <c r="C25" i="66" l="1"/>
  <c r="E24" i="66"/>
  <c r="G24" i="66" s="1"/>
  <c r="F23" i="66"/>
  <c r="C26" i="34"/>
  <c r="G24" i="34"/>
  <c r="F24" i="34"/>
  <c r="E25" i="34"/>
  <c r="C21" i="40"/>
  <c r="E20" i="40"/>
  <c r="G20" i="40" s="1"/>
  <c r="F19" i="40"/>
  <c r="C19" i="33"/>
  <c r="E18" i="33"/>
  <c r="G18" i="33" s="1"/>
  <c r="D26" i="66"/>
  <c r="D27" i="34"/>
  <c r="D20" i="33"/>
  <c r="C26" i="66" l="1"/>
  <c r="E25" i="66"/>
  <c r="G25" i="66" s="1"/>
  <c r="F24" i="66"/>
  <c r="C27" i="34"/>
  <c r="E26" i="34"/>
  <c r="G25" i="34"/>
  <c r="F25" i="34"/>
  <c r="F20" i="40"/>
  <c r="E21" i="40"/>
  <c r="G21" i="40" s="1"/>
  <c r="F18" i="33"/>
  <c r="C20" i="33"/>
  <c r="E19" i="33"/>
  <c r="G19" i="33" s="1"/>
  <c r="D21" i="33"/>
  <c r="D28" i="34"/>
  <c r="D27" i="66"/>
  <c r="D22" i="40"/>
  <c r="C27" i="66" l="1"/>
  <c r="E26" i="66"/>
  <c r="G26" i="66" s="1"/>
  <c r="F25" i="66"/>
  <c r="C22" i="40"/>
  <c r="E22" i="40" s="1"/>
  <c r="G22" i="40" s="1"/>
  <c r="C28" i="34"/>
  <c r="E27" i="34"/>
  <c r="G27" i="34" s="1"/>
  <c r="G26" i="34"/>
  <c r="F26" i="34"/>
  <c r="F21" i="40"/>
  <c r="C21" i="33"/>
  <c r="E20" i="33"/>
  <c r="G20" i="33" s="1"/>
  <c r="F19" i="33"/>
  <c r="D20" i="30"/>
  <c r="D22" i="33"/>
  <c r="E27" i="66" l="1"/>
  <c r="G27" i="66" s="1"/>
  <c r="F26" i="66"/>
  <c r="F27" i="34"/>
  <c r="E28" i="34"/>
  <c r="G28" i="34" s="1"/>
  <c r="C22" i="33"/>
  <c r="F22" i="40"/>
  <c r="F20" i="33"/>
  <c r="E21" i="33"/>
  <c r="G21" i="33" s="1"/>
  <c r="C20" i="30"/>
  <c r="D23" i="33"/>
  <c r="D28" i="66"/>
  <c r="D21" i="30"/>
  <c r="F27" i="66" l="1"/>
  <c r="C28" i="66"/>
  <c r="F28" i="34"/>
  <c r="C23" i="33"/>
  <c r="E22" i="33"/>
  <c r="G22" i="33" s="1"/>
  <c r="F21" i="33"/>
  <c r="C21" i="30"/>
  <c r="E20" i="30"/>
  <c r="G20" i="30" s="1"/>
  <c r="D22" i="30"/>
  <c r="D29" i="66"/>
  <c r="D24" i="33"/>
  <c r="C29" i="66" l="1"/>
  <c r="E28" i="66"/>
  <c r="G28" i="66" s="1"/>
  <c r="E23" i="33"/>
  <c r="G23" i="33" s="1"/>
  <c r="F22" i="33"/>
  <c r="C24" i="33"/>
  <c r="C22" i="30"/>
  <c r="F20" i="30"/>
  <c r="E21" i="30"/>
  <c r="G21" i="30" s="1"/>
  <c r="D23" i="30"/>
  <c r="D25" i="33"/>
  <c r="D23" i="40"/>
  <c r="D30" i="66"/>
  <c r="E29" i="66" l="1"/>
  <c r="G29" i="66" s="1"/>
  <c r="F28" i="66"/>
  <c r="C30" i="66"/>
  <c r="F23" i="33"/>
  <c r="C25" i="33"/>
  <c r="E24" i="33"/>
  <c r="G24" i="33" s="1"/>
  <c r="C23" i="40"/>
  <c r="C23" i="30"/>
  <c r="E22" i="30"/>
  <c r="G22" i="30" s="1"/>
  <c r="F21" i="30"/>
  <c r="D26" i="33"/>
  <c r="D24" i="40"/>
  <c r="D24" i="30"/>
  <c r="D31" i="66"/>
  <c r="F29" i="66" l="1"/>
  <c r="C31" i="66"/>
  <c r="E31" i="66" s="1"/>
  <c r="G31" i="66" s="1"/>
  <c r="E30" i="66"/>
  <c r="F24" i="33"/>
  <c r="E25" i="33"/>
  <c r="G25" i="33" s="1"/>
  <c r="C24" i="40"/>
  <c r="E23" i="40"/>
  <c r="G23" i="40" s="1"/>
  <c r="C26" i="33"/>
  <c r="F22" i="30"/>
  <c r="C24" i="30"/>
  <c r="E23" i="30"/>
  <c r="G23" i="30" s="1"/>
  <c r="D27" i="33"/>
  <c r="D25" i="40"/>
  <c r="D25" i="30"/>
  <c r="F31" i="66" l="1"/>
  <c r="G30" i="66"/>
  <c r="F30" i="66"/>
  <c r="C25" i="30"/>
  <c r="F25" i="33"/>
  <c r="C25" i="40"/>
  <c r="F23" i="40"/>
  <c r="E24" i="40"/>
  <c r="G24" i="40" s="1"/>
  <c r="C27" i="33"/>
  <c r="E26" i="33"/>
  <c r="G26" i="33" s="1"/>
  <c r="E24" i="30"/>
  <c r="G24" i="30" s="1"/>
  <c r="F23" i="30"/>
  <c r="D26" i="40"/>
  <c r="D26" i="30"/>
  <c r="D28" i="33"/>
  <c r="C26" i="30" l="1"/>
  <c r="E26" i="30" s="1"/>
  <c r="G26" i="30" s="1"/>
  <c r="E25" i="30"/>
  <c r="G25" i="30" s="1"/>
  <c r="C26" i="40"/>
  <c r="F24" i="40"/>
  <c r="E25" i="40"/>
  <c r="G25" i="40" s="1"/>
  <c r="C28" i="33"/>
  <c r="F26" i="33"/>
  <c r="E27" i="33"/>
  <c r="G27" i="33" s="1"/>
  <c r="F24" i="30"/>
  <c r="D27" i="30"/>
  <c r="D29" i="33"/>
  <c r="D27" i="40"/>
  <c r="C27" i="30" l="1"/>
  <c r="E27" i="30" s="1"/>
  <c r="G27" i="30" s="1"/>
  <c r="F25" i="30"/>
  <c r="C27" i="40"/>
  <c r="E26" i="40"/>
  <c r="G26" i="40" s="1"/>
  <c r="F25" i="40"/>
  <c r="F27" i="33"/>
  <c r="C29" i="33"/>
  <c r="E28" i="33"/>
  <c r="G28" i="33" s="1"/>
  <c r="F26" i="30"/>
  <c r="D28" i="30"/>
  <c r="D30" i="33"/>
  <c r="D28" i="40"/>
  <c r="C28" i="40" l="1"/>
  <c r="C28" i="30"/>
  <c r="E28" i="30" s="1"/>
  <c r="G28" i="30" s="1"/>
  <c r="F26" i="40"/>
  <c r="E27" i="40"/>
  <c r="G27" i="40" s="1"/>
  <c r="C30" i="33"/>
  <c r="F28" i="33"/>
  <c r="E29" i="33"/>
  <c r="G29" i="33" s="1"/>
  <c r="F27" i="30"/>
  <c r="D29" i="40"/>
  <c r="D29" i="30"/>
  <c r="D31" i="33"/>
  <c r="C29" i="40" l="1"/>
  <c r="E29" i="40" s="1"/>
  <c r="G29" i="40" s="1"/>
  <c r="E28" i="40"/>
  <c r="G28" i="40" s="1"/>
  <c r="C29" i="30"/>
  <c r="E29" i="30" s="1"/>
  <c r="G29" i="30" s="1"/>
  <c r="F27" i="40"/>
  <c r="F29" i="33"/>
  <c r="C31" i="33"/>
  <c r="E30" i="33"/>
  <c r="G30" i="33" s="1"/>
  <c r="F28" i="30"/>
  <c r="D30" i="40"/>
  <c r="D30" i="30"/>
  <c r="D32" i="33"/>
  <c r="C30" i="40" l="1"/>
  <c r="E30" i="40" s="1"/>
  <c r="G30" i="40" s="1"/>
  <c r="F28" i="40"/>
  <c r="F29" i="40"/>
  <c r="C32" i="33"/>
  <c r="C30" i="30"/>
  <c r="E30" i="30" s="1"/>
  <c r="G30" i="30" s="1"/>
  <c r="F30" i="33"/>
  <c r="E31" i="33"/>
  <c r="G31" i="33" s="1"/>
  <c r="F29" i="30"/>
  <c r="D33" i="33"/>
  <c r="D31" i="30"/>
  <c r="F30" i="40" l="1"/>
  <c r="C33" i="33"/>
  <c r="E32" i="33"/>
  <c r="G32" i="33" s="1"/>
  <c r="C31" i="30"/>
  <c r="E31" i="30" s="1"/>
  <c r="G31" i="30" s="1"/>
  <c r="F31" i="33"/>
  <c r="F30" i="30"/>
  <c r="D34" i="33"/>
  <c r="D32" i="30"/>
  <c r="C34" i="33" l="1"/>
  <c r="F32" i="33"/>
  <c r="E33" i="33"/>
  <c r="G33" i="33" s="1"/>
  <c r="C32" i="30"/>
  <c r="F31" i="30"/>
  <c r="D35" i="33"/>
  <c r="D33" i="30"/>
  <c r="C35" i="33" l="1"/>
  <c r="E34" i="33"/>
  <c r="G34" i="33" s="1"/>
  <c r="C33" i="30"/>
  <c r="E32" i="30"/>
  <c r="G32" i="30" s="1"/>
  <c r="F33" i="33"/>
  <c r="D36" i="33"/>
  <c r="D34" i="30"/>
  <c r="C36" i="33" l="1"/>
  <c r="F32" i="30"/>
  <c r="E35" i="33"/>
  <c r="G35" i="33" s="1"/>
  <c r="F34" i="33"/>
  <c r="C34" i="30"/>
  <c r="E33" i="30"/>
  <c r="G33" i="30" s="1"/>
  <c r="F35" i="33" l="1"/>
  <c r="E36" i="33"/>
  <c r="G36" i="33" s="1"/>
  <c r="F33" i="30"/>
  <c r="E34" i="30"/>
  <c r="G34" i="30" s="1"/>
  <c r="F36" i="33" l="1"/>
  <c r="F34" i="30"/>
  <c r="D2" i="8"/>
  <c r="C2" i="18"/>
  <c r="D3" i="18"/>
  <c r="E2" i="18" l="1"/>
  <c r="F2" i="18" s="1"/>
  <c r="C3" i="18"/>
  <c r="C2" i="8"/>
  <c r="G2" i="18" l="1"/>
  <c r="C2" i="17"/>
  <c r="D3" i="8"/>
  <c r="E2" i="8"/>
  <c r="G2" i="8" s="1"/>
  <c r="E3" i="18"/>
  <c r="G3" i="18" s="1"/>
  <c r="F3" i="18" l="1"/>
  <c r="F2" i="8"/>
  <c r="E2" i="17"/>
  <c r="G2" i="17" s="1"/>
  <c r="C3" i="8"/>
  <c r="D3" i="17"/>
  <c r="D4" i="18"/>
  <c r="C4" i="18" l="1"/>
  <c r="C3" i="17"/>
  <c r="D4" i="8"/>
  <c r="E3" i="8"/>
  <c r="G3" i="8" s="1"/>
  <c r="F2" i="17"/>
  <c r="D5" i="18"/>
  <c r="C5" i="18" l="1"/>
  <c r="E4" i="18"/>
  <c r="G4" i="18" s="1"/>
  <c r="F3" i="8"/>
  <c r="E3" i="17"/>
  <c r="G3" i="17" s="1"/>
  <c r="C4" i="8"/>
  <c r="D6" i="18"/>
  <c r="D4" i="17"/>
  <c r="C6" i="18" l="1"/>
  <c r="E6" i="18" s="1"/>
  <c r="G6" i="18" s="1"/>
  <c r="E5" i="18"/>
  <c r="G5" i="18" s="1"/>
  <c r="F4" i="18"/>
  <c r="C4" i="17"/>
  <c r="F3" i="17"/>
  <c r="D5" i="8"/>
  <c r="E4" i="8"/>
  <c r="G4" i="8" s="1"/>
  <c r="D7" i="18"/>
  <c r="D5" i="17"/>
  <c r="C7" i="18" l="1"/>
  <c r="F5" i="18"/>
  <c r="F6" i="18"/>
  <c r="C5" i="17"/>
  <c r="E4" i="17"/>
  <c r="G4" i="17" s="1"/>
  <c r="C5" i="8"/>
  <c r="F4" i="8"/>
  <c r="D8" i="18"/>
  <c r="C8" i="18" l="1"/>
  <c r="E7" i="18"/>
  <c r="G7" i="18" s="1"/>
  <c r="E5" i="17"/>
  <c r="G5" i="17" s="1"/>
  <c r="F4" i="17"/>
  <c r="E5" i="8"/>
  <c r="G5" i="8" s="1"/>
  <c r="D6" i="8"/>
  <c r="D9" i="18"/>
  <c r="C9" i="18" l="1"/>
  <c r="E8" i="18"/>
  <c r="G8" i="18" s="1"/>
  <c r="F7" i="18"/>
  <c r="F5" i="17"/>
  <c r="F5" i="8"/>
  <c r="C6" i="8"/>
  <c r="D10" i="18"/>
  <c r="C10" i="18" l="1"/>
  <c r="E9" i="18"/>
  <c r="G9" i="18" s="1"/>
  <c r="F8" i="18"/>
  <c r="E6" i="8"/>
  <c r="G6" i="8" s="1"/>
  <c r="F6" i="8"/>
  <c r="D7" i="8"/>
  <c r="D11" i="18"/>
  <c r="D6" i="9"/>
  <c r="C11" i="18" l="1"/>
  <c r="F9" i="18"/>
  <c r="E10" i="18"/>
  <c r="C6" i="9"/>
  <c r="E6" i="9" s="1"/>
  <c r="G6" i="9" s="1"/>
  <c r="C7" i="8"/>
  <c r="D7" i="9"/>
  <c r="D12" i="18"/>
  <c r="C12" i="18" l="1"/>
  <c r="E11" i="18"/>
  <c r="G11" i="18" s="1"/>
  <c r="G10" i="18"/>
  <c r="F10" i="18"/>
  <c r="C7" i="9"/>
  <c r="F6" i="9"/>
  <c r="E7" i="8"/>
  <c r="G7" i="8" s="1"/>
  <c r="D8" i="8"/>
  <c r="D13" i="18"/>
  <c r="D8" i="9"/>
  <c r="C8" i="9" l="1"/>
  <c r="F7" i="8"/>
  <c r="C13" i="18"/>
  <c r="E12" i="18"/>
  <c r="G12" i="18" s="1"/>
  <c r="F11" i="18"/>
  <c r="E7" i="9"/>
  <c r="C8" i="8"/>
  <c r="D14" i="18"/>
  <c r="D6" i="17"/>
  <c r="E8" i="9" l="1"/>
  <c r="G8" i="9" s="1"/>
  <c r="C14" i="18"/>
  <c r="E13" i="18"/>
  <c r="G13" i="18" s="1"/>
  <c r="F12" i="18"/>
  <c r="C6" i="17"/>
  <c r="E6" i="17" s="1"/>
  <c r="G7" i="9"/>
  <c r="F7" i="9"/>
  <c r="D9" i="8"/>
  <c r="E8" i="8"/>
  <c r="G8" i="8" s="1"/>
  <c r="D9" i="9"/>
  <c r="D15" i="18"/>
  <c r="D7" i="17"/>
  <c r="F8" i="9" l="1"/>
  <c r="C15" i="18"/>
  <c r="F13" i="18"/>
  <c r="E14" i="18"/>
  <c r="C7" i="17"/>
  <c r="E7" i="17" s="1"/>
  <c r="G6" i="17"/>
  <c r="F6" i="17"/>
  <c r="F8" i="8"/>
  <c r="C9" i="9"/>
  <c r="C9" i="8"/>
  <c r="D8" i="17"/>
  <c r="D16" i="18"/>
  <c r="C16" i="18" l="1"/>
  <c r="G14" i="18"/>
  <c r="F14" i="18"/>
  <c r="E15" i="18"/>
  <c r="C8" i="17"/>
  <c r="E8" i="17" s="1"/>
  <c r="G7" i="17"/>
  <c r="F7" i="17"/>
  <c r="E9" i="9"/>
  <c r="G9" i="9" s="1"/>
  <c r="E9" i="8"/>
  <c r="G9" i="8" s="1"/>
  <c r="D10" i="8"/>
  <c r="D9" i="17"/>
  <c r="D17" i="18"/>
  <c r="C17" i="18" l="1"/>
  <c r="G15" i="18"/>
  <c r="F15" i="18"/>
  <c r="E16" i="18"/>
  <c r="C9" i="17"/>
  <c r="G8" i="17"/>
  <c r="F8" i="17"/>
  <c r="F9" i="9"/>
  <c r="F9" i="8"/>
  <c r="C10" i="8"/>
  <c r="D18" i="18"/>
  <c r="C18" i="18" l="1"/>
  <c r="E18" i="18" s="1"/>
  <c r="G16" i="18"/>
  <c r="F16" i="18"/>
  <c r="E17" i="18"/>
  <c r="E9" i="17"/>
  <c r="G9" i="17" s="1"/>
  <c r="E10" i="8"/>
  <c r="G10" i="8" s="1"/>
  <c r="D11" i="8"/>
  <c r="D19" i="18"/>
  <c r="D10" i="9"/>
  <c r="C19" i="18" l="1"/>
  <c r="E19" i="18" s="1"/>
  <c r="G17" i="18"/>
  <c r="F17" i="18"/>
  <c r="G18" i="18"/>
  <c r="F18" i="18"/>
  <c r="F9" i="17"/>
  <c r="C10" i="9"/>
  <c r="C11" i="8"/>
  <c r="F10" i="8"/>
  <c r="D11" i="9"/>
  <c r="D20" i="18"/>
  <c r="C11" i="9" l="1"/>
  <c r="C20" i="18"/>
  <c r="E20" i="18" s="1"/>
  <c r="G19" i="18"/>
  <c r="F19" i="18"/>
  <c r="E10" i="9"/>
  <c r="G10" i="9" s="1"/>
  <c r="E11" i="8"/>
  <c r="G11" i="8" s="1"/>
  <c r="D12" i="8"/>
  <c r="D21" i="18"/>
  <c r="C21" i="18" l="1"/>
  <c r="E21" i="18" s="1"/>
  <c r="G20" i="18"/>
  <c r="F20" i="18"/>
  <c r="E11" i="9"/>
  <c r="G11" i="9" s="1"/>
  <c r="F10" i="9"/>
  <c r="C12" i="8"/>
  <c r="F11" i="8"/>
  <c r="D22" i="18"/>
  <c r="C22" i="18" l="1"/>
  <c r="E22" i="18" s="1"/>
  <c r="G21" i="18"/>
  <c r="F21" i="18"/>
  <c r="F11" i="9"/>
  <c r="D13" i="8"/>
  <c r="E12" i="8"/>
  <c r="G12" i="8" s="1"/>
  <c r="D23" i="18"/>
  <c r="C23" i="18" l="1"/>
  <c r="E23" i="18" s="1"/>
  <c r="G22" i="18"/>
  <c r="F22" i="18"/>
  <c r="C13" i="8"/>
  <c r="F12" i="8"/>
  <c r="D24" i="18"/>
  <c r="C24" i="18" l="1"/>
  <c r="E24" i="18" s="1"/>
  <c r="F23" i="18"/>
  <c r="G23" i="18"/>
  <c r="E13" i="8"/>
  <c r="G13" i="8" s="1"/>
  <c r="D14" i="8"/>
  <c r="D25" i="18"/>
  <c r="D10" i="17"/>
  <c r="C25" i="18" l="1"/>
  <c r="E25" i="18" s="1"/>
  <c r="F24" i="18"/>
  <c r="G24" i="18"/>
  <c r="C10" i="17"/>
  <c r="F13" i="8"/>
  <c r="C14" i="8"/>
  <c r="D26" i="18"/>
  <c r="C26" i="18" l="1"/>
  <c r="E26" i="18" s="1"/>
  <c r="G25" i="18"/>
  <c r="F25" i="18"/>
  <c r="E10" i="17"/>
  <c r="G10" i="17" s="1"/>
  <c r="D15" i="8"/>
  <c r="E14" i="8"/>
  <c r="G14" i="8" s="1"/>
  <c r="D27" i="18"/>
  <c r="D11" i="17"/>
  <c r="C11" i="17" l="1"/>
  <c r="E11" i="17" s="1"/>
  <c r="G11" i="17" s="1"/>
  <c r="C27" i="18"/>
  <c r="E27" i="18" s="1"/>
  <c r="G26" i="18"/>
  <c r="F26" i="18"/>
  <c r="F10" i="17"/>
  <c r="F14" i="8"/>
  <c r="C15" i="8"/>
  <c r="D28" i="18"/>
  <c r="D12" i="17"/>
  <c r="C12" i="17" l="1"/>
  <c r="C28" i="18"/>
  <c r="E28" i="18" s="1"/>
  <c r="F27" i="18"/>
  <c r="G27" i="18"/>
  <c r="F11" i="17"/>
  <c r="E15" i="8"/>
  <c r="G15" i="8" s="1"/>
  <c r="D16" i="8"/>
  <c r="F15" i="8"/>
  <c r="D13" i="17"/>
  <c r="D29" i="18"/>
  <c r="C13" i="17" l="1"/>
  <c r="E12" i="17"/>
  <c r="C29" i="18"/>
  <c r="F28" i="18"/>
  <c r="G28" i="18"/>
  <c r="C16" i="8"/>
  <c r="D30" i="18"/>
  <c r="E13" i="17" l="1"/>
  <c r="G13" i="17" s="1"/>
  <c r="G12" i="17"/>
  <c r="F12" i="17"/>
  <c r="C30" i="18"/>
  <c r="E29" i="18"/>
  <c r="G29" i="18" s="1"/>
  <c r="D17" i="8"/>
  <c r="E16" i="8"/>
  <c r="G16" i="8" s="1"/>
  <c r="D31" i="18"/>
  <c r="F13" i="17" l="1"/>
  <c r="C31" i="18"/>
  <c r="E30" i="18"/>
  <c r="G30" i="18" s="1"/>
  <c r="F29" i="18"/>
  <c r="F16" i="8"/>
  <c r="C17" i="8"/>
  <c r="D32" i="18"/>
  <c r="C32" i="18" l="1"/>
  <c r="E31" i="18"/>
  <c r="G31" i="18" s="1"/>
  <c r="F30" i="18"/>
  <c r="E17" i="8"/>
  <c r="G17" i="8" s="1"/>
  <c r="D18" i="8"/>
  <c r="D33" i="18"/>
  <c r="C33" i="18" l="1"/>
  <c r="E33" i="18" s="1"/>
  <c r="E32" i="18"/>
  <c r="G32" i="18" s="1"/>
  <c r="F31" i="18"/>
  <c r="F17" i="8"/>
  <c r="C18" i="8"/>
  <c r="D34" i="18"/>
  <c r="C34" i="18" l="1"/>
  <c r="E34" i="18" s="1"/>
  <c r="F32" i="18"/>
  <c r="G33" i="18"/>
  <c r="F33" i="18"/>
  <c r="E18" i="8"/>
  <c r="G18" i="8" s="1"/>
  <c r="D19" i="8"/>
  <c r="D35" i="18"/>
  <c r="F18" i="8" l="1"/>
  <c r="C35" i="18"/>
  <c r="E35" i="18" s="1"/>
  <c r="G34" i="18"/>
  <c r="F34" i="18"/>
  <c r="C19" i="8"/>
  <c r="D36" i="18"/>
  <c r="C36" i="18" l="1"/>
  <c r="E36" i="18" s="1"/>
  <c r="G35" i="18"/>
  <c r="F35" i="18"/>
  <c r="E19" i="8"/>
  <c r="G19" i="8" s="1"/>
  <c r="D20" i="8"/>
  <c r="D37" i="18"/>
  <c r="C37" i="18" l="1"/>
  <c r="E37" i="18" s="1"/>
  <c r="G36" i="18"/>
  <c r="F36" i="18"/>
  <c r="F19" i="8"/>
  <c r="C20" i="8"/>
  <c r="D38" i="18"/>
  <c r="C38" i="18" l="1"/>
  <c r="E38" i="18" s="1"/>
  <c r="G37" i="18"/>
  <c r="F37" i="18"/>
  <c r="E20" i="8"/>
  <c r="G20" i="8" s="1"/>
  <c r="D21" i="8"/>
  <c r="D39" i="18"/>
  <c r="F20" i="8" l="1"/>
  <c r="C39" i="18"/>
  <c r="E39" i="18" s="1"/>
  <c r="G38" i="18"/>
  <c r="F38" i="18"/>
  <c r="C21" i="8"/>
  <c r="D40" i="18"/>
  <c r="C40" i="18" l="1"/>
  <c r="E40" i="18" s="1"/>
  <c r="G39" i="18"/>
  <c r="F39" i="18"/>
  <c r="E21" i="8"/>
  <c r="G21" i="8" s="1"/>
  <c r="F21" i="8"/>
  <c r="D22" i="8"/>
  <c r="D41" i="18"/>
  <c r="C41" i="18" l="1"/>
  <c r="E41" i="18" s="1"/>
  <c r="G40" i="18"/>
  <c r="F40" i="18"/>
  <c r="C22" i="8"/>
  <c r="D12" i="9"/>
  <c r="D42" i="18"/>
  <c r="C42" i="18" l="1"/>
  <c r="E42" i="18" s="1"/>
  <c r="G41" i="18"/>
  <c r="F41" i="18"/>
  <c r="C12" i="9"/>
  <c r="D23" i="8"/>
  <c r="E22" i="8"/>
  <c r="G22" i="8" s="1"/>
  <c r="D13" i="9"/>
  <c r="D43" i="18"/>
  <c r="F22" i="8" l="1"/>
  <c r="C43" i="18"/>
  <c r="E43" i="18" s="1"/>
  <c r="G42" i="18"/>
  <c r="F42" i="18"/>
  <c r="C13" i="9"/>
  <c r="E12" i="9"/>
  <c r="G12" i="9" s="1"/>
  <c r="C23" i="8"/>
  <c r="D14" i="9"/>
  <c r="D44" i="18"/>
  <c r="C44" i="18" l="1"/>
  <c r="E44" i="18" s="1"/>
  <c r="F43" i="18"/>
  <c r="G43" i="18"/>
  <c r="F12" i="9"/>
  <c r="C14" i="9"/>
  <c r="E13" i="9"/>
  <c r="G13" i="9" s="1"/>
  <c r="E23" i="8"/>
  <c r="G23" i="8" s="1"/>
  <c r="D24" i="8"/>
  <c r="D14" i="17"/>
  <c r="D45" i="18"/>
  <c r="C45" i="18" l="1"/>
  <c r="E45" i="18" s="1"/>
  <c r="G44" i="18"/>
  <c r="F44" i="18"/>
  <c r="C14" i="17"/>
  <c r="F23" i="8"/>
  <c r="F13" i="9"/>
  <c r="E14" i="9"/>
  <c r="G14" i="9" s="1"/>
  <c r="C24" i="8"/>
  <c r="D46" i="18"/>
  <c r="D15" i="17"/>
  <c r="C46" i="18" l="1"/>
  <c r="E46" i="18" s="1"/>
  <c r="G45" i="18"/>
  <c r="F45" i="18"/>
  <c r="C15" i="17"/>
  <c r="E14" i="17"/>
  <c r="G14" i="17" s="1"/>
  <c r="F14" i="9"/>
  <c r="E24" i="8"/>
  <c r="G24" i="8" s="1"/>
  <c r="D25" i="8"/>
  <c r="D47" i="18"/>
  <c r="D16" i="17"/>
  <c r="C47" i="18" l="1"/>
  <c r="E47" i="18" s="1"/>
  <c r="G46" i="18"/>
  <c r="F46" i="18"/>
  <c r="F14" i="17"/>
  <c r="C16" i="17"/>
  <c r="E15" i="17"/>
  <c r="G15" i="17" s="1"/>
  <c r="F24" i="8"/>
  <c r="C25" i="8"/>
  <c r="D17" i="17"/>
  <c r="D48" i="18"/>
  <c r="C48" i="18" l="1"/>
  <c r="E48" i="18" s="1"/>
  <c r="G47" i="18"/>
  <c r="F47" i="18"/>
  <c r="F15" i="17"/>
  <c r="C17" i="17"/>
  <c r="E16" i="17"/>
  <c r="G16" i="17" s="1"/>
  <c r="E25" i="8"/>
  <c r="G25" i="8" s="1"/>
  <c r="D26" i="8"/>
  <c r="D49" i="18"/>
  <c r="D18" i="17"/>
  <c r="C49" i="18" l="1"/>
  <c r="E49" i="18" s="1"/>
  <c r="F48" i="18"/>
  <c r="G48" i="18"/>
  <c r="F16" i="17"/>
  <c r="C18" i="17"/>
  <c r="E17" i="17"/>
  <c r="G17" i="17" s="1"/>
  <c r="F25" i="8"/>
  <c r="C26" i="8"/>
  <c r="D15" i="9"/>
  <c r="D19" i="17"/>
  <c r="D50" i="18"/>
  <c r="C50" i="18" l="1"/>
  <c r="E50" i="18" s="1"/>
  <c r="G49" i="18"/>
  <c r="F49" i="18"/>
  <c r="F17" i="17"/>
  <c r="C19" i="17"/>
  <c r="E18" i="17"/>
  <c r="G18" i="17" s="1"/>
  <c r="C15" i="9"/>
  <c r="D27" i="8"/>
  <c r="E26" i="8"/>
  <c r="G26" i="8" s="1"/>
  <c r="D51" i="18"/>
  <c r="D20" i="17"/>
  <c r="D16" i="9"/>
  <c r="C51" i="18" l="1"/>
  <c r="E51" i="18" s="1"/>
  <c r="G50" i="18"/>
  <c r="F50" i="18"/>
  <c r="C20" i="17"/>
  <c r="F18" i="17"/>
  <c r="E19" i="17"/>
  <c r="G19" i="17" s="1"/>
  <c r="C16" i="9"/>
  <c r="E15" i="9"/>
  <c r="G15" i="9" s="1"/>
  <c r="C27" i="8"/>
  <c r="F26" i="8"/>
  <c r="D21" i="17"/>
  <c r="D52" i="18"/>
  <c r="D17" i="9"/>
  <c r="C52" i="18" l="1"/>
  <c r="E52" i="18" s="1"/>
  <c r="F51" i="18"/>
  <c r="G51" i="18"/>
  <c r="C21" i="17"/>
  <c r="F19" i="17"/>
  <c r="E20" i="17"/>
  <c r="G20" i="17" s="1"/>
  <c r="C17" i="9"/>
  <c r="F15" i="9"/>
  <c r="E16" i="9"/>
  <c r="G16" i="9" s="1"/>
  <c r="E27" i="8"/>
  <c r="G27" i="8" s="1"/>
  <c r="D28" i="8"/>
  <c r="D53" i="18"/>
  <c r="D22" i="17"/>
  <c r="D18" i="9"/>
  <c r="C53" i="18" l="1"/>
  <c r="E53" i="18" s="1"/>
  <c r="G52" i="18"/>
  <c r="F52" i="18"/>
  <c r="F20" i="17"/>
  <c r="C22" i="17"/>
  <c r="E21" i="17"/>
  <c r="G21" i="17" s="1"/>
  <c r="C18" i="9"/>
  <c r="F16" i="9"/>
  <c r="E17" i="9"/>
  <c r="G17" i="9" s="1"/>
  <c r="F27" i="8"/>
  <c r="C28" i="8"/>
  <c r="D54" i="18"/>
  <c r="D23" i="17"/>
  <c r="D19" i="9"/>
  <c r="C19" i="9" l="1"/>
  <c r="C54" i="18"/>
  <c r="E54" i="18" s="1"/>
  <c r="G53" i="18"/>
  <c r="F53" i="18"/>
  <c r="F17" i="9"/>
  <c r="F21" i="17"/>
  <c r="C23" i="17"/>
  <c r="E22" i="17"/>
  <c r="G22" i="17" s="1"/>
  <c r="E18" i="9"/>
  <c r="G18" i="9" s="1"/>
  <c r="E28" i="8"/>
  <c r="G28" i="8" s="1"/>
  <c r="D29" i="8"/>
  <c r="D55" i="18"/>
  <c r="D24" i="17"/>
  <c r="D20" i="9"/>
  <c r="C20" i="9" l="1"/>
  <c r="E19" i="9"/>
  <c r="G19" i="9" s="1"/>
  <c r="C55" i="18"/>
  <c r="E55" i="18" s="1"/>
  <c r="G54" i="18"/>
  <c r="F54" i="18"/>
  <c r="F22" i="17"/>
  <c r="C24" i="17"/>
  <c r="E23" i="17"/>
  <c r="G23" i="17" s="1"/>
  <c r="F18" i="9"/>
  <c r="C29" i="8"/>
  <c r="F28" i="8"/>
  <c r="D56" i="18"/>
  <c r="D21" i="9"/>
  <c r="D25" i="17"/>
  <c r="C21" i="9" l="1"/>
  <c r="E20" i="9"/>
  <c r="G20" i="9" s="1"/>
  <c r="F19" i="9"/>
  <c r="C56" i="18"/>
  <c r="E56" i="18" s="1"/>
  <c r="G55" i="18"/>
  <c r="F55" i="18"/>
  <c r="C25" i="17"/>
  <c r="F23" i="17"/>
  <c r="E24" i="17"/>
  <c r="G24" i="17" s="1"/>
  <c r="E29" i="8"/>
  <c r="G29" i="8" s="1"/>
  <c r="D30" i="8"/>
  <c r="D57" i="18"/>
  <c r="D26" i="17"/>
  <c r="D22" i="9"/>
  <c r="C22" i="9" l="1"/>
  <c r="E21" i="9"/>
  <c r="G21" i="9" s="1"/>
  <c r="F20" i="9"/>
  <c r="C57" i="18"/>
  <c r="E57" i="18" s="1"/>
  <c r="G56" i="18"/>
  <c r="F56" i="18"/>
  <c r="C26" i="17"/>
  <c r="F24" i="17"/>
  <c r="E25" i="17"/>
  <c r="G25" i="17" s="1"/>
  <c r="C30" i="8"/>
  <c r="F29" i="8"/>
  <c r="D58" i="18"/>
  <c r="D23" i="9"/>
  <c r="D27" i="17"/>
  <c r="C23" i="9" l="1"/>
  <c r="E22" i="9"/>
  <c r="G22" i="9" s="1"/>
  <c r="F21" i="9"/>
  <c r="C58" i="18"/>
  <c r="E58" i="18" s="1"/>
  <c r="G57" i="18"/>
  <c r="F57" i="18"/>
  <c r="F25" i="17"/>
  <c r="C27" i="17"/>
  <c r="E26" i="17"/>
  <c r="G26" i="17" s="1"/>
  <c r="E30" i="8"/>
  <c r="G30" i="8" s="1"/>
  <c r="D31" i="8"/>
  <c r="D28" i="17"/>
  <c r="D59" i="18"/>
  <c r="D24" i="9"/>
  <c r="C24" i="9" l="1"/>
  <c r="E23" i="9"/>
  <c r="G23" i="9" s="1"/>
  <c r="F22" i="9"/>
  <c r="C59" i="18"/>
  <c r="E59" i="18" s="1"/>
  <c r="G58" i="18"/>
  <c r="F58" i="18"/>
  <c r="F26" i="17"/>
  <c r="C28" i="17"/>
  <c r="E27" i="17"/>
  <c r="G27" i="17" s="1"/>
  <c r="F30" i="8"/>
  <c r="C31" i="8"/>
  <c r="D29" i="17"/>
  <c r="D60" i="18"/>
  <c r="C29" i="17" l="1"/>
  <c r="E24" i="9"/>
  <c r="G24" i="9" s="1"/>
  <c r="F23" i="9"/>
  <c r="C60" i="18"/>
  <c r="E60" i="18" s="1"/>
  <c r="G59" i="18"/>
  <c r="F59" i="18"/>
  <c r="F27" i="17"/>
  <c r="E28" i="17"/>
  <c r="G28" i="17" s="1"/>
  <c r="E31" i="8"/>
  <c r="G31" i="8" s="1"/>
  <c r="D32" i="8"/>
  <c r="D61" i="18"/>
  <c r="D30" i="17"/>
  <c r="C30" i="17" l="1"/>
  <c r="E29" i="17"/>
  <c r="G29" i="17" s="1"/>
  <c r="F24" i="9"/>
  <c r="C61" i="18"/>
  <c r="E61" i="18" s="1"/>
  <c r="G60" i="18"/>
  <c r="F60" i="18"/>
  <c r="F28" i="17"/>
  <c r="F31" i="8"/>
  <c r="C32" i="8"/>
  <c r="D62" i="18"/>
  <c r="D31" i="17"/>
  <c r="C31" i="17" l="1"/>
  <c r="E31" i="17" s="1"/>
  <c r="G31" i="17" s="1"/>
  <c r="E30" i="17"/>
  <c r="G30" i="17" s="1"/>
  <c r="F29" i="17"/>
  <c r="C62" i="18"/>
  <c r="E62" i="18" s="1"/>
  <c r="G61" i="18"/>
  <c r="F61" i="18"/>
  <c r="D33" i="8"/>
  <c r="E32" i="8"/>
  <c r="G32" i="8" s="1"/>
  <c r="D63" i="18"/>
  <c r="F31" i="17" l="1"/>
  <c r="F30" i="17"/>
  <c r="F32" i="8"/>
  <c r="C63" i="18"/>
  <c r="E63" i="18" s="1"/>
  <c r="F62" i="18"/>
  <c r="G62" i="18"/>
  <c r="C33" i="8"/>
  <c r="D64" i="18"/>
  <c r="C64" i="18" l="1"/>
  <c r="E64" i="18" s="1"/>
  <c r="G63" i="18"/>
  <c r="F63" i="18"/>
  <c r="E33" i="8"/>
  <c r="G33" i="8" s="1"/>
  <c r="F33" i="8"/>
  <c r="D34" i="8"/>
  <c r="D65" i="18"/>
  <c r="C65" i="18" l="1"/>
  <c r="E65" i="18" s="1"/>
  <c r="G64" i="18"/>
  <c r="F64" i="18"/>
  <c r="C34" i="8"/>
  <c r="D66" i="18"/>
  <c r="C66" i="18" l="1"/>
  <c r="E66" i="18" s="1"/>
  <c r="F65" i="18"/>
  <c r="G65" i="18"/>
  <c r="D35" i="8"/>
  <c r="E34" i="8"/>
  <c r="G34" i="8" s="1"/>
  <c r="D67" i="18"/>
  <c r="C67" i="18" l="1"/>
  <c r="E67" i="18" s="1"/>
  <c r="F66" i="18"/>
  <c r="G66" i="18"/>
  <c r="F34" i="8"/>
  <c r="C35" i="8"/>
  <c r="D68" i="18"/>
  <c r="C68" i="18" l="1"/>
  <c r="E68" i="18" s="1"/>
  <c r="G67" i="18"/>
  <c r="F67" i="18"/>
  <c r="E35" i="8"/>
  <c r="G35" i="8" s="1"/>
  <c r="D36" i="8"/>
  <c r="D69" i="18"/>
  <c r="C69" i="18" l="1"/>
  <c r="E69" i="18" s="1"/>
  <c r="G68" i="18"/>
  <c r="F68" i="18"/>
  <c r="F35" i="8"/>
  <c r="C36" i="8"/>
  <c r="D70" i="18"/>
  <c r="C70" i="18" l="1"/>
  <c r="E70" i="18" s="1"/>
  <c r="G69" i="18"/>
  <c r="F69" i="18"/>
  <c r="E36" i="8"/>
  <c r="G36" i="8" s="1"/>
  <c r="D37" i="8"/>
  <c r="D71" i="18"/>
  <c r="C71" i="18" l="1"/>
  <c r="E71" i="18" s="1"/>
  <c r="G70" i="18"/>
  <c r="F70" i="18"/>
  <c r="C37" i="8"/>
  <c r="F36" i="8"/>
  <c r="D72" i="18"/>
  <c r="C72" i="18" l="1"/>
  <c r="E72" i="18" s="1"/>
  <c r="G71" i="18"/>
  <c r="F71" i="18"/>
  <c r="E37" i="8"/>
  <c r="G37" i="8" s="1"/>
  <c r="D38" i="8"/>
  <c r="D73" i="18"/>
  <c r="C73" i="18" l="1"/>
  <c r="E73" i="18" s="1"/>
  <c r="G72" i="18"/>
  <c r="F72" i="18"/>
  <c r="F37" i="8"/>
  <c r="C38" i="8"/>
  <c r="D74" i="18"/>
  <c r="C74" i="18" l="1"/>
  <c r="E74" i="18" s="1"/>
  <c r="G73" i="18"/>
  <c r="F73" i="18"/>
  <c r="D39" i="8"/>
  <c r="E38" i="8"/>
  <c r="G38" i="8" s="1"/>
  <c r="D75" i="18"/>
  <c r="C75" i="18" l="1"/>
  <c r="E75" i="18" s="1"/>
  <c r="G74" i="18"/>
  <c r="F74" i="18"/>
  <c r="F38" i="8"/>
  <c r="C39" i="8"/>
  <c r="D76" i="18"/>
  <c r="C76" i="18" l="1"/>
  <c r="E76" i="18" s="1"/>
  <c r="G75" i="18"/>
  <c r="F75" i="18"/>
  <c r="E39" i="8"/>
  <c r="G39" i="8" s="1"/>
  <c r="D40" i="8"/>
  <c r="F39" i="8"/>
  <c r="D77" i="18"/>
  <c r="C77" i="18" l="1"/>
  <c r="E77" i="18" s="1"/>
  <c r="F76" i="18"/>
  <c r="G76" i="18"/>
  <c r="C40" i="8"/>
  <c r="D78" i="18"/>
  <c r="C78" i="18" l="1"/>
  <c r="E78" i="18" s="1"/>
  <c r="G77" i="18"/>
  <c r="F77" i="18"/>
  <c r="E40" i="8"/>
  <c r="G40" i="8" s="1"/>
  <c r="D41" i="8"/>
  <c r="D79" i="18"/>
  <c r="C79" i="18" l="1"/>
  <c r="E79" i="18" s="1"/>
  <c r="G78" i="18"/>
  <c r="F78" i="18"/>
  <c r="F40" i="8"/>
  <c r="C41" i="8"/>
  <c r="D80" i="18"/>
  <c r="C80" i="18" l="1"/>
  <c r="E80" i="18" s="1"/>
  <c r="G79" i="18"/>
  <c r="F79" i="18"/>
  <c r="E41" i="8"/>
  <c r="G41" i="8" s="1"/>
  <c r="D42" i="8"/>
  <c r="D81" i="18"/>
  <c r="C81" i="18" l="1"/>
  <c r="E81" i="18" s="1"/>
  <c r="G80" i="18"/>
  <c r="F80" i="18"/>
  <c r="F41" i="8"/>
  <c r="C42" i="8"/>
  <c r="D82" i="18"/>
  <c r="C82" i="18" l="1"/>
  <c r="E82" i="18" s="1"/>
  <c r="G81" i="18"/>
  <c r="F81" i="18"/>
  <c r="E42" i="8"/>
  <c r="G42" i="8" s="1"/>
  <c r="D43" i="8"/>
  <c r="D83" i="18"/>
  <c r="C83" i="18" l="1"/>
  <c r="E83" i="18" s="1"/>
  <c r="G82" i="18"/>
  <c r="F82" i="18"/>
  <c r="C43" i="8"/>
  <c r="F42" i="8"/>
  <c r="D84" i="18"/>
  <c r="C84" i="18" l="1"/>
  <c r="E84" i="18" s="1"/>
  <c r="G83" i="18"/>
  <c r="F83" i="18"/>
  <c r="E43" i="8"/>
  <c r="G43" i="8" s="1"/>
  <c r="D44" i="8"/>
  <c r="D85" i="18"/>
  <c r="C85" i="18" l="1"/>
  <c r="E85" i="18" s="1"/>
  <c r="G84" i="18"/>
  <c r="F84" i="18"/>
  <c r="F43" i="8"/>
  <c r="C44" i="8"/>
  <c r="D86" i="18"/>
  <c r="C86" i="18" l="1"/>
  <c r="E86" i="18" s="1"/>
  <c r="G85" i="18"/>
  <c r="F85" i="18"/>
  <c r="D45" i="8"/>
  <c r="E44" i="8"/>
  <c r="G44" i="8" s="1"/>
  <c r="D87" i="18"/>
  <c r="C87" i="18" l="1"/>
  <c r="E87" i="18" s="1"/>
  <c r="G86" i="18"/>
  <c r="F86" i="18"/>
  <c r="F44" i="8"/>
  <c r="C45" i="8"/>
  <c r="D88" i="18"/>
  <c r="C88" i="18" l="1"/>
  <c r="E88" i="18" s="1"/>
  <c r="G87" i="18"/>
  <c r="F87" i="18"/>
  <c r="E45" i="8"/>
  <c r="G45" i="8" s="1"/>
  <c r="D46" i="8"/>
  <c r="D89" i="18"/>
  <c r="F45" i="8" l="1"/>
  <c r="C89" i="18"/>
  <c r="E89" i="18" s="1"/>
  <c r="G88" i="18"/>
  <c r="F88" i="18"/>
  <c r="C46" i="8"/>
  <c r="D90" i="18"/>
  <c r="C90" i="18" l="1"/>
  <c r="E90" i="18" s="1"/>
  <c r="G89" i="18"/>
  <c r="F89" i="18"/>
  <c r="D47" i="8"/>
  <c r="E46" i="8"/>
  <c r="G46" i="8" s="1"/>
  <c r="D91" i="18"/>
  <c r="C91" i="18" l="1"/>
  <c r="G90" i="18"/>
  <c r="F90" i="18"/>
  <c r="F46" i="8"/>
  <c r="C47" i="8"/>
  <c r="E91" i="18" l="1"/>
  <c r="G91" i="18" s="1"/>
  <c r="E47" i="8"/>
  <c r="G47" i="8" s="1"/>
  <c r="D48" i="8"/>
  <c r="F47" i="8" l="1"/>
  <c r="F91" i="18"/>
  <c r="C48" i="8"/>
  <c r="E48" i="8" l="1"/>
  <c r="G48" i="8" s="1"/>
  <c r="F48" i="8"/>
  <c r="D49" i="8"/>
  <c r="D92" i="18"/>
  <c r="C92" i="18" l="1"/>
  <c r="C49" i="8"/>
  <c r="D93" i="18"/>
  <c r="C93" i="18" l="1"/>
  <c r="E92" i="18"/>
  <c r="G92" i="18" s="1"/>
  <c r="E49" i="8"/>
  <c r="G49" i="8" s="1"/>
  <c r="D50" i="8"/>
  <c r="D94" i="18"/>
  <c r="F49" i="8" l="1"/>
  <c r="F92" i="18"/>
  <c r="C94" i="18"/>
  <c r="E93" i="18"/>
  <c r="G93" i="18" s="1"/>
  <c r="C50" i="8"/>
  <c r="D95" i="18"/>
  <c r="F93" i="18" l="1"/>
  <c r="C95" i="18"/>
  <c r="E94" i="18"/>
  <c r="G94" i="18" s="1"/>
  <c r="D51" i="8"/>
  <c r="E50" i="8"/>
  <c r="G50" i="8" s="1"/>
  <c r="D96" i="18"/>
  <c r="F50" i="8" l="1"/>
  <c r="F94" i="18"/>
  <c r="C96" i="18"/>
  <c r="E95" i="18"/>
  <c r="G95" i="18" s="1"/>
  <c r="C51" i="8"/>
  <c r="D97" i="18"/>
  <c r="F95" i="18" l="1"/>
  <c r="C97" i="18"/>
  <c r="E96" i="18"/>
  <c r="G96" i="18" s="1"/>
  <c r="E51" i="8"/>
  <c r="G51" i="8" s="1"/>
  <c r="D52" i="8"/>
  <c r="D98" i="18"/>
  <c r="F51" i="8" l="1"/>
  <c r="F96" i="18"/>
  <c r="C98" i="18"/>
  <c r="E97" i="18"/>
  <c r="G97" i="18" s="1"/>
  <c r="C52" i="8"/>
  <c r="D99" i="18"/>
  <c r="F97" i="18" l="1"/>
  <c r="C99" i="18"/>
  <c r="E98" i="18"/>
  <c r="G98" i="18" s="1"/>
  <c r="E52" i="8"/>
  <c r="G52" i="8" s="1"/>
  <c r="D53" i="8"/>
  <c r="D100" i="18"/>
  <c r="F52" i="8" l="1"/>
  <c r="F98" i="18"/>
  <c r="C100" i="18"/>
  <c r="E99" i="18"/>
  <c r="G99" i="18" s="1"/>
  <c r="C53" i="8"/>
  <c r="D101" i="18"/>
  <c r="F99" i="18" l="1"/>
  <c r="C101" i="18"/>
  <c r="E100" i="18"/>
  <c r="G100" i="18" s="1"/>
  <c r="E53" i="8"/>
  <c r="G53" i="8" s="1"/>
  <c r="D54" i="8"/>
  <c r="D102" i="18"/>
  <c r="F53" i="8" l="1"/>
  <c r="F100" i="18"/>
  <c r="C102" i="18"/>
  <c r="E101" i="18"/>
  <c r="G101" i="18" s="1"/>
  <c r="C54" i="8"/>
  <c r="D103" i="18"/>
  <c r="F101" i="18" l="1"/>
  <c r="C103" i="18"/>
  <c r="E102" i="18"/>
  <c r="G102" i="18" s="1"/>
  <c r="E54" i="8"/>
  <c r="G54" i="8" s="1"/>
  <c r="D104" i="18"/>
  <c r="C104" i="18" l="1"/>
  <c r="F102" i="18"/>
  <c r="E103" i="18"/>
  <c r="G103" i="18" s="1"/>
  <c r="F54" i="8"/>
  <c r="F103" i="18" l="1"/>
  <c r="E104" i="18"/>
  <c r="G104" i="18" s="1"/>
  <c r="F104" i="18" l="1"/>
  <c r="D105" i="18"/>
  <c r="C105" i="18" l="1"/>
  <c r="D106" i="18"/>
  <c r="C106" i="18" l="1"/>
  <c r="E105" i="18"/>
  <c r="G105" i="18" s="1"/>
  <c r="D107" i="18"/>
  <c r="C107" i="18" l="1"/>
  <c r="F105" i="18"/>
  <c r="E106" i="18"/>
  <c r="G106" i="18" s="1"/>
  <c r="D108" i="18"/>
  <c r="F106" i="18" l="1"/>
  <c r="C108" i="18"/>
  <c r="E107" i="18"/>
  <c r="G107" i="18" s="1"/>
  <c r="D109" i="18"/>
  <c r="F107" i="18" l="1"/>
  <c r="C109" i="18"/>
  <c r="E108" i="18"/>
  <c r="G108" i="18" s="1"/>
  <c r="D110" i="18"/>
  <c r="C110" i="18" l="1"/>
  <c r="F108" i="18"/>
  <c r="E109" i="18"/>
  <c r="G109" i="18" s="1"/>
  <c r="D111" i="18"/>
  <c r="C111" i="18" l="1"/>
  <c r="E111" i="18" s="1"/>
  <c r="G111" i="18" s="1"/>
  <c r="E110" i="18"/>
  <c r="G110" i="18" s="1"/>
  <c r="F109" i="18"/>
  <c r="D112" i="18"/>
  <c r="C112" i="18" l="1"/>
  <c r="E112" i="18" s="1"/>
  <c r="G112" i="18" s="1"/>
  <c r="F110" i="18"/>
  <c r="F111" i="18"/>
  <c r="D113" i="18"/>
  <c r="C113" i="18" l="1"/>
  <c r="E113" i="18" s="1"/>
  <c r="G113" i="18" s="1"/>
  <c r="F112" i="18"/>
  <c r="D114" i="18"/>
  <c r="C114" i="18" l="1"/>
  <c r="E114" i="18" s="1"/>
  <c r="G114" i="18" s="1"/>
  <c r="F113" i="18"/>
  <c r="D115" i="18"/>
  <c r="C115" i="18" l="1"/>
  <c r="E115" i="18" s="1"/>
  <c r="G115" i="18" s="1"/>
  <c r="F114" i="18"/>
  <c r="D116" i="18"/>
  <c r="C116" i="18" l="1"/>
  <c r="E116" i="18" s="1"/>
  <c r="G116" i="18" s="1"/>
  <c r="F115" i="18"/>
  <c r="D117" i="18"/>
  <c r="C117" i="18" l="1"/>
  <c r="E117" i="18" s="1"/>
  <c r="G117" i="18" s="1"/>
  <c r="F116" i="18"/>
  <c r="D118" i="18"/>
  <c r="C118" i="18" l="1"/>
  <c r="F117" i="18"/>
  <c r="D119" i="18"/>
  <c r="C119" i="18" l="1"/>
  <c r="E118" i="18"/>
  <c r="G118" i="18" s="1"/>
  <c r="D120" i="18"/>
  <c r="F118" i="18" l="1"/>
  <c r="C120" i="18"/>
  <c r="E119" i="18"/>
  <c r="G119" i="18" s="1"/>
  <c r="D121" i="18"/>
  <c r="C121" i="18" l="1"/>
  <c r="E120" i="18"/>
  <c r="G120" i="18" s="1"/>
  <c r="F119" i="18"/>
  <c r="D122" i="18"/>
  <c r="C122" i="18" l="1"/>
  <c r="F120" i="18"/>
  <c r="E121" i="18"/>
  <c r="G121" i="18" s="1"/>
  <c r="D123" i="18"/>
  <c r="C123" i="18" l="1"/>
  <c r="F121" i="18"/>
  <c r="E122" i="18"/>
  <c r="G122" i="18" s="1"/>
  <c r="D124" i="18"/>
  <c r="C124" i="18" l="1"/>
  <c r="F122" i="18"/>
  <c r="E123" i="18"/>
  <c r="G123" i="18" s="1"/>
  <c r="D125" i="18"/>
  <c r="C125" i="18" l="1"/>
  <c r="F123" i="18"/>
  <c r="E124" i="18"/>
  <c r="G124" i="18" s="1"/>
  <c r="D126" i="18"/>
  <c r="F124" i="18" l="1"/>
  <c r="C126" i="18"/>
  <c r="E125" i="18"/>
  <c r="G125" i="18" s="1"/>
  <c r="D127" i="18"/>
  <c r="C127" i="18" l="1"/>
  <c r="F125" i="18"/>
  <c r="E126" i="18"/>
  <c r="G126" i="18" s="1"/>
  <c r="D128" i="18"/>
  <c r="C128" i="18" l="1"/>
  <c r="E127" i="18"/>
  <c r="G127" i="18" s="1"/>
  <c r="F126" i="18"/>
  <c r="D129" i="18"/>
  <c r="C129" i="18" l="1"/>
  <c r="F127" i="18"/>
  <c r="E128" i="18"/>
  <c r="G128" i="18" s="1"/>
  <c r="D130" i="18"/>
  <c r="C130" i="18" l="1"/>
  <c r="E129" i="18"/>
  <c r="G129" i="18" s="1"/>
  <c r="F128" i="18"/>
  <c r="D131" i="18"/>
  <c r="C131" i="18" l="1"/>
  <c r="F129" i="18"/>
  <c r="E130" i="18"/>
  <c r="G130" i="18" s="1"/>
  <c r="D132" i="18"/>
  <c r="C132" i="18" l="1"/>
  <c r="F130" i="18"/>
  <c r="E131" i="18"/>
  <c r="G131" i="18" s="1"/>
  <c r="D133" i="18"/>
  <c r="C133" i="18" l="1"/>
  <c r="F131" i="18"/>
  <c r="E132" i="18"/>
  <c r="G132" i="18" s="1"/>
  <c r="D134" i="18"/>
  <c r="F132" i="18" l="1"/>
  <c r="C134" i="18"/>
  <c r="E133" i="18"/>
  <c r="G133" i="18" s="1"/>
  <c r="D135" i="18"/>
  <c r="C135" i="18" l="1"/>
  <c r="F133" i="18"/>
  <c r="E134" i="18"/>
  <c r="G134" i="18" s="1"/>
  <c r="D136" i="18"/>
  <c r="C136" i="18" l="1"/>
  <c r="E135" i="18"/>
  <c r="G135" i="18" s="1"/>
  <c r="F134" i="18"/>
  <c r="D137" i="18"/>
  <c r="C137" i="18" l="1"/>
  <c r="F135" i="18"/>
  <c r="E136" i="18"/>
  <c r="G136" i="18" s="1"/>
  <c r="D138" i="18"/>
  <c r="C138" i="18" l="1"/>
  <c r="F136" i="18"/>
  <c r="E137" i="18"/>
  <c r="G137" i="18" s="1"/>
  <c r="D139" i="18"/>
  <c r="C139" i="18" l="1"/>
  <c r="F137" i="18"/>
  <c r="E138" i="18"/>
  <c r="G138" i="18" s="1"/>
  <c r="D140" i="18"/>
  <c r="C140" i="18" l="1"/>
  <c r="E139" i="18"/>
  <c r="G139" i="18" s="1"/>
  <c r="F138" i="18"/>
  <c r="D141" i="18"/>
  <c r="C141" i="18" l="1"/>
  <c r="F139" i="18"/>
  <c r="E140" i="18"/>
  <c r="G140" i="18" s="1"/>
  <c r="D142" i="18"/>
  <c r="C142" i="18" l="1"/>
  <c r="F140" i="18"/>
  <c r="E141" i="18"/>
  <c r="G141" i="18" s="1"/>
  <c r="D143" i="18"/>
  <c r="F141" i="18" l="1"/>
  <c r="C143" i="18"/>
  <c r="E142" i="18"/>
  <c r="G142" i="18" s="1"/>
  <c r="D144" i="18"/>
  <c r="C144" i="18" l="1"/>
  <c r="F142" i="18"/>
  <c r="E143" i="18"/>
  <c r="G143" i="18" s="1"/>
  <c r="D145" i="18"/>
  <c r="C145" i="18" l="1"/>
  <c r="F143" i="18"/>
  <c r="E144" i="18"/>
  <c r="G144" i="18" s="1"/>
  <c r="D146" i="18"/>
  <c r="C146" i="18" l="1"/>
  <c r="F144" i="18"/>
  <c r="E145" i="18"/>
  <c r="G145" i="18" s="1"/>
  <c r="D147" i="18"/>
  <c r="F145" i="18" l="1"/>
  <c r="C147" i="18"/>
  <c r="E146" i="18"/>
  <c r="G146" i="18" s="1"/>
  <c r="D148" i="18"/>
  <c r="F146" i="18" l="1"/>
  <c r="C148" i="18"/>
  <c r="E147" i="18"/>
  <c r="G147" i="18" s="1"/>
  <c r="D149" i="18"/>
  <c r="F147" i="18" l="1"/>
  <c r="C149" i="18"/>
  <c r="E148" i="18"/>
  <c r="G148" i="18" s="1"/>
  <c r="D150" i="18"/>
  <c r="F148" i="18" l="1"/>
  <c r="C150" i="18"/>
  <c r="E149" i="18"/>
  <c r="G149" i="18" s="1"/>
  <c r="D151" i="18"/>
  <c r="F149" i="18" l="1"/>
  <c r="C151" i="18"/>
  <c r="E150" i="18"/>
  <c r="G150" i="18" s="1"/>
  <c r="D152" i="18"/>
  <c r="F150" i="18" l="1"/>
  <c r="C152" i="18"/>
  <c r="E151" i="18"/>
  <c r="G151" i="18" s="1"/>
  <c r="D153" i="18"/>
  <c r="F151" i="18" l="1"/>
  <c r="C153" i="18"/>
  <c r="E152" i="18"/>
  <c r="G152" i="18" s="1"/>
  <c r="D154" i="18"/>
  <c r="F152" i="18" l="1"/>
  <c r="C154" i="18"/>
  <c r="E153" i="18"/>
  <c r="G153" i="18" s="1"/>
  <c r="D155" i="18"/>
  <c r="F153" i="18" l="1"/>
  <c r="C155" i="18"/>
  <c r="E154" i="18"/>
  <c r="G154" i="18" s="1"/>
  <c r="D156" i="18"/>
  <c r="C156" i="18" l="1"/>
  <c r="F154" i="18"/>
  <c r="E155" i="18"/>
  <c r="G155" i="18" s="1"/>
  <c r="D157" i="18"/>
  <c r="F155" i="18" l="1"/>
  <c r="C157" i="18"/>
  <c r="E156" i="18"/>
  <c r="G156" i="18" s="1"/>
  <c r="D158" i="18"/>
  <c r="F156" i="18" l="1"/>
  <c r="C158" i="18"/>
  <c r="E157" i="18"/>
  <c r="G157" i="18" s="1"/>
  <c r="D159" i="18"/>
  <c r="F157" i="18" l="1"/>
  <c r="C159" i="18"/>
  <c r="E158" i="18"/>
  <c r="G158" i="18" s="1"/>
  <c r="D160" i="18"/>
  <c r="F158" i="18" l="1"/>
  <c r="C160" i="18"/>
  <c r="E159" i="18"/>
  <c r="G159" i="18" s="1"/>
  <c r="D161" i="18"/>
  <c r="C161" i="18" l="1"/>
  <c r="F159" i="18"/>
  <c r="E160" i="18"/>
  <c r="G160" i="18" s="1"/>
  <c r="D162" i="18"/>
  <c r="F160" i="18" l="1"/>
  <c r="C162" i="18"/>
  <c r="E161" i="18"/>
  <c r="G161" i="18" s="1"/>
  <c r="D163" i="18"/>
  <c r="F161" i="18" l="1"/>
  <c r="C163" i="18"/>
  <c r="E162" i="18"/>
  <c r="G162" i="18" s="1"/>
  <c r="D164" i="18"/>
  <c r="F162" i="18" l="1"/>
  <c r="C164" i="18"/>
  <c r="E163" i="18"/>
  <c r="G163" i="18" s="1"/>
  <c r="D165" i="18"/>
  <c r="F163" i="18" l="1"/>
  <c r="C165" i="18"/>
  <c r="E164" i="18"/>
  <c r="G164" i="18" s="1"/>
  <c r="D166" i="18"/>
  <c r="F164" i="18" l="1"/>
  <c r="C166" i="18"/>
  <c r="E165" i="18"/>
  <c r="G165" i="18" s="1"/>
  <c r="D167" i="18"/>
  <c r="F165" i="18" l="1"/>
  <c r="C167" i="18"/>
  <c r="E166" i="18"/>
  <c r="G166" i="18" s="1"/>
  <c r="D168" i="18"/>
  <c r="F166" i="18" l="1"/>
  <c r="C168" i="18"/>
  <c r="E167" i="18"/>
  <c r="G167" i="18" s="1"/>
  <c r="D169" i="18"/>
  <c r="F167" i="18" l="1"/>
  <c r="C169" i="18"/>
  <c r="E168" i="18"/>
  <c r="G168" i="18" s="1"/>
  <c r="D170" i="18"/>
  <c r="F168" i="18" l="1"/>
  <c r="C170" i="18"/>
  <c r="E169" i="18"/>
  <c r="G169" i="18" s="1"/>
  <c r="D171" i="18"/>
  <c r="F169" i="18" l="1"/>
  <c r="C171" i="18"/>
  <c r="E170" i="18"/>
  <c r="G170" i="18" s="1"/>
  <c r="D172" i="18"/>
  <c r="C172" i="18" l="1"/>
  <c r="F170" i="18"/>
  <c r="E171" i="18"/>
  <c r="G171" i="18" s="1"/>
  <c r="D173" i="18"/>
  <c r="F171" i="18" l="1"/>
  <c r="C173" i="18"/>
  <c r="E172" i="18"/>
  <c r="G172" i="18" s="1"/>
  <c r="D174" i="18"/>
  <c r="F172" i="18" l="1"/>
  <c r="C174" i="18"/>
  <c r="E173" i="18"/>
  <c r="G173" i="18" s="1"/>
  <c r="D175" i="18"/>
  <c r="F173" i="18" l="1"/>
  <c r="C175" i="18"/>
  <c r="E174" i="18"/>
  <c r="G174" i="18" s="1"/>
  <c r="D176" i="18"/>
  <c r="F174" i="18" l="1"/>
  <c r="C176" i="18"/>
  <c r="E175" i="18"/>
  <c r="G175" i="18" s="1"/>
  <c r="D177" i="18"/>
  <c r="F175" i="18" l="1"/>
  <c r="C177" i="18"/>
  <c r="E176" i="18"/>
  <c r="G176" i="18" s="1"/>
  <c r="D178" i="18"/>
  <c r="F176" i="18" l="1"/>
  <c r="C178" i="18"/>
  <c r="E177" i="18"/>
  <c r="G177" i="18" s="1"/>
  <c r="D179" i="18"/>
  <c r="F177" i="18" l="1"/>
  <c r="C179" i="18"/>
  <c r="E178" i="18"/>
  <c r="G178" i="18" s="1"/>
  <c r="D180" i="18"/>
  <c r="F178" i="18" l="1"/>
  <c r="C180" i="18"/>
  <c r="E179" i="18"/>
  <c r="G179" i="18" s="1"/>
  <c r="D181" i="18"/>
  <c r="F179" i="18" l="1"/>
  <c r="C181" i="18"/>
  <c r="E180" i="18"/>
  <c r="G180" i="18" s="1"/>
  <c r="D182" i="18"/>
  <c r="F180" i="18" l="1"/>
  <c r="C182" i="18"/>
  <c r="E181" i="18"/>
  <c r="G181" i="18" s="1"/>
  <c r="D183" i="18"/>
  <c r="C183" i="18" l="1"/>
  <c r="F181" i="18"/>
  <c r="E182" i="18"/>
  <c r="G182" i="18" s="1"/>
  <c r="D184" i="18"/>
  <c r="F182" i="18" l="1"/>
  <c r="C184" i="18"/>
  <c r="E184" i="18" s="1"/>
  <c r="G184" i="18" s="1"/>
  <c r="E183" i="18"/>
  <c r="G183" i="18" s="1"/>
  <c r="D185" i="18"/>
  <c r="F184" i="18" l="1"/>
  <c r="C185" i="18"/>
  <c r="E185" i="18" s="1"/>
  <c r="G185" i="18" s="1"/>
  <c r="F183" i="18"/>
  <c r="D186" i="18"/>
  <c r="C186" i="18" l="1"/>
  <c r="E186" i="18" s="1"/>
  <c r="G186" i="18" s="1"/>
  <c r="F185" i="18"/>
  <c r="D187" i="18"/>
  <c r="C187" i="18" l="1"/>
  <c r="E187" i="18" s="1"/>
  <c r="G187" i="18" s="1"/>
  <c r="F186" i="18"/>
  <c r="F187" i="18" l="1"/>
</calcChain>
</file>

<file path=xl/sharedStrings.xml><?xml version="1.0" encoding="utf-8"?>
<sst xmlns="http://schemas.openxmlformats.org/spreadsheetml/2006/main" count="9172" uniqueCount="2464">
  <si>
    <t>Rev</t>
  </si>
  <si>
    <t>Date</t>
  </si>
  <si>
    <t>Update description</t>
  </si>
  <si>
    <t>Field</t>
  </si>
  <si>
    <t>Length（bit）</t>
  </si>
  <si>
    <t>High （bit）</t>
  </si>
  <si>
    <t>Low （bit）</t>
  </si>
  <si>
    <t>SW Offset address</t>
  </si>
  <si>
    <t>SW High(bit)</t>
  </si>
  <si>
    <t>SW Low（bit）</t>
  </si>
  <si>
    <t>RW</t>
  </si>
  <si>
    <t>Default</t>
  </si>
  <si>
    <t>descriptions</t>
  </si>
  <si>
    <t>1'b0</t>
  </si>
  <si>
    <t>Reserved</t>
  </si>
  <si>
    <t>RO</t>
  </si>
  <si>
    <t>sync_id_reset</t>
  </si>
  <si>
    <t>1'd1</t>
  </si>
  <si>
    <t>2'b00</t>
  </si>
  <si>
    <t>Write 1 clear
0: No interrupt
1: Interrupt triggered</t>
  </si>
  <si>
    <t>8'b0</t>
  </si>
  <si>
    <t>intr_sync_id</t>
  </si>
  <si>
    <t>16'b0</t>
  </si>
  <si>
    <t>The registered SyncID when the latest interrupt triggered. This field won’t update until next interrupt event happens.</t>
  </si>
  <si>
    <t>32'b0</t>
  </si>
  <si>
    <t>des_type</t>
  </si>
  <si>
    <t>Descriptor Type
0: No next descriptor address pointer
1: With next descriptor address pointer</t>
  </si>
  <si>
    <t>chain_end</t>
  </si>
  <si>
    <t>EOD end of chain
0: not end of chain
1: End of descriptor chain</t>
  </si>
  <si>
    <t>intr_en</t>
  </si>
  <si>
    <t>barrier_enable</t>
  </si>
  <si>
    <t>stride_enable</t>
  </si>
  <si>
    <t>Stride enable
0：No stride for all blob definition
1：Enable stride for all blob definition</t>
  </si>
  <si>
    <t>direction</t>
  </si>
  <si>
    <t>DMA Transfer Direction
00: system memory to local memory
01: local memory to system memory
10: system memory to system memory
11: local memory to local memory</t>
  </si>
  <si>
    <t>acc_write_enable</t>
  </si>
  <si>
    <t>Accumulate write enable
0：overwrite write
1：accumulate write</t>
  </si>
  <si>
    <t>common_mode</t>
  </si>
  <si>
    <t>Common DMA mode
0 : NCHW format DMA
1: common format DMA
common DMA transaction. In this mode there is not NCHW parameter. Source blob N stride will be used as data transfer length in data format</t>
  </si>
  <si>
    <t xml:space="preserve">prefetch_disable
</t>
  </si>
  <si>
    <t>1'd0</t>
  </si>
  <si>
    <t>0 : enable prefetch
1 : disable prefetch. In this mode second descriptor need wait first descriptor finish on AXI bus to issue AXI request</t>
  </si>
  <si>
    <t>hold_des_value</t>
  </si>
  <si>
    <t>There are so many regs for each descriptor. When SW write descriptor, not all regs are updated by SW write request. For next descriptor, this register defines the values for regs which are not written by SW. 
0: next descriptor use the default value
1:hold value, so next descriptors use the same value as current one(this value is only enable in PIO mode).</t>
  </si>
  <si>
    <t>b0</t>
  </si>
  <si>
    <t>cmd_id</t>
  </si>
  <si>
    <t>This is a sequence number for descriptor. It will be updated to the SyncID output port of the engine after this descriptor execution complete.</t>
  </si>
  <si>
    <t>special_func</t>
  </si>
  <si>
    <t>3'd0</t>
  </si>
  <si>
    <t>dst_data_format</t>
  </si>
  <si>
    <t>Destination data format (This field will be ignored if “Data format conversion” is not specified in the “Special Function” field.)
000: 32 bit float
001:16 bit integer(used for general move)
010: 8 bit unsigned integer
011: 8 bit signed integer
100: 16bit float</t>
  </si>
  <si>
    <t>chw_copy</t>
  </si>
  <si>
    <t>CHW copy bit
0: use separate src and dst CHW value setting
1: reuse src CHW value for dst CHW value</t>
  </si>
  <si>
    <t>sys_mem_type</t>
  </si>
  <si>
    <t>system memory data type
0: Neuron
1: Matrix (when matrix type is selected, special function can only select 000 and 001)</t>
  </si>
  <si>
    <t>src_data_format</t>
  </si>
  <si>
    <t xml:space="preserve">Source Data Format
000: 32 bit float
001:16 bit integer(used for general move)
010: 8 bit unsigned integer
011: 8 bit signed integer
100: 16bit float </t>
  </si>
  <si>
    <t>lrn_shift_num</t>
  </si>
  <si>
    <t>LRN shift number</t>
  </si>
  <si>
    <t>lrn_shift_dir</t>
  </si>
  <si>
    <t>1‘d0</t>
  </si>
  <si>
    <t>LRN shift direction
0: Left shift
1: Right shift</t>
  </si>
  <si>
    <t>eng0_sync_id</t>
  </si>
  <si>
    <t>Execution of this descriptor need to wait for sync ID of Eng0 to be bigger than the ID specified in this field</t>
  </si>
  <si>
    <t>eng1_sync_id</t>
  </si>
  <si>
    <t>Execution of this descriptor need to wait for sync ID of Eng1 to be bigger than the ID specified in this field.</t>
  </si>
  <si>
    <t>eng3_sync_id</t>
  </si>
  <si>
    <t>Execution of this descriptor need to wait for sync ID of Eng3 to be bigger than the ID specified in this field.</t>
  </si>
  <si>
    <t>constant_value</t>
  </si>
  <si>
    <t>src_nstride</t>
  </si>
  <si>
    <t>32'd0</t>
  </si>
  <si>
    <t>src_cstride</t>
  </si>
  <si>
    <t>signed number. Source blob C stride, (when data type is matrix, this field is not cared)</t>
  </si>
  <si>
    <t>src_hstride</t>
  </si>
  <si>
    <t>signed number; Source blob H stride</t>
  </si>
  <si>
    <t>src_wstride</t>
  </si>
  <si>
    <t>signed number; Source blob W stride</t>
  </si>
  <si>
    <t>dst_nstride</t>
  </si>
  <si>
    <t>dst_cstride</t>
  </si>
  <si>
    <t>signed number.desitination blob C stride, (when data type is matrix, this field is not cared)</t>
  </si>
  <si>
    <t>dst_hstride</t>
  </si>
  <si>
    <t>signed number; desitination blob H stride</t>
  </si>
  <si>
    <t>dst_wstride</t>
  </si>
  <si>
    <t>signed number; desitination blob W stride</t>
  </si>
  <si>
    <t>src_nsize</t>
  </si>
  <si>
    <t>16'h0</t>
  </si>
  <si>
    <t>Source Blob Number (Most of the case Destination Blob Number equal to Source Blob Number. Only when Neuron Transposition case, Destination Blob Number equal to Source Blob C)</t>
  </si>
  <si>
    <t>src_csize</t>
  </si>
  <si>
    <t>Source blob C (when data type is matrix, this field is not cared)</t>
  </si>
  <si>
    <t>src_hsize</t>
  </si>
  <si>
    <t>Source blob H (when data type is matrix, this field means row)</t>
  </si>
  <si>
    <t>src_wsize</t>
  </si>
  <si>
    <t>Source blob W (when data type is matrix, this field means column)</t>
  </si>
  <si>
    <t>dst_nsize</t>
  </si>
  <si>
    <t>Destination Blob Number (Most of the case Destination Blob Number equal to Source Blob Number. Only when Neuron Transposition case, Destination Blob Number equal to Source Blob C)</t>
  </si>
  <si>
    <t>dst_csize</t>
  </si>
  <si>
    <t>Destination blob C (when data type is matrix, this field is not cared)</t>
  </si>
  <si>
    <t>dst_hsize</t>
  </si>
  <si>
    <t>Destination blob H (when data type is matrix, this field means row)</t>
  </si>
  <si>
    <t>dst_wsize</t>
  </si>
  <si>
    <t>Destination blob W (when data type is matrix, this field means column)</t>
  </si>
  <si>
    <t>src_start_addr_l32</t>
  </si>
  <si>
    <t>source blob start address</t>
  </si>
  <si>
    <t>dst_start_addr_l32</t>
  </si>
  <si>
    <t>destination blob start address</t>
  </si>
  <si>
    <t>src_start_addr_h8</t>
  </si>
  <si>
    <t>Source blob start address [39:32]</t>
  </si>
  <si>
    <t>dst_start_addr_h8</t>
  </si>
  <si>
    <t>8'd0</t>
  </si>
  <si>
    <t>Destination blob start address [39:32]</t>
  </si>
  <si>
    <t>reserved</t>
  </si>
  <si>
    <t>src_hshift</t>
  </si>
  <si>
    <t>src_wshift</t>
  </si>
  <si>
    <t>dst_hshift</t>
  </si>
  <si>
    <t>dst_wshift</t>
  </si>
  <si>
    <t>dst W shift num used to shift src W stride</t>
  </si>
  <si>
    <t>localmem_mask_l32</t>
  </si>
  <si>
    <t>localmem_mask_h32</t>
  </si>
  <si>
    <t>single_step</t>
  </si>
  <si>
    <t>This bit is auto clear when one descriptor finish on AXI bus.
SW can write 1’b1 to let gdma process one descriptor. After that SW need polling this bit to be 1’b0 to know gdma has finish one descriptor.</t>
  </si>
  <si>
    <t>debug_mode</t>
  </si>
  <si>
    <t>0 : normal mode
1: single step debug mode</t>
  </si>
  <si>
    <t>RW: Read and writable register</t>
  </si>
  <si>
    <t>RO: Read only register</t>
  </si>
  <si>
    <t>RTC: Read to clear register</t>
  </si>
  <si>
    <t>WTC: Write to clear register</t>
  </si>
  <si>
    <t>WSC: Self clear after write</t>
  </si>
  <si>
    <t>nchw_copy</t>
  </si>
  <si>
    <t>cmd_type</t>
  </si>
  <si>
    <t>cmd_special_function</t>
  </si>
  <si>
    <t>unsigned number. Source blob C stride</t>
  </si>
  <si>
    <t>unsigned number; Source blob H stride</t>
  </si>
  <si>
    <t>unsigned number.desitination blob C stride</t>
  </si>
  <si>
    <t>unsigned number; desitination blob H stride</t>
  </si>
  <si>
    <t>Source Blob Number</t>
  </si>
  <si>
    <t>Source blob C</t>
  </si>
  <si>
    <t xml:space="preserve">Source blob H </t>
  </si>
  <si>
    <t xml:space="preserve">Source blob W </t>
  </si>
  <si>
    <t xml:space="preserve">Destination Blob Number </t>
  </si>
  <si>
    <t xml:space="preserve">Destination blob C </t>
  </si>
  <si>
    <t>Destination blob H</t>
  </si>
  <si>
    <t xml:space="preserve">Destination blob W </t>
  </si>
  <si>
    <t>Interrupt Disable,highest priority in interrupt generation
0: Enable all interrupt
1: Disable all interrupt
When this bit is cleared, the interrupt generation is decided by each individual interrupt enable bits.</t>
  </si>
  <si>
    <t>fill_constant_en</t>
  </si>
  <si>
    <t>RW: Read and writeable register</t>
  </si>
  <si>
    <t>cmd_special_function(mask_mem)</t>
  </si>
  <si>
    <t>src_cstride(move length)</t>
  </si>
  <si>
    <t>dst_nstride（base_i）</t>
  </si>
  <si>
    <t>16'd0</t>
  </si>
  <si>
    <t>备注</t>
  </si>
  <si>
    <t>性能公式</t>
  </si>
  <si>
    <t>cmd</t>
  </si>
  <si>
    <t>special func</t>
  </si>
  <si>
    <t>ddr0</t>
  </si>
  <si>
    <t>ddr1</t>
  </si>
  <si>
    <t>tensor</t>
  </si>
  <si>
    <t>common</t>
  </si>
  <si>
    <t>✅</t>
  </si>
  <si>
    <t>❌</t>
  </si>
  <si>
    <t>transpose</t>
  </si>
  <si>
    <t>broadcast</t>
  </si>
  <si>
    <t>distribute</t>
  </si>
  <si>
    <t>fmem 4bank broadcast</t>
  </si>
  <si>
    <t>fill constant common</t>
  </si>
  <si>
    <t>fill constant broadcast</t>
  </si>
  <si>
    <t>matrix</t>
  </si>
  <si>
    <t>mask select</t>
  </si>
  <si>
    <t>linear</t>
  </si>
  <si>
    <t>src_length*data_size/（64*（1+src_mem==dst_mem））</t>
  </si>
  <si>
    <t>CW</t>
  </si>
  <si>
    <t>NC</t>
  </si>
  <si>
    <t>nonzero</t>
  </si>
  <si>
    <t>onehot</t>
  </si>
  <si>
    <t>natural_numgen</t>
  </si>
  <si>
    <t>des_valid</t>
  </si>
  <si>
    <t>Descriptor valid
When a write ‘1’ to this bit location is detected, the whole descriptor will be loaded into command FIFO immediately. After that, all the command FIFO access port register bits will be reset to default value immediately</t>
  </si>
  <si>
    <t xml:space="preserve">Interrupt Enable
0: disable interrupt
1: enable interrupt
</t>
  </si>
  <si>
    <t xml:space="preserve">Barrier Enable
0: No need to sync, execute immediately
1: Need to check for SyncID
</t>
  </si>
  <si>
    <t xml:space="preserve">Stride enable
0：No stride for all blob definition
1：Enable stride for all blob definition
</t>
  </si>
  <si>
    <t>000: No special function
001: Enable transposition write (For Neuron transposition case, the dest_N= src_C, dest_C=src_N)
010: LRN shift operation (only support local to local)
011: Data format conversion 
100: Constant fill (The constant that will be fill in is specified in another register)
101： Localmem C/W transposition</t>
  </si>
  <si>
    <t>4'd1</t>
  </si>
  <si>
    <t>Constant number to be filled in</t>
  </si>
  <si>
    <t>signed number; Source blob N stride (when data type is matrix, this field is not cared)
when in general_dma operation, this mean the number of data move (0x04[7:5] shows data formats: 32bit/16bit/8bit)</t>
  </si>
  <si>
    <t>signed number; desitination blob N stride (when data type is matrix, this field is not cared)</t>
  </si>
  <si>
    <t>16'd16</t>
  </si>
  <si>
    <t>src H shift num used to shift src H stride</t>
  </si>
  <si>
    <t>src W shift num used to shift src W stride</t>
  </si>
  <si>
    <t>dst H shift num used to shift src H stride</t>
  </si>
  <si>
    <t xml:space="preserve"> localmem_mask_l32</t>
  </si>
  <si>
    <t>used to announce is the local memory mask or not, 1 means mask, 0 means unmask (bit 0 corresponds local memory index 0)</t>
  </si>
  <si>
    <t>used to announce is the local memory mask or not, 1 means mask, 0 means unmask (bit 0 corresponds local memory index32)</t>
  </si>
  <si>
    <t>HW（ddr&lt;-&gt;fmem）</t>
    <phoneticPr fontId="24" type="noConversion"/>
  </si>
  <si>
    <t>❌</t>
    <phoneticPr fontId="24" type="noConversion"/>
  </si>
  <si>
    <t>cube distribute transform ddr&lt;-&gt;fmem</t>
    <phoneticPr fontId="24" type="noConversion"/>
  </si>
  <si>
    <t>mac ddr&lt;-&gt;fmem</t>
    <phoneticPr fontId="24" type="noConversion"/>
  </si>
  <si>
    <t>cube no transform ddr&lt;-&gt;fmem</t>
    <phoneticPr fontId="24" type="noConversion"/>
  </si>
  <si>
    <t>max</t>
    <phoneticPr fontId="24" type="noConversion"/>
  </si>
  <si>
    <t>cube transform ddr&lt;-&gt;fmem</t>
    <phoneticPr fontId="24" type="noConversion"/>
  </si>
  <si>
    <t>min（不考虑w过小）</t>
    <rPh sb="4" eb="5">
      <t>bu kao lü</t>
    </rPh>
    <rPh sb="8" eb="9">
      <t>guo xiao</t>
    </rPh>
    <phoneticPr fontId="24" type="noConversion"/>
  </si>
  <si>
    <t>if (src_start_addr - dst_start_addr)%32 ==0 : src_length*data_size/（64*（1+src_mem==dst_mem））; else：src_length*（17+src/dst_isnot_ddr）*data_size/（1024*（1+src_mem==dst_mem））</t>
    <phoneticPr fontId="24" type="noConversion"/>
  </si>
  <si>
    <t>common（w stride！=1时等比例减小）</t>
    <rPh sb="18" eb="19">
      <t>shi</t>
    </rPh>
    <rPh sb="19" eb="20">
      <t>deng bi li</t>
    </rPh>
    <rPh sb="22" eb="23">
      <t>jian xiao</t>
    </rPh>
    <phoneticPr fontId="24" type="noConversion"/>
  </si>
  <si>
    <t>其他</t>
    <rPh sb="0" eb="1">
      <t>qi ta</t>
    </rPh>
    <phoneticPr fontId="24" type="noConversion"/>
  </si>
  <si>
    <t>典型带宽（仅考虑数据量足够大情况）GB/s</t>
    <rPh sb="0" eb="1">
      <t>dian xing</t>
    </rPh>
    <rPh sb="2" eb="3">
      <t>dai k</t>
    </rPh>
    <rPh sb="5" eb="6">
      <t>jin</t>
    </rPh>
    <rPh sb="6" eb="7">
      <t>kao lü</t>
    </rPh>
    <rPh sb="8" eb="9">
      <t>shu ju liang</t>
    </rPh>
    <rPh sb="11" eb="12">
      <t>zu gou</t>
    </rPh>
    <rPh sb="13" eb="14">
      <t>da</t>
    </rPh>
    <rPh sb="14" eb="15">
      <t>qing k</t>
    </rPh>
    <phoneticPr fontId="24" type="noConversion"/>
  </si>
  <si>
    <t>index_data_format</t>
    <phoneticPr fontId="24" type="noConversion"/>
  </si>
  <si>
    <t>64IC ddr-&gt;kmem</t>
    <phoneticPr fontId="24" type="noConversion"/>
  </si>
  <si>
    <t>common（输出带宽）</t>
    <rPh sb="7" eb="8">
      <t>shu chu</t>
    </rPh>
    <rPh sb="9" eb="10">
      <t>dai k</t>
    </rPh>
    <phoneticPr fontId="24" type="noConversion"/>
  </si>
  <si>
    <t>reserved</t>
    <phoneticPr fontId="24" type="noConversion"/>
  </si>
  <si>
    <t>index/mask</t>
    <phoneticPr fontId="24" type="noConversion"/>
  </si>
  <si>
    <t>src_cstride</t>
    <phoneticPr fontId="24" type="noConversion"/>
  </si>
  <si>
    <t>dst_hstride</t>
    <phoneticPr fontId="24" type="noConversion"/>
  </si>
  <si>
    <t>dst_hsize</t>
    <phoneticPr fontId="24" type="noConversion"/>
  </si>
  <si>
    <t>src_nstride</t>
    <phoneticPr fontId="24" type="noConversion"/>
  </si>
  <si>
    <t>频率按1G评估</t>
    <rPh sb="0" eb="1">
      <t>pin lü</t>
    </rPh>
    <rPh sb="2" eb="3">
      <t>an</t>
    </rPh>
    <rPh sb="5" eb="6">
      <t>ping gu</t>
    </rPh>
    <phoneticPr fontId="24" type="noConversion"/>
  </si>
  <si>
    <t>&lt;1</t>
    <phoneticPr fontId="24" type="noConversion"/>
  </si>
  <si>
    <t>src/dst起始地址不对齐:56.88</t>
    <phoneticPr fontId="24" type="noConversion"/>
  </si>
  <si>
    <t>ddr h/w size*data_size=33：16</t>
    <phoneticPr fontId="24" type="noConversion"/>
  </si>
  <si>
    <t>src data size=1,index data size=4：16</t>
    <phoneticPr fontId="24" type="noConversion"/>
  </si>
  <si>
    <t>ddr：size+start_addr[8:0]&lt;=512bytes且stride=1024bytes:32</t>
  </si>
  <si>
    <t>ddr：size+start_addr[8:0]&lt;=512bytes且stride=1024bytes:32</t>
    <phoneticPr fontId="24" type="noConversion"/>
  </si>
  <si>
    <t>w过小(2):&lt;1</t>
    <phoneticPr fontId="24" type="noConversion"/>
  </si>
  <si>
    <t>dst w过小(2):&lt;1</t>
    <phoneticPr fontId="24" type="noConversion"/>
  </si>
  <si>
    <t>src w过小(2):&lt;1</t>
    <rPh sb="5" eb="6">
      <t>guo xiao</t>
    </rPh>
    <phoneticPr fontId="24" type="noConversion"/>
  </si>
  <si>
    <t>sec_len过小(2):&lt;1</t>
    <rPh sb="7" eb="8">
      <t>guo xiao</t>
    </rPh>
    <phoneticPr fontId="24" type="noConversion"/>
  </si>
  <si>
    <t>w过小(2):&lt;1</t>
    <rPh sb="1" eb="2">
      <t>guo xiao</t>
    </rPh>
    <phoneticPr fontId="24" type="noConversion"/>
  </si>
  <si>
    <t>dst_nstride</t>
    <phoneticPr fontId="24" type="noConversion"/>
  </si>
  <si>
    <t>64*(round(csize*datasize/64)+csize*data_size%64)/(round(csize*datasize/64)+1)</t>
    <phoneticPr fontId="24" type="noConversion"/>
  </si>
  <si>
    <t>无需软件配置，且不影响硬件行为的field</t>
    <rPh sb="0" eb="1">
      <t>wu xu ruan jian pei zhi</t>
    </rPh>
    <rPh sb="7" eb="8">
      <t>qie</t>
    </rPh>
    <rPh sb="8" eb="9">
      <t>bu ying xiang</t>
    </rPh>
    <rPh sb="11" eb="12">
      <t>ying jian</t>
    </rPh>
    <rPh sb="13" eb="14">
      <t>xing wei</t>
    </rPh>
    <rPh sb="15" eb="16">
      <t>de</t>
    </rPh>
    <phoneticPr fontId="24" type="noConversion"/>
  </si>
  <si>
    <t>configure_necessery</t>
    <phoneticPr fontId="24" type="noConversion"/>
  </si>
  <si>
    <t>ASITIS</t>
    <phoneticPr fontId="24" type="noConversion"/>
  </si>
  <si>
    <t>fill constant:no need to config
others:ASITIS</t>
    <phoneticPr fontId="24" type="noConversion"/>
  </si>
  <si>
    <t>no need to config</t>
    <phoneticPr fontId="24" type="noConversion"/>
  </si>
  <si>
    <t>broadcast:no need to config
others:ASITIS</t>
    <phoneticPr fontId="24" type="noConversion"/>
  </si>
  <si>
    <t>common</t>
    <phoneticPr fontId="24" type="noConversion"/>
  </si>
  <si>
    <t>nc transpose</t>
    <phoneticPr fontId="24" type="noConversion"/>
  </si>
  <si>
    <t>fill constant:ASITIS
others:0</t>
    <phoneticPr fontId="24" type="noConversion"/>
  </si>
  <si>
    <t>src_hstride/dst_hstride</t>
    <phoneticPr fontId="24" type="noConversion"/>
  </si>
  <si>
    <t>dst_nstride/src_nstride</t>
    <phoneticPr fontId="24" type="noConversion"/>
  </si>
  <si>
    <t>if dst is lmem, this field is src hstride;if src is lmem,this field is dst hstride</t>
    <phoneticPr fontId="24" type="noConversion"/>
  </si>
  <si>
    <t>if dst is lmem, ths field is dst nstride; if src is lmem,this field is src nstride</t>
    <phoneticPr fontId="24" type="noConversion"/>
  </si>
  <si>
    <t>dst_cstride/src_cstride</t>
    <phoneticPr fontId="24" type="noConversion"/>
  </si>
  <si>
    <t>if dst is lmem, ths field is dst cstride; if src is lmem,this field is src cstride</t>
    <phoneticPr fontId="24" type="noConversion"/>
  </si>
  <si>
    <t>cmd_short</t>
    <phoneticPr fontId="24" type="noConversion"/>
  </si>
  <si>
    <t>Reserved</t>
    <phoneticPr fontId="24" type="noConversion"/>
  </si>
  <si>
    <t>des_mode_enable</t>
    <phoneticPr fontId="24" type="noConversion"/>
  </si>
  <si>
    <t>0: gdma in PIO mode
1: gdma in DES mode</t>
    <phoneticPr fontId="24" type="noConversion"/>
  </si>
  <si>
    <t>constant_value</t>
    <phoneticPr fontId="24" type="noConversion"/>
  </si>
  <si>
    <t>RO</t>
    <phoneticPr fontId="24" type="noConversion"/>
  </si>
  <si>
    <t>src_start_addr_l32</t>
    <phoneticPr fontId="24" type="noConversion"/>
  </si>
  <si>
    <t>src_start_addr_h8</t>
    <phoneticPr fontId="24" type="noConversion"/>
  </si>
  <si>
    <t>dst_start_addr_l32</t>
    <phoneticPr fontId="24" type="noConversion"/>
  </si>
  <si>
    <t>dst_start_addr_h8</t>
    <phoneticPr fontId="24" type="noConversion"/>
  </si>
  <si>
    <t>RW</t>
    <phoneticPr fontId="24" type="noConversion"/>
  </si>
  <si>
    <t>source blob start address[31:0]</t>
    <phoneticPr fontId="24" type="noConversion"/>
  </si>
  <si>
    <t>destination blob start address[31:0]</t>
    <phoneticPr fontId="24" type="noConversion"/>
  </si>
  <si>
    <t>dst_cstride</t>
    <phoneticPr fontId="24" type="noConversion"/>
  </si>
  <si>
    <t>mask_data_format</t>
    <phoneticPr fontId="24" type="noConversion"/>
  </si>
  <si>
    <t>dst_csize</t>
    <phoneticPr fontId="24" type="noConversion"/>
  </si>
  <si>
    <t>dst_wsize</t>
    <phoneticPr fontId="24" type="noConversion"/>
  </si>
  <si>
    <t>src_hsize/dst_hsize</t>
    <phoneticPr fontId="24" type="noConversion"/>
  </si>
  <si>
    <t>src_wsize/dst_wsize</t>
    <phoneticPr fontId="24" type="noConversion"/>
  </si>
  <si>
    <t>dst_nsize/src_nsize</t>
    <phoneticPr fontId="24" type="noConversion"/>
  </si>
  <si>
    <t>dst_csize/src_csize</t>
    <phoneticPr fontId="24" type="noConversion"/>
  </si>
  <si>
    <t>dst_wsize/src_wsize</t>
    <phoneticPr fontId="24" type="noConversion"/>
  </si>
  <si>
    <t>if dst is lmem, ths field is src hsize; if src is lmem,this field is dst hsize</t>
    <phoneticPr fontId="24" type="noConversion"/>
  </si>
  <si>
    <t>if dst is lmem, ths field is src wsize; if src is lmem,this field is dst wsize</t>
    <phoneticPr fontId="24" type="noConversion"/>
  </si>
  <si>
    <t>if dst is lmem, ths field is dst nsize; if src is lmem,this field is src nsize</t>
    <phoneticPr fontId="24" type="noConversion"/>
  </si>
  <si>
    <t>if dst is lmem, ths field is dst csize; if src is lmem,this field is src csize</t>
    <phoneticPr fontId="24" type="noConversion"/>
  </si>
  <si>
    <t>if dst is lmem, ths field is dst wsize; if src is lmem,this field is src wsize</t>
    <phoneticPr fontId="24" type="noConversion"/>
  </si>
  <si>
    <t>0: no fill constant
1: fill constant enable</t>
    <phoneticPr fontId="24" type="noConversion"/>
  </si>
  <si>
    <t>l2mem</t>
    <phoneticPr fontId="24" type="noConversion"/>
  </si>
  <si>
    <t>lmem</t>
    <phoneticPr fontId="24" type="noConversion"/>
  </si>
  <si>
    <t>fill constant common</t>
    <phoneticPr fontId="24" type="noConversion"/>
  </si>
  <si>
    <t>lmem 4bank</t>
    <phoneticPr fontId="24" type="noConversion"/>
  </si>
  <si>
    <t>lmem 4bank broadcast</t>
    <phoneticPr fontId="24" type="noConversion"/>
  </si>
  <si>
    <t>cw_transpose</t>
    <phoneticPr fontId="24" type="noConversion"/>
  </si>
  <si>
    <t>ddr</t>
    <phoneticPr fontId="24" type="noConversion"/>
  </si>
  <si>
    <t>general</t>
    <phoneticPr fontId="24" type="noConversion"/>
  </si>
  <si>
    <t>gather</t>
    <phoneticPr fontId="24" type="noConversion"/>
  </si>
  <si>
    <t>scatter</t>
    <phoneticPr fontId="24" type="noConversion"/>
  </si>
  <si>
    <t>只支持两种情况：src为ddr/l2mem，dst为lmem；dst为ddr/l2mem，src为lmem</t>
    <rPh sb="0" eb="1">
      <t>zhi</t>
    </rPh>
    <rPh sb="1" eb="2">
      <t>zhi chi</t>
    </rPh>
    <rPh sb="3" eb="4">
      <t>liang zhong</t>
    </rPh>
    <rPh sb="5" eb="6">
      <t>qing k</t>
    </rPh>
    <rPh sb="11" eb="12">
      <t>wei</t>
    </rPh>
    <rPh sb="23" eb="24">
      <t>wei</t>
    </rPh>
    <rPh sb="37" eb="38">
      <t>wei</t>
    </rPh>
    <rPh sb="49" eb="50">
      <t>wei</t>
    </rPh>
    <phoneticPr fontId="24" type="noConversion"/>
  </si>
  <si>
    <t>src和index来自同一mem</t>
    <phoneticPr fontId="24" type="noConversion"/>
  </si>
  <si>
    <t>ddr/l2mem&lt;-&gt;lmem</t>
    <phoneticPr fontId="24" type="noConversion"/>
  </si>
  <si>
    <t>transpose ddr/l2mem&lt;-&gt;lmem）</t>
    <phoneticPr fontId="24" type="noConversion"/>
  </si>
  <si>
    <t>collect</t>
    <phoneticPr fontId="24" type="noConversion"/>
  </si>
  <si>
    <t>0: interrupt generation is enabled
1: interrupt is masked.
Disable DES_MODE_END interrupt generation</t>
    <phoneticPr fontId="24" type="noConversion"/>
  </si>
  <si>
    <t>ins_buf_status</t>
    <phoneticPr fontId="24" type="noConversion"/>
  </si>
  <si>
    <t>Current entry number of the Ins Buf. It means how many descriptors that SW can write to Ins Buf.
If the Ins Buf is full, this field will be 0.</t>
    <phoneticPr fontId="24" type="noConversion"/>
  </si>
  <si>
    <t>intr_des_mode_end_disable</t>
    <phoneticPr fontId="24" type="noConversion"/>
  </si>
  <si>
    <t>intr_ins_buf_empty_disable</t>
    <phoneticPr fontId="24" type="noConversion"/>
  </si>
  <si>
    <t>intr_ins_buf_three_forth_full_disable</t>
    <phoneticPr fontId="24" type="noConversion"/>
  </si>
  <si>
    <t>intr_ins_buf_full_disable</t>
    <phoneticPr fontId="24" type="noConversion"/>
  </si>
  <si>
    <t>0: interrupt generation is enabled
1: interrupt is masked.
Disable INS_BUF_ONE_FORTH_FULL interrupt generation</t>
    <phoneticPr fontId="24" type="noConversion"/>
  </si>
  <si>
    <t>0: interrupt generation is enabled
1: interrupt is masked.
Disable INS_BUF_EMPTY interrupt generation</t>
    <phoneticPr fontId="24" type="noConversion"/>
  </si>
  <si>
    <t>0: interrupt generation is enabled
1: interrupt is masked.
Disable INS_BUF_THREE_FORTH_FULL interrupt generation</t>
    <phoneticPr fontId="24" type="noConversion"/>
  </si>
  <si>
    <t>0: interrupt generation is enabled
1: interrupt is masked.
Disable INS_BUF_FULL interrupt generation</t>
    <phoneticPr fontId="24" type="noConversion"/>
  </si>
  <si>
    <t>Write 1 clear
0: No interrupt
4: Interrupt triggered</t>
  </si>
  <si>
    <t>Write 1 clear
0: No interrupt
5: Interrupt triggered</t>
  </si>
  <si>
    <t>Write 1 clear
0: No interrupt
6: Interrupt triggered</t>
  </si>
  <si>
    <t>Write 1 clear
0: No interrupt
7: Interrupt triggered</t>
  </si>
  <si>
    <t>des_mode_end</t>
    <phoneticPr fontId="24" type="noConversion"/>
  </si>
  <si>
    <t>ins_buf_empty</t>
    <phoneticPr fontId="24" type="noConversion"/>
  </si>
  <si>
    <t>ins_buf_one_forth_full</t>
    <phoneticPr fontId="24" type="noConversion"/>
  </si>
  <si>
    <t>ins_buf_three_forth_full</t>
    <phoneticPr fontId="24" type="noConversion"/>
  </si>
  <si>
    <t>ins_buf_full</t>
    <phoneticPr fontId="24" type="noConversion"/>
  </si>
  <si>
    <t>mask_start_addr_h8</t>
    <phoneticPr fontId="24" type="noConversion"/>
  </si>
  <si>
    <t>mask_start_addr_l32</t>
    <phoneticPr fontId="24" type="noConversion"/>
  </si>
  <si>
    <t>broadcast:ASITIS
others:no need to config</t>
    <phoneticPr fontId="24" type="noConversion"/>
  </si>
  <si>
    <t>intr_invalid_cmd_disable</t>
    <phoneticPr fontId="24" type="noConversion"/>
  </si>
  <si>
    <t>invalid_cmd_err</t>
    <phoneticPr fontId="24" type="noConversion"/>
  </si>
  <si>
    <t>0: interrupt generation is enabled
1: interrupt is masked
Disable INVALID_CMD_ERR interrupt generation</t>
    <phoneticPr fontId="24" type="noConversion"/>
  </si>
  <si>
    <t>cmd_id_dep</t>
    <phoneticPr fontId="24" type="noConversion"/>
  </si>
  <si>
    <t>12'b0</t>
    <phoneticPr fontId="24" type="noConversion"/>
  </si>
  <si>
    <t>20'b0</t>
    <phoneticPr fontId="24" type="noConversion"/>
  </si>
  <si>
    <t>9'b0</t>
    <phoneticPr fontId="24" type="noConversion"/>
  </si>
  <si>
    <t xml:space="preserve">no need to config
</t>
    <phoneticPr fontId="24" type="noConversion"/>
  </si>
  <si>
    <t>low_power_enable</t>
    <phoneticPr fontId="24" type="noConversion"/>
  </si>
  <si>
    <t>0: disable performance monitor
1: enable performance monitor</t>
    <phoneticPr fontId="24" type="noConversion"/>
  </si>
  <si>
    <t>0:disable clk gate
1:enable clk gate</t>
    <phoneticPr fontId="24" type="noConversion"/>
  </si>
  <si>
    <t>des_clr</t>
    <phoneticPr fontId="24" type="noConversion"/>
  </si>
  <si>
    <t>1'b0</t>
    <phoneticPr fontId="24" type="noConversion"/>
  </si>
  <si>
    <t>清空指令buffer
写1‘b1 使能
自动清0</t>
    <phoneticPr fontId="24" type="noConversion"/>
  </si>
  <si>
    <t>28'b0</t>
    <phoneticPr fontId="24" type="noConversion"/>
  </si>
  <si>
    <t>4'b0</t>
    <phoneticPr fontId="24" type="noConversion"/>
  </si>
  <si>
    <t>1'b1</t>
    <phoneticPr fontId="24" type="noConversion"/>
  </si>
  <si>
    <t>intr_disable</t>
    <phoneticPr fontId="24" type="noConversion"/>
  </si>
  <si>
    <t>Write 1 clear
0: No interrupt
3: Interrupt triggered</t>
    <phoneticPr fontId="24" type="noConversion"/>
  </si>
  <si>
    <t>Current SyncID output of this engine. This field will automatically update to be consistent with the SyncID output of this engine.</t>
    <phoneticPr fontId="24" type="noConversion"/>
  </si>
  <si>
    <t>32'd0</t>
    <phoneticPr fontId="24" type="noConversion"/>
  </si>
  <si>
    <t>由软件配置</t>
    <phoneticPr fontId="24" type="noConversion"/>
  </si>
  <si>
    <t>无需软件配置，由硬件推导的配置</t>
    <phoneticPr fontId="24" type="noConversion"/>
  </si>
  <si>
    <t>sys_tr_wr,sys_send,sys_wait：ASITIS
others：0</t>
    <phoneticPr fontId="24" type="noConversion"/>
  </si>
  <si>
    <t>perf_monitor_enable</t>
    <phoneticPr fontId="24" type="noConversion"/>
  </si>
  <si>
    <t>message_base_id</t>
    <phoneticPr fontId="24" type="noConversion"/>
  </si>
  <si>
    <t>8'b0</t>
    <phoneticPr fontId="24" type="noConversion"/>
  </si>
  <si>
    <t>7‘h40</t>
    <phoneticPr fontId="24" type="noConversion"/>
  </si>
  <si>
    <t>1‘b0</t>
    <phoneticPr fontId="24" type="noConversion"/>
  </si>
  <si>
    <t>message_id use for snyc_wait and sync_send</t>
    <phoneticPr fontId="24" type="noConversion"/>
  </si>
  <si>
    <t>base_addr_regine0</t>
    <phoneticPr fontId="24" type="noConversion"/>
  </si>
  <si>
    <t>base_addr_regine1</t>
  </si>
  <si>
    <t>base_addr_regine2</t>
  </si>
  <si>
    <t>base_addr_regine3</t>
  </si>
  <si>
    <t>base_addr_regine4</t>
  </si>
  <si>
    <t>base_addr_regine5</t>
  </si>
  <si>
    <t>base_addr_regine6</t>
  </si>
  <si>
    <t>base_addr_regine7</t>
  </si>
  <si>
    <t>base addr regine0</t>
    <phoneticPr fontId="24" type="noConversion"/>
  </si>
  <si>
    <t>base addr regine1</t>
  </si>
  <si>
    <t>base addr regine2</t>
  </si>
  <si>
    <t>base addr regine3</t>
  </si>
  <si>
    <t>base addr regine4</t>
  </si>
  <si>
    <t>base addr regine5</t>
  </si>
  <si>
    <t>base addr regine6</t>
  </si>
  <si>
    <t>base addr regine7</t>
  </si>
  <si>
    <t>4'h0</t>
    <phoneticPr fontId="24" type="noConversion"/>
  </si>
  <si>
    <t>8'd0</t>
    <phoneticPr fontId="24" type="noConversion"/>
  </si>
  <si>
    <t>interface des_awqos</t>
    <phoneticPr fontId="24" type="noConversion"/>
  </si>
  <si>
    <t>interface des_arqos</t>
    <phoneticPr fontId="24" type="noConversion"/>
  </si>
  <si>
    <t>interface ddr0_arqos</t>
    <phoneticPr fontId="24" type="noConversion"/>
  </si>
  <si>
    <t>cfg_load_mon_en</t>
    <phoneticPr fontId="24" type="noConversion"/>
  </si>
  <si>
    <t>cfg_load_mon_clr</t>
    <phoneticPr fontId="24" type="noConversion"/>
  </si>
  <si>
    <t>cfg_load_mon_cnt_low</t>
    <phoneticPr fontId="24" type="noConversion"/>
  </si>
  <si>
    <t>cfg_load_mon_cnt_high</t>
    <phoneticPr fontId="24" type="noConversion"/>
  </si>
  <si>
    <t>cfg_instr_vld_cnt_low</t>
    <phoneticPr fontId="24" type="noConversion"/>
  </si>
  <si>
    <t>cfg_instr_vld_cnt_high</t>
    <phoneticPr fontId="24" type="noConversion"/>
  </si>
  <si>
    <t>cfg_instr_iss_cnt_low</t>
    <phoneticPr fontId="24" type="noConversion"/>
  </si>
  <si>
    <t>cfg_instr_iss_cnt_high</t>
    <phoneticPr fontId="24" type="noConversion"/>
  </si>
  <si>
    <t>30'd0</t>
    <phoneticPr fontId="24" type="noConversion"/>
  </si>
  <si>
    <t>24'd0</t>
    <phoneticPr fontId="24" type="noConversion"/>
  </si>
  <si>
    <t>指令队列有待发射指令时进行计数</t>
    <phoneticPr fontId="24" type="noConversion"/>
  </si>
  <si>
    <t>指令队列有正在执行的指令时进行计数</t>
    <phoneticPr fontId="24" type="noConversion"/>
  </si>
  <si>
    <t>load mon计数器，当cfg_load_mon_en使能后，对时钟计数</t>
    <phoneticPr fontId="24" type="noConversion"/>
  </si>
  <si>
    <t>对load_mon_cnt,instr_vld_cnt，instr_iss_cnt同步清0</t>
    <phoneticPr fontId="24" type="noConversion"/>
  </si>
  <si>
    <t>使能loading monitor功能</t>
    <phoneticPr fontId="24" type="noConversion"/>
  </si>
  <si>
    <t>28'd0</t>
    <phoneticPr fontId="24" type="noConversion"/>
  </si>
  <si>
    <t>4'd0</t>
    <phoneticPr fontId="24" type="noConversion"/>
  </si>
  <si>
    <t>2'd0</t>
    <phoneticPr fontId="24" type="noConversion"/>
  </si>
  <si>
    <t>7'd0</t>
    <phoneticPr fontId="24" type="noConversion"/>
  </si>
  <si>
    <t>14'd0</t>
    <phoneticPr fontId="24" type="noConversion"/>
  </si>
  <si>
    <t>sys_pause,shut down sys and drain up all os</t>
    <phoneticPr fontId="24" type="noConversion"/>
  </si>
  <si>
    <t>sys_pause done,software can reset gdma
[0]:m_des_axi
[1]:m_ddr_axi_0
[2]:m_ddr_axi_1
[3]:m_lmem_gif</t>
    <phoneticPr fontId="24" type="noConversion"/>
  </si>
  <si>
    <t>cfg_stopper_enable</t>
    <phoneticPr fontId="24" type="noConversion"/>
  </si>
  <si>
    <t>cfg_stopper_bypass</t>
    <phoneticPr fontId="24" type="noConversion"/>
  </si>
  <si>
    <t>cfg_stopper_done</t>
    <phoneticPr fontId="24" type="noConversion"/>
  </si>
  <si>
    <t>bypass sys_pause engine
[0]:m_des_axi
[1]:m_ddr_axi_0
[2]:m_ddr_axi_1
[3]:m_lmem_gif</t>
    <phoneticPr fontId="24" type="noConversion"/>
  </si>
  <si>
    <t>FF-F0H</t>
    <phoneticPr fontId="24" type="noConversion"/>
  </si>
  <si>
    <t>EF-E0H</t>
    <phoneticPr fontId="24" type="noConversion"/>
  </si>
  <si>
    <t>DF-D0H</t>
    <phoneticPr fontId="24" type="noConversion"/>
  </si>
  <si>
    <t>CF-C0H</t>
    <phoneticPr fontId="24" type="noConversion"/>
  </si>
  <si>
    <t>BF-B0H</t>
    <phoneticPr fontId="24" type="noConversion"/>
  </si>
  <si>
    <t>AF-A0H</t>
    <phoneticPr fontId="24" type="noConversion"/>
  </si>
  <si>
    <t>9F-90H</t>
    <phoneticPr fontId="24" type="noConversion"/>
  </si>
  <si>
    <t>8F-80H</t>
    <phoneticPr fontId="24" type="noConversion"/>
  </si>
  <si>
    <t>7F-70H</t>
    <phoneticPr fontId="24" type="noConversion"/>
  </si>
  <si>
    <t>6F-60H</t>
    <phoneticPr fontId="24" type="noConversion"/>
  </si>
  <si>
    <t>5F-50H</t>
    <phoneticPr fontId="24" type="noConversion"/>
  </si>
  <si>
    <t>4F-40H</t>
    <phoneticPr fontId="24" type="noConversion"/>
  </si>
  <si>
    <t>3F-30H</t>
    <phoneticPr fontId="24" type="noConversion"/>
  </si>
  <si>
    <t>2F-20H</t>
    <phoneticPr fontId="24" type="noConversion"/>
  </si>
  <si>
    <t>1F-10H</t>
    <phoneticPr fontId="24" type="noConversion"/>
  </si>
  <si>
    <t>0F-00H</t>
    <phoneticPr fontId="24" type="noConversion"/>
  </si>
  <si>
    <t>gif_lmem_rd_st</t>
    <phoneticPr fontId="24" type="noConversion"/>
  </si>
  <si>
    <t>gif_lmem_rd_end</t>
    <phoneticPr fontId="24" type="noConversion"/>
  </si>
  <si>
    <t>gif_lmem_wr_st</t>
    <phoneticPr fontId="24" type="noConversion"/>
  </si>
  <si>
    <t>gif_lmem_wr_end</t>
    <phoneticPr fontId="24" type="noConversion"/>
  </si>
  <si>
    <t>gif_lmem_ar_st</t>
    <phoneticPr fontId="24" type="noConversion"/>
  </si>
  <si>
    <t>gif_lmem_ar_end</t>
    <phoneticPr fontId="24" type="noConversion"/>
  </si>
  <si>
    <t>0: Do not reset the SyncID output
1: Reset the SyncID output to be all 0s
This bit will be cleared immediately after write.</t>
    <phoneticPr fontId="24" type="noConversion"/>
  </si>
  <si>
    <t>cmd_done_status</t>
    <phoneticPr fontId="24" type="noConversion"/>
  </si>
  <si>
    <t>initial draft</t>
    <phoneticPr fontId="24" type="noConversion"/>
  </si>
  <si>
    <t>unsigned number; desitination blob N stride</t>
    <phoneticPr fontId="24" type="noConversion"/>
  </si>
  <si>
    <t>32'b0</t>
    <phoneticPr fontId="24" type="noConversion"/>
  </si>
  <si>
    <t>dst_nsize</t>
    <phoneticPr fontId="24" type="noConversion"/>
  </si>
  <si>
    <t>16'b0</t>
    <phoneticPr fontId="24" type="noConversion"/>
  </si>
  <si>
    <t>unsigned number; desitination blob C stride</t>
    <phoneticPr fontId="24" type="noConversion"/>
  </si>
  <si>
    <t>unsigned number; desitination blob H stride</t>
    <phoneticPr fontId="24" type="noConversion"/>
  </si>
  <si>
    <t>unsigned number; desitination blob N size</t>
    <phoneticPr fontId="24" type="noConversion"/>
  </si>
  <si>
    <t>unsigned number; desitination blob C size</t>
    <phoneticPr fontId="24" type="noConversion"/>
  </si>
  <si>
    <t>unsigned number; desitination blob H size</t>
    <phoneticPr fontId="24" type="noConversion"/>
  </si>
  <si>
    <t>unsigned number; desitination blob W size</t>
    <phoneticPr fontId="24" type="noConversion"/>
  </si>
  <si>
    <t>destination blob start address[31:0]</t>
  </si>
  <si>
    <t>this field is connected with cmd_type. when cmd_type == DMA_tensor
0000: No special function</t>
    <phoneticPr fontId="24" type="noConversion"/>
  </si>
  <si>
    <t>fill constant:no need to config
stride_en=0:no need to config
others:ASITIS</t>
    <phoneticPr fontId="24" type="noConversion"/>
  </si>
  <si>
    <t>stride_en=0:no need to config
others:ASITIS</t>
    <phoneticPr fontId="24" type="noConversion"/>
  </si>
  <si>
    <t>this field is connected with cmd_type. when cmd_type == DMA_index_select
000: chain end
001: nop
010: sys_tr_wr
011: sys_msg_tx_send
100: sys_msg_tx_wait
101: sys_msg_rx_send
110: sys_msg_rx_wait</t>
    <phoneticPr fontId="24" type="noConversion"/>
  </si>
  <si>
    <t>intr_axi_data_rd_err_disable</t>
    <phoneticPr fontId="24" type="noConversion"/>
  </si>
  <si>
    <t>intr_replay_disable</t>
    <phoneticPr fontId="24" type="noConversion"/>
  </si>
  <si>
    <t>intr_replay_overflow_disable</t>
    <phoneticPr fontId="24" type="noConversion"/>
  </si>
  <si>
    <t>intr_axi_data_wr_err_disable</t>
    <phoneticPr fontId="24" type="noConversion"/>
  </si>
  <si>
    <t>intr_des_rd_err_disable</t>
    <phoneticPr fontId="24" type="noConversion"/>
  </si>
  <si>
    <t>intr_dstid_err_disable</t>
    <phoneticPr fontId="24" type="noConversion"/>
  </si>
  <si>
    <t>intr_srcid_err_disable</t>
    <phoneticPr fontId="24" type="noConversion"/>
  </si>
  <si>
    <t>intr_ack_crc_err_disable</t>
    <phoneticPr fontId="24" type="noConversion"/>
  </si>
  <si>
    <t>intr_ack_seqid_err_disable</t>
    <phoneticPr fontId="24" type="noConversion"/>
  </si>
  <si>
    <t>intr_nack_crc_err_disable</t>
    <phoneticPr fontId="24" type="noConversion"/>
  </si>
  <si>
    <t>intr_nack_seqid_err_disable</t>
    <phoneticPr fontId="24" type="noConversion"/>
  </si>
  <si>
    <t>intr_repeat_frame_disable</t>
    <phoneticPr fontId="24" type="noConversion"/>
  </si>
  <si>
    <t>intr_miss_frame_disable</t>
    <phoneticPr fontId="24" type="noConversion"/>
  </si>
  <si>
    <t>intr_frame_crc_disable</t>
    <phoneticPr fontId="24" type="noConversion"/>
  </si>
  <si>
    <t>intr_timeout_disable</t>
    <phoneticPr fontId="24" type="noConversion"/>
  </si>
  <si>
    <t>intr_ins_buf_half_full_disable</t>
    <phoneticPr fontId="24" type="noConversion"/>
  </si>
  <si>
    <t>intr_ins_buf_one_full_disable</t>
    <phoneticPr fontId="24" type="noConversion"/>
  </si>
  <si>
    <t>0: interrupt generation is enabled
1: interrupt is masked.
Disable INS_BUF_half_FORTH_FULL interrupt generation</t>
    <phoneticPr fontId="24" type="noConversion"/>
  </si>
  <si>
    <t>0: interrupt generation is enabled
1: interrupt is masked.
Disable replay timeout interrupt generation</t>
    <phoneticPr fontId="24" type="noConversion"/>
  </si>
  <si>
    <t>0: interrupt generation is enabled
1: interrupt is masked.
Disable frame crc err interrupt generation</t>
    <phoneticPr fontId="24" type="noConversion"/>
  </si>
  <si>
    <t>0: interrupt generation is enabled
1: interrupt is masked.
Disable miss frame err interrupt generation</t>
    <phoneticPr fontId="24" type="noConversion"/>
  </si>
  <si>
    <t>0: interrupt generation is enabled
1: interrupt is masked.
Disable repeat frame interrupt generation</t>
    <phoneticPr fontId="24" type="noConversion"/>
  </si>
  <si>
    <t>0: interrupt generation is enabled
1: interrupt is masked.
Disable nack seqid error interrupt generation</t>
    <phoneticPr fontId="24" type="noConversion"/>
  </si>
  <si>
    <t>0: interrupt generation is enabled
1: interrupt is masked.
Disable nack crc error interrupt generation</t>
    <phoneticPr fontId="24" type="noConversion"/>
  </si>
  <si>
    <t>0: interrupt generation is enabled
1: interrupt is masked.
Disable ack seqid error interrupt generation</t>
    <phoneticPr fontId="24" type="noConversion"/>
  </si>
  <si>
    <t>0: interrupt generation is enabled
1: interrupt is masked.
Disable ack crc error interrupt generation</t>
    <phoneticPr fontId="24" type="noConversion"/>
  </si>
  <si>
    <t>0: interrupt generation is enabled
1: interrupt is masked.
Disable frame srcid error interrupt generation</t>
    <phoneticPr fontId="24" type="noConversion"/>
  </si>
  <si>
    <t>0: interrupt generation is enabled
1: interrupt is masked.
Disable frame dstid error interrupt generation</t>
    <phoneticPr fontId="24" type="noConversion"/>
  </si>
  <si>
    <t>0: interrupt generation is enabled
1: interrupt is masked.
Disable descriptor read error interrupt generation</t>
    <phoneticPr fontId="24" type="noConversion"/>
  </si>
  <si>
    <t>0: interrupt generation is enabled
1: interrupt is masked
Disable RD_DATA_FROM_AXI_ERR interrupt generation</t>
    <phoneticPr fontId="24" type="noConversion"/>
  </si>
  <si>
    <t>0: interrupt generation is enabled
1: interrupt is masked.
Disable WR_DATA_TO_AXI_ERR interrupt generation</t>
    <phoneticPr fontId="24" type="noConversion"/>
  </si>
  <si>
    <t>0: interrupt generation is enabled
1: interrupt is masked
Disable replay ERR interrupt generation</t>
    <phoneticPr fontId="24" type="noConversion"/>
  </si>
  <si>
    <t>0: interrupt generation is enabled
1: interrupt is masked.
Disable replay counter overflow interrupt generation</t>
    <phoneticPr fontId="24" type="noConversion"/>
  </si>
  <si>
    <t>constant_value_l32</t>
    <phoneticPr fontId="24" type="noConversion"/>
  </si>
  <si>
    <t>sys_tr_wr：ASITIS
others：0</t>
    <phoneticPr fontId="24" type="noConversion"/>
  </si>
  <si>
    <t>when cmd_special_function==sys_tr_wr, this field means constant value high 32bits;</t>
    <phoneticPr fontId="24" type="noConversion"/>
  </si>
  <si>
    <t>constant_value_h32</t>
    <phoneticPr fontId="24" type="noConversion"/>
  </si>
  <si>
    <t>reg_sel</t>
    <phoneticPr fontId="24" type="noConversion"/>
  </si>
  <si>
    <t>when cmd_special_function==sys_tr_wr, this field means reg sel:
0000:current_id
0001:src mac id
0010:dst mac id</t>
    <phoneticPr fontId="24" type="noConversion"/>
  </si>
  <si>
    <t>des_rd_err</t>
    <phoneticPr fontId="24" type="noConversion"/>
  </si>
  <si>
    <t>axi_data_rd_err</t>
    <phoneticPr fontId="24" type="noConversion"/>
  </si>
  <si>
    <t>axi_data_wr_err</t>
    <phoneticPr fontId="24" type="noConversion"/>
  </si>
  <si>
    <t>ins_buf_half_full</t>
    <phoneticPr fontId="24" type="noConversion"/>
  </si>
  <si>
    <t>frame_crc_err</t>
    <phoneticPr fontId="24" type="noConversion"/>
  </si>
  <si>
    <t>repeat_frame_err</t>
    <phoneticPr fontId="24" type="noConversion"/>
  </si>
  <si>
    <t>miss_frame_err</t>
    <phoneticPr fontId="24" type="noConversion"/>
  </si>
  <si>
    <t>replay_timeout_err</t>
    <phoneticPr fontId="24" type="noConversion"/>
  </si>
  <si>
    <t>nack_crc_err</t>
    <phoneticPr fontId="24" type="noConversion"/>
  </si>
  <si>
    <t>ack_seqid_err</t>
    <phoneticPr fontId="24" type="noConversion"/>
  </si>
  <si>
    <t>ack_crc_err</t>
    <phoneticPr fontId="24" type="noConversion"/>
  </si>
  <si>
    <t>frame_srcid_err</t>
    <phoneticPr fontId="24" type="noConversion"/>
  </si>
  <si>
    <t>frame_dstid_err</t>
    <phoneticPr fontId="24" type="noConversion"/>
  </si>
  <si>
    <t>replay_overflow</t>
    <phoneticPr fontId="24" type="noConversion"/>
  </si>
  <si>
    <t>replay_happen</t>
    <phoneticPr fontId="24" type="noConversion"/>
  </si>
  <si>
    <t>bw_ar_pwr_test_en</t>
    <phoneticPr fontId="24" type="noConversion"/>
  </si>
  <si>
    <t>bw_aw_pwr_test_en</t>
    <phoneticPr fontId="24" type="noConversion"/>
  </si>
  <si>
    <t>bw_ar_en</t>
    <phoneticPr fontId="24" type="noConversion"/>
  </si>
  <si>
    <t>bw_aw_en</t>
    <phoneticPr fontId="24" type="noConversion"/>
  </si>
  <si>
    <t>1'h0</t>
    <phoneticPr fontId="24" type="noConversion"/>
  </si>
  <si>
    <t>interface axi archannel bw pwr test en</t>
    <phoneticPr fontId="24" type="noConversion"/>
  </si>
  <si>
    <t>interface axi awchannel bw pwr test en</t>
    <phoneticPr fontId="24" type="noConversion"/>
  </si>
  <si>
    <t>interface axi archannel bw en</t>
    <phoneticPr fontId="24" type="noConversion"/>
  </si>
  <si>
    <t>bw_lmt_vld_aw</t>
    <phoneticPr fontId="24" type="noConversion"/>
  </si>
  <si>
    <t>bw_lmt_win_aw</t>
    <phoneticPr fontId="24" type="noConversion"/>
  </si>
  <si>
    <t>bw_lmt_vld_ar</t>
    <phoneticPr fontId="24" type="noConversion"/>
  </si>
  <si>
    <t>bw_lmt_win_ar</t>
    <phoneticPr fontId="24" type="noConversion"/>
  </si>
  <si>
    <t>window cycle内可通过的handshake number</t>
    <phoneticPr fontId="24" type="noConversion"/>
  </si>
  <si>
    <t>window cycle数</t>
    <phoneticPr fontId="24" type="noConversion"/>
  </si>
  <si>
    <t>send_ins_buf_status</t>
    <phoneticPr fontId="24" type="noConversion"/>
  </si>
  <si>
    <t>receive_ins_buf_status</t>
    <phoneticPr fontId="24" type="noConversion"/>
  </si>
  <si>
    <t>replay_en</t>
    <phoneticPr fontId="24" type="noConversion"/>
  </si>
  <si>
    <t>0: disable replay function
1: enable replay function</t>
    <phoneticPr fontId="24" type="noConversion"/>
  </si>
  <si>
    <t>src_mac_id_l32</t>
    <phoneticPr fontId="24" type="noConversion"/>
  </si>
  <si>
    <t>src_mac_id_h16</t>
    <phoneticPr fontId="24" type="noConversion"/>
  </si>
  <si>
    <t>dst_mac_id_l32</t>
    <phoneticPr fontId="24" type="noConversion"/>
  </si>
  <si>
    <t>dst_mac_id_h16</t>
    <phoneticPr fontId="24" type="noConversion"/>
  </si>
  <si>
    <t>Write 1 clear
0: No interrupt
1: Interrupt triggered</t>
    <phoneticPr fontId="24" type="noConversion"/>
  </si>
  <si>
    <t>send_memory_err</t>
    <phoneticPr fontId="24" type="noConversion"/>
  </si>
  <si>
    <t>intr_send_memory_err_disable</t>
    <phoneticPr fontId="24" type="noConversion"/>
  </si>
  <si>
    <t>0: interrupt generation is enabled
1: interrupt is masked.
Disable pcie对端芯片write指令write_memory_err interrupt generation</t>
    <phoneticPr fontId="24" type="noConversion"/>
  </si>
  <si>
    <t>read_qos_mode</t>
    <phoneticPr fontId="24" type="noConversion"/>
  </si>
  <si>
    <t>write_qos_mode</t>
    <phoneticPr fontId="24" type="noConversion"/>
  </si>
  <si>
    <t>25'b0</t>
    <phoneticPr fontId="24" type="noConversion"/>
  </si>
  <si>
    <t>read qos mode
0：static mode
1：dynamic mode</t>
    <phoneticPr fontId="24" type="noConversion"/>
  </si>
  <si>
    <t>write qos mode
0：static mode
1：dynamic mode</t>
    <phoneticPr fontId="24" type="noConversion"/>
  </si>
  <si>
    <t>static_awqos</t>
    <phoneticPr fontId="24" type="noConversion"/>
  </si>
  <si>
    <t>static_arqos</t>
    <phoneticPr fontId="24" type="noConversion"/>
  </si>
  <si>
    <t>dynamic_half_awqos</t>
    <phoneticPr fontId="24" type="noConversion"/>
  </si>
  <si>
    <t>dynamic_half_arqos</t>
    <phoneticPr fontId="24" type="noConversion"/>
  </si>
  <si>
    <t>dynamic_low_priority_awqos</t>
    <phoneticPr fontId="24" type="noConversion"/>
  </si>
  <si>
    <t>dynamic_low_priority_arqos</t>
    <phoneticPr fontId="24" type="noConversion"/>
  </si>
  <si>
    <t>dynamic_high_priority_awqos</t>
    <phoneticPr fontId="24" type="noConversion"/>
  </si>
  <si>
    <t>dynamic_high_priority_arqos</t>
    <phoneticPr fontId="24" type="noConversion"/>
  </si>
  <si>
    <t>high priority awqos，超出3/4 buffer size后用此qos</t>
    <phoneticPr fontId="24" type="noConversion"/>
  </si>
  <si>
    <t>half priority arqos，1/4到3/4之间buffer size用此qos</t>
    <phoneticPr fontId="24" type="noConversion"/>
  </si>
  <si>
    <t>half priority awqos，1/4到3/4之间buffer size用此qos</t>
    <phoneticPr fontId="24" type="noConversion"/>
  </si>
  <si>
    <t>low priority awqos，小于1/4 buffer size用此qos</t>
    <phoneticPr fontId="24" type="noConversion"/>
  </si>
  <si>
    <t>low priority arqos，小于1/4 buffer size用此qos</t>
    <phoneticPr fontId="24" type="noConversion"/>
  </si>
  <si>
    <t>axi_max_payload</t>
    <phoneticPr fontId="24" type="noConversion"/>
  </si>
  <si>
    <t>src_mac_id low 32bits</t>
    <phoneticPr fontId="24" type="noConversion"/>
  </si>
  <si>
    <t>dst_mac_id low 32bits</t>
    <phoneticPr fontId="24" type="noConversion"/>
  </si>
  <si>
    <t>src_mac_id high 16bits</t>
    <phoneticPr fontId="24" type="noConversion"/>
  </si>
  <si>
    <t>dst_mac_id high 16bits</t>
    <phoneticPr fontId="24" type="noConversion"/>
  </si>
  <si>
    <t>16'd0</t>
    <phoneticPr fontId="24" type="noConversion"/>
  </si>
  <si>
    <t>axi max payload
00:128B
01:256B
10:512B
11:1024B</t>
    <phoneticPr fontId="24" type="noConversion"/>
  </si>
  <si>
    <t>receive_cmd_os</t>
    <phoneticPr fontId="24" type="noConversion"/>
  </si>
  <si>
    <t>1'd0</t>
    <phoneticPr fontId="24" type="noConversion"/>
  </si>
  <si>
    <t>axi_read_os</t>
    <phoneticPr fontId="24" type="noConversion"/>
  </si>
  <si>
    <t>axi_write_os</t>
    <phoneticPr fontId="24" type="noConversion"/>
  </si>
  <si>
    <t>mtl tx max payload
00:128B
01:256B
10:512B
11:1024B</t>
    <phoneticPr fontId="24" type="noConversion"/>
  </si>
  <si>
    <t>mtl rx max payload
00:128B
01:256B
10:512B
11:1024B</t>
    <phoneticPr fontId="24" type="noConversion"/>
  </si>
  <si>
    <t>mtl_rx_max_payload</t>
    <phoneticPr fontId="24" type="noConversion"/>
  </si>
  <si>
    <t>mtl_tx_max_payload</t>
    <phoneticPr fontId="24" type="noConversion"/>
  </si>
  <si>
    <t>receive cmd os
0:1os
1:2os</t>
    <phoneticPr fontId="24" type="noConversion"/>
  </si>
  <si>
    <t>axi read max os
00:16os
01:32os
10:64os
11:128os
...</t>
    <phoneticPr fontId="24" type="noConversion"/>
  </si>
  <si>
    <t>axi write max payload
00:16os
01:32os
10:64os
11:128os
…</t>
    <phoneticPr fontId="24" type="noConversion"/>
  </si>
  <si>
    <t>reg_gdma_dbg_exec</t>
    <phoneticPr fontId="24" type="noConversion"/>
  </si>
  <si>
    <t>reg_gdma_dbg_mode</t>
    <phoneticPr fontId="24" type="noConversion"/>
  </si>
  <si>
    <t>Debug Mode ([1]: single step debug mode [2]: force stop mode)
Execute single descriptor
[1]: Single Step Mode
This bit is auto clear when one descriptor finish on AXI bus.
SW can write 1’b1 to let gdma process one descriptor. After that SW need polling this bit, if it turns to 1’b0, then gdma has finish one descriptor.
[2]: Force Stop Mode
Force TDMA stop sending any transaction to bus. If bus is clear, it would set this bit to zero. SW could also check trans status for it.</t>
    <phoneticPr fontId="24" type="noConversion"/>
  </si>
  <si>
    <t>2'b0</t>
    <phoneticPr fontId="24" type="noConversion"/>
  </si>
  <si>
    <t>debug enable: see dbg_mode for mode sel</t>
    <phoneticPr fontId="24" type="noConversion"/>
  </si>
  <si>
    <t>arcache</t>
    <phoneticPr fontId="24" type="noConversion"/>
  </si>
  <si>
    <t>awcache</t>
    <phoneticPr fontId="24" type="noConversion"/>
  </si>
  <si>
    <t>connection_on</t>
    <phoneticPr fontId="24" type="noConversion"/>
  </si>
  <si>
    <t>表示可以接受frame</t>
    <phoneticPr fontId="24" type="noConversion"/>
  </si>
  <si>
    <t>src_nstride/constant_value</t>
    <phoneticPr fontId="24" type="noConversion"/>
  </si>
  <si>
    <t>unsigned number; Source blob N stride;when cmd_special_function==fill constant, this field means constant value</t>
    <phoneticPr fontId="24" type="noConversion"/>
  </si>
  <si>
    <t>psum_op</t>
    <phoneticPr fontId="24" type="noConversion"/>
  </si>
  <si>
    <t>no need to config:2</t>
    <phoneticPr fontId="24" type="noConversion"/>
  </si>
  <si>
    <t>reduce_op</t>
    <phoneticPr fontId="24" type="noConversion"/>
  </si>
  <si>
    <t>3'd0</t>
    <phoneticPr fontId="24" type="noConversion"/>
  </si>
  <si>
    <t>psum_opcode 
0：wo
1：rd+wr</t>
    <phoneticPr fontId="24" type="noConversion"/>
  </si>
  <si>
    <t>others:ASITIS</t>
    <phoneticPr fontId="24" type="noConversion"/>
  </si>
  <si>
    <t>nchw_copy: no need to config
others:ASITIS</t>
    <phoneticPr fontId="24" type="noConversion"/>
  </si>
  <si>
    <t>sec_length</t>
    <phoneticPr fontId="24" type="noConversion"/>
  </si>
  <si>
    <t>9'd0</t>
    <phoneticPr fontId="24" type="noConversion"/>
  </si>
  <si>
    <t>sec_length
000:1KB
001:4KB
010:16KB
011:64KB
100:256KB
101:1MB
110:4MB
111:16MB</t>
    <phoneticPr fontId="24" type="noConversion"/>
  </si>
  <si>
    <t>dst_start_addr_h13</t>
    <phoneticPr fontId="24" type="noConversion"/>
  </si>
  <si>
    <t>13'b0</t>
    <phoneticPr fontId="24" type="noConversion"/>
  </si>
  <si>
    <t>src_start_addr_h13</t>
    <phoneticPr fontId="24" type="noConversion"/>
  </si>
  <si>
    <t>Source blob start address[44:32]:
addr[44:40] means tag
addr eq addr[39:0] + base_addr_region[addr[44:40]]</t>
    <phoneticPr fontId="24" type="noConversion"/>
  </si>
  <si>
    <t>Destination blob start address[44:32]:
addr[44:40] means tag
addr eq addr[39:0] + base_addr_region[addr[44:40]]</t>
    <phoneticPr fontId="24" type="noConversion"/>
  </si>
  <si>
    <t>des_addr_h1</t>
    <phoneticPr fontId="24" type="noConversion"/>
  </si>
  <si>
    <t>des_addr_l32</t>
    <phoneticPr fontId="24" type="noConversion"/>
  </si>
  <si>
    <t>perf_monitor_res_end_addr_h1</t>
    <phoneticPr fontId="24" type="noConversion"/>
  </si>
  <si>
    <t>perf_monitor_res_start_addr_l32</t>
    <phoneticPr fontId="24" type="noConversion"/>
  </si>
  <si>
    <t>perf_monitor_res_start_addr_h1</t>
    <phoneticPr fontId="24" type="noConversion"/>
  </si>
  <si>
    <t>perf_monitor_res_end_addr_l32</t>
    <phoneticPr fontId="24" type="noConversion"/>
  </si>
  <si>
    <t>base_addr_regine8</t>
    <phoneticPr fontId="24" type="noConversion"/>
  </si>
  <si>
    <t>base_addr_regine9</t>
    <phoneticPr fontId="24" type="noConversion"/>
  </si>
  <si>
    <t>base_addr_regine10</t>
    <phoneticPr fontId="24" type="noConversion"/>
  </si>
  <si>
    <t>base_addr_regine11</t>
    <phoneticPr fontId="24" type="noConversion"/>
  </si>
  <si>
    <t>base_addr_regine12</t>
    <phoneticPr fontId="24" type="noConversion"/>
  </si>
  <si>
    <t>base_addr_regine13</t>
    <phoneticPr fontId="24" type="noConversion"/>
  </si>
  <si>
    <t>base_addr_regine14</t>
    <phoneticPr fontId="24" type="noConversion"/>
  </si>
  <si>
    <t>base_addr_regine15</t>
    <phoneticPr fontId="24" type="noConversion"/>
  </si>
  <si>
    <t>base_addr_regine16</t>
    <phoneticPr fontId="24" type="noConversion"/>
  </si>
  <si>
    <t>base_addr_regine17</t>
    <phoneticPr fontId="24" type="noConversion"/>
  </si>
  <si>
    <t>base_addr_regine18</t>
    <phoneticPr fontId="24" type="noConversion"/>
  </si>
  <si>
    <t>base_addr_regine19</t>
    <phoneticPr fontId="24" type="noConversion"/>
  </si>
  <si>
    <t>base_addr_regine20</t>
    <phoneticPr fontId="24" type="noConversion"/>
  </si>
  <si>
    <t>base_addr_regine21</t>
    <phoneticPr fontId="24" type="noConversion"/>
  </si>
  <si>
    <t>base_addr_regine22</t>
    <phoneticPr fontId="24" type="noConversion"/>
  </si>
  <si>
    <t>base_addr_regine23</t>
    <phoneticPr fontId="24" type="noConversion"/>
  </si>
  <si>
    <t>base_addr_regine24</t>
    <phoneticPr fontId="24" type="noConversion"/>
  </si>
  <si>
    <t>base_addr_regine25</t>
    <phoneticPr fontId="24" type="noConversion"/>
  </si>
  <si>
    <t>base_addr_regine26</t>
    <phoneticPr fontId="24" type="noConversion"/>
  </si>
  <si>
    <t>base_addr_regine27</t>
    <phoneticPr fontId="24" type="noConversion"/>
  </si>
  <si>
    <t>base_addr_regine28</t>
    <phoneticPr fontId="24" type="noConversion"/>
  </si>
  <si>
    <t>base_addr_regine29</t>
    <phoneticPr fontId="24" type="noConversion"/>
  </si>
  <si>
    <t>base_addr_regine30</t>
    <phoneticPr fontId="24" type="noConversion"/>
  </si>
  <si>
    <t>base_addr_regine31</t>
    <phoneticPr fontId="24" type="noConversion"/>
  </si>
  <si>
    <t>base addr regine8</t>
    <phoneticPr fontId="24" type="noConversion"/>
  </si>
  <si>
    <t>base addr regine9</t>
    <phoneticPr fontId="24" type="noConversion"/>
  </si>
  <si>
    <t>base addr regine10</t>
    <phoneticPr fontId="24" type="noConversion"/>
  </si>
  <si>
    <t>base addr regine11</t>
    <phoneticPr fontId="24" type="noConversion"/>
  </si>
  <si>
    <t>base addr regine12</t>
    <phoneticPr fontId="24" type="noConversion"/>
  </si>
  <si>
    <t>base addr regine13</t>
  </si>
  <si>
    <t>base addr regine14</t>
  </si>
  <si>
    <t>base addr regine15</t>
  </si>
  <si>
    <t>base addr regine16</t>
  </si>
  <si>
    <t>base addr regine17</t>
  </si>
  <si>
    <t>base addr regine18</t>
  </si>
  <si>
    <t>base addr regine19</t>
  </si>
  <si>
    <t>base addr regine20</t>
  </si>
  <si>
    <t>base addr regine21</t>
  </si>
  <si>
    <t>base addr regine22</t>
  </si>
  <si>
    <t>base addr regine23</t>
  </si>
  <si>
    <t>base addr regine24</t>
  </si>
  <si>
    <t>base addr regine25</t>
  </si>
  <si>
    <t>base addr regine26</t>
  </si>
  <si>
    <t>base addr regine27</t>
  </si>
  <si>
    <t>base addr regine28</t>
  </si>
  <si>
    <t>base addr regine29</t>
  </si>
  <si>
    <t>base addr regine30</t>
  </si>
  <si>
    <t>base addr regine31</t>
  </si>
  <si>
    <t>perf_monitor_wr_addr_l32</t>
    <phoneticPr fontId="24" type="noConversion"/>
  </si>
  <si>
    <t>perf_monitor_wr_addr_h1</t>
    <phoneticPr fontId="24" type="noConversion"/>
  </si>
  <si>
    <t>the ddr nxt wr address [38:7] for performance monitor.</t>
    <phoneticPr fontId="24" type="noConversion"/>
  </si>
  <si>
    <t>the ddr nxt wr address [39] for performance monitor.</t>
    <phoneticPr fontId="24" type="noConversion"/>
  </si>
  <si>
    <t>the ddr start address [38:7] for performance monitor is update by this register's bit[27:0].bit[0]must be 0
the bit [6:0] is always 0.</t>
    <phoneticPr fontId="24" type="noConversion"/>
  </si>
  <si>
    <t>the ddr start address [39] for performance monitor is update by this register's bit[27:0].bit[0]must be 0
the bit [6:0] is always 0.</t>
    <phoneticPr fontId="24" type="noConversion"/>
  </si>
  <si>
    <t>the ddr end address [38:7] for performance monitor is update by this register's bit[27:0].bit[0] must be 0
the bit [6:0] is always 0.</t>
    <phoneticPr fontId="24" type="noConversion"/>
  </si>
  <si>
    <t>the ddr end address [39] for performance monitor is update by this register's bit[27:0].bit[0] must be 0
the bit [6:0] is always 0.</t>
    <phoneticPr fontId="24" type="noConversion"/>
  </si>
  <si>
    <t>Descriptor Address Pointer [39] is updated by this register’s bit.
Descriptor address’s bit [6:0] are always 0.</t>
    <phoneticPr fontId="24" type="noConversion"/>
  </si>
  <si>
    <t>Descriptor Address Pointer [38:7] is updated by this register’s bit.
Descriptor address’s bit [6:0] are always 0.</t>
    <phoneticPr fontId="24" type="noConversion"/>
  </si>
  <si>
    <t>cdma have receive sys.eod and is busy at clear all des otsd</t>
    <phoneticPr fontId="24" type="noConversion"/>
  </si>
  <si>
    <t>cmd_eod_trigger</t>
    <phoneticPr fontId="24" type="noConversion"/>
  </si>
  <si>
    <t>RWS</t>
    <phoneticPr fontId="24" type="noConversion"/>
  </si>
  <si>
    <t>RWC</t>
    <phoneticPr fontId="24" type="noConversion"/>
  </si>
  <si>
    <t>0.6</t>
    <phoneticPr fontId="24" type="noConversion"/>
  </si>
  <si>
    <t>0.1</t>
    <phoneticPr fontId="24" type="noConversion"/>
  </si>
  <si>
    <t>RWC：Self set and write 1 to clear</t>
    <phoneticPr fontId="24" type="noConversion"/>
  </si>
  <si>
    <r>
      <t>RWS</t>
    </r>
    <r>
      <rPr>
        <b/>
        <sz val="10.5"/>
        <color theme="1"/>
        <rFont val="SimSun"/>
        <family val="3"/>
        <charset val="134"/>
      </rPr>
      <t>：</t>
    </r>
    <r>
      <rPr>
        <b/>
        <sz val="10.5"/>
        <color theme="1"/>
        <rFont val="Times New Roman"/>
        <family val="1"/>
      </rPr>
      <t>write 1 to set and self reset</t>
    </r>
    <phoneticPr fontId="24" type="noConversion"/>
  </si>
  <si>
    <t>intr_des_mode_enable_collision_disable</t>
    <phoneticPr fontId="24" type="noConversion"/>
  </si>
  <si>
    <t>0: interrupt generation is enabled
1: interrupt is masked
Disable DES_MODE_ENABLE_COLLISION interrupt generation</t>
    <phoneticPr fontId="24" type="noConversion"/>
  </si>
  <si>
    <t>des_mode_enable_collision_err</t>
    <phoneticPr fontId="24" type="noConversion"/>
  </si>
  <si>
    <t>nack_seqid_err</t>
    <phoneticPr fontId="24" type="noConversion"/>
  </si>
  <si>
    <t>current_send_sync_id</t>
    <phoneticPr fontId="24" type="noConversion"/>
  </si>
  <si>
    <t>current_rcv_sync_id</t>
    <phoneticPr fontId="24" type="noConversion"/>
  </si>
  <si>
    <t>rcv_addr_h32</t>
    <phoneticPr fontId="24" type="noConversion"/>
  </si>
  <si>
    <t>rcv_addr_high_32bit</t>
    <phoneticPr fontId="24" type="noConversion"/>
  </si>
  <si>
    <t>inter_die_addr_high_32bit</t>
    <phoneticPr fontId="24" type="noConversion"/>
  </si>
  <si>
    <t>inter_die_addr_h32</t>
    <phoneticPr fontId="24" type="noConversion"/>
  </si>
  <si>
    <t>intra_die_addr_h32</t>
    <phoneticPr fontId="24" type="noConversion"/>
  </si>
  <si>
    <t>intra_die_addr_high_32bit</t>
    <phoneticPr fontId="24" type="noConversion"/>
  </si>
  <si>
    <t>VLAN_ID</t>
    <phoneticPr fontId="24" type="noConversion"/>
  </si>
  <si>
    <t>CDMA_VLAN_ID</t>
    <phoneticPr fontId="24" type="noConversion"/>
  </si>
  <si>
    <t>CDMA_TX_CH_ID</t>
    <phoneticPr fontId="24" type="noConversion"/>
  </si>
  <si>
    <t>CDMA_RX_CH_ID</t>
    <phoneticPr fontId="24" type="noConversion"/>
  </si>
  <si>
    <t>CDMA_FAB_Arbitration</t>
    <phoneticPr fontId="24" type="noConversion"/>
  </si>
  <si>
    <t>CDMA EDMA MTL FAB Arbitration：
00：fix priority，CDMA high priority
01：fix priority，EDMA high priority
10：round robin</t>
    <phoneticPr fontId="24" type="noConversion"/>
  </si>
  <si>
    <t>12'd0</t>
    <phoneticPr fontId="24" type="noConversion"/>
  </si>
  <si>
    <t>8'd1</t>
    <phoneticPr fontId="24" type="noConversion"/>
  </si>
  <si>
    <t>CDMA own channel，one hot</t>
    <phoneticPr fontId="24" type="noConversion"/>
  </si>
  <si>
    <r>
      <rPr>
        <sz val="11"/>
        <color theme="1"/>
        <rFont val="SimSun"/>
        <family val="3"/>
        <charset val="134"/>
      </rPr>
      <t>修改CSR</t>
    </r>
    <r>
      <rPr>
        <sz val="11"/>
        <color theme="1"/>
        <rFont val="Microsoft YaHei UI"/>
        <family val="2"/>
        <charset val="134"/>
      </rPr>
      <t xml:space="preserve"> R/W</t>
    </r>
    <r>
      <rPr>
        <sz val="11"/>
        <color theme="1"/>
        <rFont val="Cambria"/>
        <family val="1"/>
      </rPr>
      <t xml:space="preserve"> </t>
    </r>
    <r>
      <rPr>
        <sz val="11"/>
        <color theme="1"/>
        <rFont val="Cambria"/>
        <family val="3"/>
        <charset val="134"/>
      </rPr>
      <t xml:space="preserve">
新增mtl fab寄存器
新增vlanid</t>
    </r>
    <phoneticPr fontId="24" type="noConversion"/>
  </si>
  <si>
    <t>Project Name</t>
  </si>
  <si>
    <t>Sub system</t>
  </si>
  <si>
    <t>Module Name</t>
  </si>
  <si>
    <t>Main Clock</t>
  </si>
  <si>
    <t>Main Reset</t>
  </si>
  <si>
    <t>File Version</t>
  </si>
  <si>
    <t>V 1.0.00</t>
  </si>
  <si>
    <t>Creation Date</t>
  </si>
  <si>
    <t>Base Address</t>
  </si>
  <si>
    <t>//</t>
  </si>
  <si>
    <t>// Begin</t>
  </si>
  <si>
    <t>Reg High Address</t>
  </si>
  <si>
    <t>Reg Low Address</t>
  </si>
  <si>
    <t>Register Name</t>
  </si>
  <si>
    <t>Short Description</t>
  </si>
  <si>
    <t>Register Description</t>
  </si>
  <si>
    <t>Reset</t>
  </si>
  <si>
    <t>Field Name</t>
  </si>
  <si>
    <t>MSB</t>
  </si>
  <si>
    <t>LSB</t>
  </si>
  <si>
    <t>Bits</t>
  </si>
  <si>
    <t>Init</t>
  </si>
  <si>
    <t>r/w</t>
  </si>
  <si>
    <t>Field Description</t>
  </si>
  <si>
    <t>Mask</t>
  </si>
  <si>
    <t>check value</t>
  </si>
  <si>
    <t>shadow</t>
  </si>
  <si>
    <t>shadow ctrl</t>
  </si>
  <si>
    <t>shadow read</t>
  </si>
  <si>
    <t>cross clock</t>
  </si>
  <si>
    <t>cross rst</t>
  </si>
  <si>
    <t>group</t>
  </si>
  <si>
    <t>Visibility</t>
  </si>
  <si>
    <t>h0</t>
  </si>
  <si>
    <t>CDMA_CSR_0</t>
  </si>
  <si>
    <t>CDMA_CSR_0_Setting</t>
  </si>
  <si>
    <t>rstn</t>
  </si>
  <si>
    <t>rws</t>
  </si>
  <si>
    <t>rw</t>
  </si>
  <si>
    <t>h4</t>
  </si>
  <si>
    <t>CDMA_CSR_1</t>
  </si>
  <si>
    <t>CDMA_CSR_1_Setting</t>
  </si>
  <si>
    <t>h8</t>
  </si>
  <si>
    <t>CDMA_CSR_2</t>
  </si>
  <si>
    <t>CDMA_CSR_2_Setting</t>
  </si>
  <si>
    <t>hc</t>
  </si>
  <si>
    <t>CDMA_CSR_3</t>
  </si>
  <si>
    <t>CDMA_CSR_3_Setting</t>
  </si>
  <si>
    <t>h10</t>
  </si>
  <si>
    <t>CDMA_CSR_4</t>
  </si>
  <si>
    <t>CDMA_CSR_4_Setting</t>
  </si>
  <si>
    <t>h40</t>
  </si>
  <si>
    <t>ro</t>
  </si>
  <si>
    <t>h34</t>
  </si>
  <si>
    <t>h38</t>
  </si>
  <si>
    <t>CDMA_CSR_14</t>
  </si>
  <si>
    <t>h3c</t>
  </si>
  <si>
    <t>CDMA_CSR_15</t>
  </si>
  <si>
    <t>h44</t>
  </si>
  <si>
    <t>h48</t>
  </si>
  <si>
    <t>Current SyncID output of this engine. This field will automatically update to be consistent with the SyncID output of this engine.</t>
  </si>
  <si>
    <t>h4c</t>
  </si>
  <si>
    <t>h50</t>
  </si>
  <si>
    <t>h54</t>
  </si>
  <si>
    <t>intr_des_mode_enable_collision_disable</t>
  </si>
  <si>
    <t>intr_invalid_cmd_disable</t>
  </si>
  <si>
    <t>intr_des_rd_err_disable</t>
  </si>
  <si>
    <t>intr_axi_data_rd_err_disable</t>
  </si>
  <si>
    <t>intr_axi_data_wr_err_disable</t>
  </si>
  <si>
    <t>intr_send_memory_err_disable</t>
  </si>
  <si>
    <t>intr_replay_disable</t>
  </si>
  <si>
    <t>intr_des_mode_end_disable</t>
  </si>
  <si>
    <t>intr_dstid_err_disable</t>
  </si>
  <si>
    <t>intr_srcid_err_disable</t>
  </si>
  <si>
    <t>intr_ack_crc_err_disable</t>
  </si>
  <si>
    <t>intr_ack_seqid_err_disable</t>
  </si>
  <si>
    <t>intr_nack_crc_err_disable</t>
  </si>
  <si>
    <t>intr_nack_seqid_err_disable</t>
  </si>
  <si>
    <t>intr_repeat_frame_disable</t>
  </si>
  <si>
    <t>intr_miss_frame_disable</t>
  </si>
  <si>
    <t>intr_frame_crc_disable</t>
  </si>
  <si>
    <t>intr_timeout_disable</t>
  </si>
  <si>
    <t>h58</t>
  </si>
  <si>
    <t>rwc</t>
  </si>
  <si>
    <t>h5c</t>
  </si>
  <si>
    <t>base addr regine0</t>
  </si>
  <si>
    <t>h60</t>
  </si>
  <si>
    <t>CDMA_CSR_24_Setting</t>
  </si>
  <si>
    <t>h64</t>
  </si>
  <si>
    <t>h68</t>
  </si>
  <si>
    <t>CDMA_CSR_26_Setting</t>
  </si>
  <si>
    <t>h6c</t>
  </si>
  <si>
    <t>h70</t>
  </si>
  <si>
    <t>CDMA_CSR_28_Setting</t>
  </si>
  <si>
    <t>h74</t>
  </si>
  <si>
    <t>h78</t>
  </si>
  <si>
    <t>CDMA_CSR_30_Setting</t>
  </si>
  <si>
    <t>h7c</t>
  </si>
  <si>
    <t>base addr regine8</t>
  </si>
  <si>
    <t>h80</t>
  </si>
  <si>
    <t>CDMA_CSR_32_Setting</t>
  </si>
  <si>
    <t>base addr regine9</t>
  </si>
  <si>
    <t>h84</t>
  </si>
  <si>
    <t>base addr regine10</t>
  </si>
  <si>
    <t>h88</t>
  </si>
  <si>
    <t>CDMA_CSR_34_Setting</t>
  </si>
  <si>
    <t>base addr regine11</t>
  </si>
  <si>
    <t>h8c</t>
  </si>
  <si>
    <t>base addr regine12</t>
  </si>
  <si>
    <t>h90</t>
  </si>
  <si>
    <t>CDMA_CSR_36_Setting</t>
  </si>
  <si>
    <t>h94</t>
  </si>
  <si>
    <t>h98</t>
  </si>
  <si>
    <t>CDMA_CSR_38_Setting</t>
  </si>
  <si>
    <t>h9c</t>
  </si>
  <si>
    <t>ha0</t>
  </si>
  <si>
    <t>CDMA_CSR_40_Setting</t>
  </si>
  <si>
    <t>ha4</t>
  </si>
  <si>
    <t>ha8</t>
  </si>
  <si>
    <t>CDMA_CSR_42_Setting</t>
  </si>
  <si>
    <t>hac</t>
  </si>
  <si>
    <t>hb0</t>
  </si>
  <si>
    <t>CDMA_CSR_44_Setting</t>
  </si>
  <si>
    <t>hb4</t>
  </si>
  <si>
    <t>hb8</t>
  </si>
  <si>
    <t>CDMA_CSR_46_Setting</t>
  </si>
  <si>
    <t>hbc</t>
  </si>
  <si>
    <t>hc0</t>
  </si>
  <si>
    <t>CDMA_CSR_48_Setting</t>
  </si>
  <si>
    <t>hc4</t>
  </si>
  <si>
    <t>hc8</t>
  </si>
  <si>
    <t>CDMA_CSR_50_Setting</t>
  </si>
  <si>
    <t>hcc</t>
  </si>
  <si>
    <t>hd0</t>
  </si>
  <si>
    <t>hd4</t>
  </si>
  <si>
    <t>hd8</t>
  </si>
  <si>
    <t>hdc</t>
  </si>
  <si>
    <t>interface des_awqos</t>
  </si>
  <si>
    <t>interface des_arqos</t>
  </si>
  <si>
    <t>he0</t>
  </si>
  <si>
    <t>arcache</t>
  </si>
  <si>
    <t>awcache</t>
  </si>
  <si>
    <t>interface axi archannel bw pwr test en</t>
  </si>
  <si>
    <t>interface axi awchannel bw pwr test en</t>
  </si>
  <si>
    <t>interface axi archannel bw en</t>
  </si>
  <si>
    <t>window cycle内可通过的handshake number</t>
  </si>
  <si>
    <t>window cycle数</t>
  </si>
  <si>
    <t>使能loading monitor功能</t>
  </si>
  <si>
    <t>对load_mon_cnt,instr_vld_cnt，instr_iss_cnt同步清0</t>
  </si>
  <si>
    <t>load mon计数器，当cfg_load_mon_en使能后，对时钟计数</t>
  </si>
  <si>
    <t>interface ddr0_arqos</t>
  </si>
  <si>
    <t>指令队列有待发射指令时进行计数</t>
  </si>
  <si>
    <t>指令队列有正在执行的指令时进行计数</t>
  </si>
  <si>
    <t>reg_des_mode_enable</t>
  </si>
  <si>
    <t>reg_mtl_rx_max_payload</t>
  </si>
  <si>
    <t>reg_low_power_enable</t>
  </si>
  <si>
    <t>reg_ins_buf_status</t>
  </si>
  <si>
    <t>reg_send_ins_buf_status</t>
  </si>
  <si>
    <t>reg_receive_ins_buf_status</t>
  </si>
  <si>
    <t>reg_cmd_eod_trigger</t>
  </si>
  <si>
    <t>reg_des_addr_h1</t>
  </si>
  <si>
    <t>reg_perf_monitor_res_start_addr_h1</t>
  </si>
  <si>
    <t>reg_perf_monitor_res_end_addr_l32</t>
  </si>
  <si>
    <t>reg_perf_monitor_res_end_addr_h1</t>
  </si>
  <si>
    <t>reg_current_send_sync_id</t>
  </si>
  <si>
    <t>reg_current_rcv_sync_id</t>
  </si>
  <si>
    <t>intr_cmd_done_status</t>
  </si>
  <si>
    <t>intr_des_mode_enable_collision_err</t>
  </si>
  <si>
    <t>intr_des_rd_err</t>
  </si>
  <si>
    <t>intr_axi_data_rd_err</t>
  </si>
  <si>
    <t>intr_axi_data_wr_err</t>
  </si>
  <si>
    <t>intr_send_memory_err</t>
  </si>
  <si>
    <t>intr_replay_happen</t>
  </si>
  <si>
    <t>intr_des_mode_end</t>
  </si>
  <si>
    <t>intr_frame_dstid_err</t>
  </si>
  <si>
    <t>intr_nack_crc_err</t>
  </si>
  <si>
    <t>intr_nack_seqid_err</t>
  </si>
  <si>
    <t>intr_repeat_frame_err</t>
  </si>
  <si>
    <t>intr_miss_frame_err</t>
  </si>
  <si>
    <t>intr_frame_crc_err</t>
  </si>
  <si>
    <t>intr_replay_timeout_err</t>
  </si>
  <si>
    <t>reg_base_addr_regine1</t>
  </si>
  <si>
    <t>reg_base_addr_regine2</t>
  </si>
  <si>
    <t>reg_base_addr_regine3</t>
  </si>
  <si>
    <t>reg_base_addr_regine4</t>
  </si>
  <si>
    <t>reg_base_addr_regine5</t>
  </si>
  <si>
    <t>reg_base_addr_regine6</t>
  </si>
  <si>
    <t>reg_base_addr_regine7</t>
  </si>
  <si>
    <t>reg_base_addr_regine8</t>
  </si>
  <si>
    <t>reg_base_addr_regine9</t>
  </si>
  <si>
    <t>reg_base_addr_regine10</t>
  </si>
  <si>
    <t>reg_base_addr_regine11</t>
  </si>
  <si>
    <t>reg_base_addr_regine12</t>
  </si>
  <si>
    <t>reg_base_addr_regine14</t>
  </si>
  <si>
    <t>reg_base_addr_regine15</t>
  </si>
  <si>
    <t>reg_base_addr_regine16</t>
  </si>
  <si>
    <t>reg_base_addr_regine17</t>
  </si>
  <si>
    <t>reg_base_addr_regine18</t>
  </si>
  <si>
    <t>reg_base_addr_regine19</t>
  </si>
  <si>
    <t>reg_base_addr_regine20</t>
  </si>
  <si>
    <t>reg_base_addr_regine21</t>
  </si>
  <si>
    <t>reg_base_addr_regine22</t>
  </si>
  <si>
    <t>reg_base_addr_regine23</t>
  </si>
  <si>
    <t>reg_base_addr_regine24</t>
  </si>
  <si>
    <t>reg_base_addr_regine26</t>
  </si>
  <si>
    <t>reg_base_addr_regine27</t>
  </si>
  <si>
    <t>reg_base_addr_regine28</t>
  </si>
  <si>
    <t>reg_base_addr_regine29</t>
  </si>
  <si>
    <t>reg_base_addr_regine30</t>
  </si>
  <si>
    <t>reg_base_addr_regine31</t>
  </si>
  <si>
    <t>reg_static_awqos</t>
  </si>
  <si>
    <t>reg_static_arqos</t>
  </si>
  <si>
    <t>reg_arcache</t>
  </si>
  <si>
    <t>reg_awcache</t>
  </si>
  <si>
    <t>reg_bw_ar_pwr_test_en</t>
  </si>
  <si>
    <t>reg_bw_aw_pwr_test_en</t>
  </si>
  <si>
    <t>reg_bw_ar_en</t>
  </si>
  <si>
    <t>reg_bw_aw_en</t>
  </si>
  <si>
    <t>reg_bw_lmt_vld_ar</t>
  </si>
  <si>
    <t>reg_bw_lmt_win_ar</t>
  </si>
  <si>
    <t>reg_bw_lmt_vld_aw</t>
  </si>
  <si>
    <t>reg_bw_lmt_win_aw</t>
  </si>
  <si>
    <t>reg_cfg_load_mon_en</t>
  </si>
  <si>
    <t>reg_cfg_load_mon_clr</t>
  </si>
  <si>
    <t>reg_cfg_load_mon_cnt_low</t>
  </si>
  <si>
    <t>reg_cfg_load_mon_cnt_high</t>
  </si>
  <si>
    <t>reg_cfg_instr_vld_cnt_low</t>
  </si>
  <si>
    <t>reg_cfg_instr_vld_cnt_high</t>
  </si>
  <si>
    <t>reg_cfg_instr_iss_cnt_low</t>
  </si>
  <si>
    <t>reg_cfg_instr_iss_cnt_high</t>
  </si>
  <si>
    <t>reg_cfg_stopper_enable</t>
  </si>
  <si>
    <t>reg_cfg_stopper_bypass</t>
  </si>
  <si>
    <t>reg_cfg_stopper_done</t>
  </si>
  <si>
    <t>reg_perf_monitor_wr_addr_l32</t>
  </si>
  <si>
    <t>reg_perf_monitor_wr_addr_h1</t>
  </si>
  <si>
    <t>sg2260</t>
  </si>
  <si>
    <t>cdma</t>
  </si>
  <si>
    <t>cdma_cfg_reg</t>
  </si>
  <si>
    <t>Address Width</t>
  </si>
  <si>
    <t>aclk</t>
  </si>
  <si>
    <t>17/8/2023</t>
  </si>
  <si>
    <t>Address byte alignment</t>
  </si>
  <si>
    <t>h0A061A000</t>
  </si>
  <si>
    <t>reg_replay_max_time</t>
  </si>
  <si>
    <t>reg_des_max_arlen</t>
  </si>
  <si>
    <t>h7</t>
  </si>
  <si>
    <t>des axi max arlen</t>
  </si>
  <si>
    <t>reg_replay_cnt</t>
  </si>
  <si>
    <t>same subinst replay counter</t>
  </si>
  <si>
    <t>reg_des_arcache</t>
  </si>
  <si>
    <t>des arcache</t>
  </si>
  <si>
    <t>reg_des_awcache</t>
  </si>
  <si>
    <t>des awcache</t>
  </si>
  <si>
    <t>reg_des_arqos</t>
  </si>
  <si>
    <t>des arqos</t>
  </si>
  <si>
    <t>reg_des_awqos</t>
  </si>
  <si>
    <t>des awqos</t>
  </si>
  <si>
    <t>CDMA_CSR_71</t>
  </si>
  <si>
    <t>reg_sec_cmd_cnt</t>
  </si>
  <si>
    <t>sec cmd counter</t>
  </si>
  <si>
    <t>//End</t>
  </si>
  <si>
    <t>h0</t>
    <phoneticPr fontId="24" type="noConversion"/>
  </si>
  <si>
    <t>reg_cdma_dbg_mode</t>
    <phoneticPr fontId="24" type="noConversion"/>
  </si>
  <si>
    <t>reg_cdma_fab_bypass</t>
    <phoneticPr fontId="24" type="noConversion"/>
  </si>
  <si>
    <t>bypass cdma fab</t>
    <phoneticPr fontId="24" type="noConversion"/>
  </si>
  <si>
    <t>0.8</t>
    <phoneticPr fontId="24" type="noConversion"/>
  </si>
  <si>
    <t>reg_hw_replay_en</t>
    <phoneticPr fontId="24" type="noConversion"/>
  </si>
  <si>
    <r>
      <rPr>
        <sz val="11"/>
        <color theme="1"/>
        <rFont val="SimSun"/>
        <family val="3"/>
        <charset val="134"/>
      </rPr>
      <t>新增cdma_fab_bypass寄存器</t>
    </r>
    <r>
      <rPr>
        <sz val="11"/>
        <color theme="1"/>
        <rFont val="Microsoft YaHei UI"/>
        <family val="2"/>
        <charset val="134"/>
      </rPr>
      <t xml:space="preserve">
</t>
    </r>
    <r>
      <rPr>
        <sz val="11"/>
        <color theme="1"/>
        <rFont val="Cambria"/>
        <family val="1"/>
      </rPr>
      <t>cdma_tx_ch_id</t>
    </r>
    <r>
      <rPr>
        <sz val="11"/>
        <color theme="1"/>
        <rFont val="SimSun"/>
        <family val="3"/>
        <charset val="134"/>
      </rPr>
      <t>和cdma_rx_ch_id修改初始值和位宽</t>
    </r>
    <r>
      <rPr>
        <sz val="11"/>
        <color theme="1"/>
        <rFont val="Microsoft YaHei UI"/>
        <family val="3"/>
        <charset val="134"/>
      </rPr>
      <t xml:space="preserve">
新增cdma_hw_replay_en寄存器</t>
    </r>
    <phoneticPr fontId="24" type="noConversion"/>
  </si>
  <si>
    <t>reg_connection_on</t>
    <phoneticPr fontId="24" type="noConversion"/>
  </si>
  <si>
    <t>rw</t>
    <phoneticPr fontId="24" type="noConversion"/>
  </si>
  <si>
    <t>h120</t>
    <phoneticPr fontId="24" type="noConversion"/>
  </si>
  <si>
    <t>reg_a4s_src_id</t>
    <phoneticPr fontId="24" type="noConversion"/>
  </si>
  <si>
    <t>message A4S srcid</t>
    <phoneticPr fontId="24" type="noConversion"/>
  </si>
  <si>
    <t>0.9</t>
    <phoneticPr fontId="24" type="noConversion"/>
  </si>
  <si>
    <t>新增A4S dst id和src id</t>
    <phoneticPr fontId="24" type="noConversion"/>
  </si>
  <si>
    <t>rcv_addr[31:16]</t>
    <phoneticPr fontId="24" type="noConversion"/>
  </si>
  <si>
    <t>reg_rcv_addr_m16</t>
    <phoneticPr fontId="24" type="noConversion"/>
  </si>
  <si>
    <t>1.0</t>
    <phoneticPr fontId="24" type="noConversion"/>
  </si>
  <si>
    <t>删除intra_die_addr_h16 csr
新增inter_die_addr_m16 csr
新增rcv_addr_m16 csr</t>
    <phoneticPr fontId="24" type="noConversion"/>
  </si>
  <si>
    <t>he4</t>
    <phoneticPr fontId="24" type="noConversion"/>
  </si>
  <si>
    <t>he8</t>
    <phoneticPr fontId="24" type="noConversion"/>
  </si>
  <si>
    <t>hec</t>
    <phoneticPr fontId="24" type="noConversion"/>
  </si>
  <si>
    <t>hf0</t>
    <phoneticPr fontId="24" type="noConversion"/>
  </si>
  <si>
    <t>hf4</t>
    <phoneticPr fontId="24" type="noConversion"/>
  </si>
  <si>
    <t>hf8</t>
    <phoneticPr fontId="24" type="noConversion"/>
  </si>
  <si>
    <t>hfc</t>
    <phoneticPr fontId="24" type="noConversion"/>
  </si>
  <si>
    <t>h100</t>
    <phoneticPr fontId="24" type="noConversion"/>
  </si>
  <si>
    <t>h104</t>
    <phoneticPr fontId="24" type="noConversion"/>
  </si>
  <si>
    <t>h108</t>
    <phoneticPr fontId="24" type="noConversion"/>
  </si>
  <si>
    <t>h10c</t>
    <phoneticPr fontId="24" type="noConversion"/>
  </si>
  <si>
    <t>h110</t>
    <phoneticPr fontId="24" type="noConversion"/>
  </si>
  <si>
    <t>h114</t>
    <phoneticPr fontId="24" type="noConversion"/>
  </si>
  <si>
    <t>h118</t>
    <phoneticPr fontId="24" type="noConversion"/>
  </si>
  <si>
    <t>h11c</t>
    <phoneticPr fontId="24" type="noConversion"/>
  </si>
  <si>
    <t>reg_rcv_awcache</t>
    <phoneticPr fontId="24" type="noConversion"/>
  </si>
  <si>
    <t>reg_rcv_awqos</t>
    <phoneticPr fontId="24" type="noConversion"/>
  </si>
  <si>
    <t>rcv awcache</t>
    <phoneticPr fontId="24" type="noConversion"/>
  </si>
  <si>
    <t>rcv awqos</t>
    <phoneticPr fontId="24" type="noConversion"/>
  </si>
  <si>
    <t>1.1</t>
    <phoneticPr fontId="24" type="noConversion"/>
  </si>
  <si>
    <r>
      <rPr>
        <sz val="11"/>
        <color theme="1"/>
        <rFont val="SimSun"/>
        <family val="3"/>
        <charset val="134"/>
      </rPr>
      <t>新增rcv_cache，rcv_qos寄存器</t>
    </r>
    <r>
      <rPr>
        <sz val="11"/>
        <color theme="1"/>
        <rFont val="Microsoft YaHei UI"/>
        <family val="2"/>
        <charset val="134"/>
      </rPr>
      <t xml:space="preserve">
新增arqos，awqos寄存器</t>
    </r>
    <phoneticPr fontId="24" type="noConversion"/>
  </si>
  <si>
    <t>1.2</t>
    <phoneticPr fontId="24" type="noConversion"/>
  </si>
  <si>
    <t>删除reg_awqos，arqos</t>
    <phoneticPr fontId="24" type="noConversion"/>
  </si>
  <si>
    <t>1.3</t>
    <phoneticPr fontId="24" type="noConversion"/>
  </si>
  <si>
    <t>sys_msg更改message id和cnt id宽度</t>
    <phoneticPr fontId="24" type="noConversion"/>
  </si>
  <si>
    <t>1.4</t>
    <phoneticPr fontId="24" type="noConversion"/>
  </si>
  <si>
    <t>message_base_id改成9bit</t>
    <phoneticPr fontId="24" type="noConversion"/>
  </si>
  <si>
    <t>rstn</t>
    <phoneticPr fontId="24" type="noConversion"/>
  </si>
  <si>
    <t>intr_tcp_error_summary</t>
    <phoneticPr fontId="24" type="noConversion"/>
  </si>
  <si>
    <t>rwc</t>
    <phoneticPr fontId="24" type="noConversion"/>
  </si>
  <si>
    <t>intr_tcp_error_summary_disable</t>
    <phoneticPr fontId="24" type="noConversion"/>
  </si>
  <si>
    <t>h124</t>
    <phoneticPr fontId="24" type="noConversion"/>
  </si>
  <si>
    <t>reg_tcp_error_summary</t>
    <phoneticPr fontId="24" type="noConversion"/>
  </si>
  <si>
    <t>ro</t>
    <phoneticPr fontId="24" type="noConversion"/>
  </si>
  <si>
    <t>reg tcp error summary</t>
    <phoneticPr fontId="24" type="noConversion"/>
  </si>
  <si>
    <t>h128</t>
    <phoneticPr fontId="24" type="noConversion"/>
  </si>
  <si>
    <t>reg_tcp_vtir</t>
    <phoneticPr fontId="24" type="noConversion"/>
  </si>
  <si>
    <t>reg_tcp_cpc</t>
    <phoneticPr fontId="24" type="noConversion"/>
  </si>
  <si>
    <t>reg_tcp_saic</t>
    <phoneticPr fontId="24" type="noConversion"/>
  </si>
  <si>
    <t>reg_tcp_cic</t>
    <phoneticPr fontId="24" type="noConversion"/>
  </si>
  <si>
    <t>Checksum Insertion Control or TCP Payload Length
00：Insertion Disable
01：Only IP header checksum calculation and insertion are enable
10：IP header checksum and payload checksum calculation and insertion are enable but pseudo-header checsum is not calculated in hardware
11：IP header checksum and payload checksum calculation and insertion are enable and pseudo-header checsum is calculated in hardware</t>
    <phoneticPr fontId="24" type="noConversion"/>
  </si>
  <si>
    <t>SA Insertion Control
00：do not include the source address
01:include or insert the source address
10:replace the source address
11:reserved</t>
    <phoneticPr fontId="24" type="noConversion"/>
  </si>
  <si>
    <t>CRC Pad Control
00:CRC and Pad insertion
01:CRC insertion
10:disable crc insertion
11:crc replacement</t>
    <phoneticPr fontId="24" type="noConversion"/>
  </si>
  <si>
    <t>VLAN Tag Insertion or Replacement
00:do not add vlan tag
01:remove the vlan tag from the packets before transmission
10:insert a vlan tag with the tag value programmed in the reg_tcp_vlan_tag register
11:replace the vlan tag in packets with the tag value programmed in the reg_tcp_vlan_tag register</t>
    <phoneticPr fontId="24" type="noConversion"/>
  </si>
  <si>
    <t>reg_tcp_ivtir</t>
    <phoneticPr fontId="24" type="noConversion"/>
  </si>
  <si>
    <t>IVLAN Tag Insertion or Replacement
00:do not add ivlan tag
01:remove the ivlan tag from the packets before transmission
10:insert a ivlan tag with the tag value programmed in the reg_tcp_ivlan_tag register
11:replace the ivlan tag in packets with the tag value programmed in the reg_tcp_ivlan_tag register</t>
    <phoneticPr fontId="24" type="noConversion"/>
  </si>
  <si>
    <t>h12c</t>
    <phoneticPr fontId="24" type="noConversion"/>
  </si>
  <si>
    <t>h130</t>
    <phoneticPr fontId="24" type="noConversion"/>
  </si>
  <si>
    <t>reg_tcp_vlan_tag</t>
    <phoneticPr fontId="24" type="noConversion"/>
  </si>
  <si>
    <t>reg_tcp_ivlan_tag</t>
    <phoneticPr fontId="24" type="noConversion"/>
  </si>
  <si>
    <t>reg vlan tag</t>
    <phoneticPr fontId="24" type="noConversion"/>
  </si>
  <si>
    <t>reg inner vlan tag</t>
    <phoneticPr fontId="24" type="noConversion"/>
  </si>
  <si>
    <t>reg_tcp_send_des_mode_enable</t>
    <phoneticPr fontId="24" type="noConversion"/>
  </si>
  <si>
    <t>reg_tcp_receive_des_mode_enable</t>
    <phoneticPr fontId="24" type="noConversion"/>
  </si>
  <si>
    <t>rws</t>
    <phoneticPr fontId="24" type="noConversion"/>
  </si>
  <si>
    <t>enable tcp send descriptor fetch</t>
    <phoneticPr fontId="24" type="noConversion"/>
  </si>
  <si>
    <t>enable tcp receive descriptor fetch</t>
    <phoneticPr fontId="24" type="noConversion"/>
  </si>
  <si>
    <t>Descriptor Address Pointer [38:7] is updated by this register’s bit.
Descriptor address’s bit [6:0] are always 0.
when tcp mode,this means send descriptor address[38:7]</t>
    <phoneticPr fontId="24" type="noConversion"/>
  </si>
  <si>
    <t>Descriptor Address Pointer [39] is updated by this register’s bit.
Descriptor address’s bit [6:0] are always 0.
when tcp mode,this means send descriptor address[39]</t>
    <phoneticPr fontId="24" type="noConversion"/>
  </si>
  <si>
    <t>h134</t>
    <phoneticPr fontId="24" type="noConversion"/>
  </si>
  <si>
    <t>h138</t>
    <phoneticPr fontId="24" type="noConversion"/>
  </si>
  <si>
    <t>h13c</t>
    <phoneticPr fontId="24" type="noConversion"/>
  </si>
  <si>
    <t>h140</t>
    <phoneticPr fontId="24" type="noConversion"/>
  </si>
  <si>
    <t>h144</t>
    <phoneticPr fontId="24" type="noConversion"/>
  </si>
  <si>
    <t>h148</t>
    <phoneticPr fontId="24" type="noConversion"/>
  </si>
  <si>
    <t>reg_tcp_send_des_last_addr_l32</t>
    <phoneticPr fontId="24" type="noConversion"/>
  </si>
  <si>
    <t>reg_tcp_rcv_des_addr_l32</t>
    <phoneticPr fontId="24" type="noConversion"/>
  </si>
  <si>
    <t>reg_tcp_rcv_des_last_addr_l32</t>
    <phoneticPr fontId="24" type="noConversion"/>
  </si>
  <si>
    <t>1.5</t>
    <phoneticPr fontId="24" type="noConversion"/>
  </si>
  <si>
    <t>intr_mpu_exception</t>
    <phoneticPr fontId="24" type="noConversion"/>
  </si>
  <si>
    <t>intr_mpu_exception_disable</t>
    <phoneticPr fontId="24" type="noConversion"/>
  </si>
  <si>
    <t>0: interrupt generation is enabled
1: interrupt is masked.
Disable intr_mpu_exception interrupt generation</t>
    <phoneticPr fontId="24" type="noConversion"/>
  </si>
  <si>
    <t>0: interrupt generation is enabled
1: interrupt is masked.
Disable intr_tcp_error_summary interrupt generation</t>
    <phoneticPr fontId="24" type="noConversion"/>
  </si>
  <si>
    <t>breakpoint</t>
    <phoneticPr fontId="24" type="noConversion"/>
  </si>
  <si>
    <t>breakpoint enable</t>
    <phoneticPr fontId="24" type="noConversion"/>
  </si>
  <si>
    <t>h200</t>
    <phoneticPr fontId="24" type="noConversion"/>
  </si>
  <si>
    <t>h204</t>
    <phoneticPr fontId="24" type="noConversion"/>
  </si>
  <si>
    <t>h208</t>
    <phoneticPr fontId="24" type="noConversion"/>
  </si>
  <si>
    <t>h20c</t>
    <phoneticPr fontId="24" type="noConversion"/>
  </si>
  <si>
    <t>h210</t>
    <phoneticPr fontId="24" type="noConversion"/>
  </si>
  <si>
    <t>h214</t>
    <phoneticPr fontId="24" type="noConversion"/>
  </si>
  <si>
    <t>h218</t>
    <phoneticPr fontId="24" type="noConversion"/>
  </si>
  <si>
    <t>h21c</t>
    <phoneticPr fontId="24" type="noConversion"/>
  </si>
  <si>
    <t>h220</t>
    <phoneticPr fontId="24" type="noConversion"/>
  </si>
  <si>
    <t>h224</t>
    <phoneticPr fontId="24" type="noConversion"/>
  </si>
  <si>
    <t>reg_mpu_start_addr_l32_regine0</t>
    <phoneticPr fontId="24" type="noConversion"/>
  </si>
  <si>
    <t>reg_mpu_start_addr_l32_regine1</t>
  </si>
  <si>
    <t>reg_mpu_start_addr_l32_regine2</t>
  </si>
  <si>
    <t>reg_mpu_start_addr_l32_regine3</t>
  </si>
  <si>
    <t>reg_mpu_start_addr_l32_regine4</t>
  </si>
  <si>
    <t>reg_mpu_start_addr_l32_regine5</t>
  </si>
  <si>
    <t>reg_mpu_start_addr_l32_regine6</t>
  </si>
  <si>
    <t>reg_mpu_start_addr_l32_regine7</t>
  </si>
  <si>
    <t>reg_mpu_start_addr_l32_regine8</t>
  </si>
  <si>
    <t>reg_mpu_start_addr_l32_regine9</t>
  </si>
  <si>
    <t>reg_mpu_start_addr_l32_regine10</t>
  </si>
  <si>
    <t>reg_mpu_start_addr_l32_regine11</t>
  </si>
  <si>
    <t>reg_mpu_start_addr_l32_regine12</t>
  </si>
  <si>
    <t>reg_mpu_start_addr_l32_regine13</t>
  </si>
  <si>
    <t>reg_mpu_start_addr_l32_regine14</t>
  </si>
  <si>
    <t>reg_mpu_start_addr_l32_regine15</t>
  </si>
  <si>
    <t>h14c</t>
    <phoneticPr fontId="24" type="noConversion"/>
  </si>
  <si>
    <t>h150</t>
    <phoneticPr fontId="24" type="noConversion"/>
  </si>
  <si>
    <t>h154</t>
    <phoneticPr fontId="24" type="noConversion"/>
  </si>
  <si>
    <t>h158</t>
    <phoneticPr fontId="24" type="noConversion"/>
  </si>
  <si>
    <t>h15c</t>
    <phoneticPr fontId="24" type="noConversion"/>
  </si>
  <si>
    <t>h160</t>
    <phoneticPr fontId="24" type="noConversion"/>
  </si>
  <si>
    <t>h164</t>
    <phoneticPr fontId="24" type="noConversion"/>
  </si>
  <si>
    <t>h168</t>
    <phoneticPr fontId="24" type="noConversion"/>
  </si>
  <si>
    <t>h16c</t>
    <phoneticPr fontId="24" type="noConversion"/>
  </si>
  <si>
    <t>h170</t>
    <phoneticPr fontId="24" type="noConversion"/>
  </si>
  <si>
    <t>h174</t>
    <phoneticPr fontId="24" type="noConversion"/>
  </si>
  <si>
    <t>h178</t>
    <phoneticPr fontId="24" type="noConversion"/>
  </si>
  <si>
    <t>h17c</t>
    <phoneticPr fontId="24" type="noConversion"/>
  </si>
  <si>
    <t>h180</t>
    <phoneticPr fontId="24" type="noConversion"/>
  </si>
  <si>
    <t>h184</t>
    <phoneticPr fontId="24" type="noConversion"/>
  </si>
  <si>
    <t>h188</t>
    <phoneticPr fontId="24" type="noConversion"/>
  </si>
  <si>
    <t>h18c</t>
    <phoneticPr fontId="24" type="noConversion"/>
  </si>
  <si>
    <t>h190</t>
    <phoneticPr fontId="24" type="noConversion"/>
  </si>
  <si>
    <t>h194</t>
    <phoneticPr fontId="24" type="noConversion"/>
  </si>
  <si>
    <t>h198</t>
    <phoneticPr fontId="24" type="noConversion"/>
  </si>
  <si>
    <t>h19c</t>
    <phoneticPr fontId="24" type="noConversion"/>
  </si>
  <si>
    <t>h1a0</t>
    <phoneticPr fontId="24" type="noConversion"/>
  </si>
  <si>
    <t>reg_mpu_start_addr_h8_regine0</t>
    <phoneticPr fontId="24" type="noConversion"/>
  </si>
  <si>
    <t>h1a4</t>
    <phoneticPr fontId="24" type="noConversion"/>
  </si>
  <si>
    <t>h1a8</t>
    <phoneticPr fontId="24" type="noConversion"/>
  </si>
  <si>
    <t>h1ac</t>
    <phoneticPr fontId="24" type="noConversion"/>
  </si>
  <si>
    <t>h1b0</t>
    <phoneticPr fontId="24" type="noConversion"/>
  </si>
  <si>
    <t>h1b4</t>
    <phoneticPr fontId="24" type="noConversion"/>
  </si>
  <si>
    <t>h1b8</t>
    <phoneticPr fontId="24" type="noConversion"/>
  </si>
  <si>
    <t>h1bc</t>
    <phoneticPr fontId="24" type="noConversion"/>
  </si>
  <si>
    <t>h1c0</t>
    <phoneticPr fontId="24" type="noConversion"/>
  </si>
  <si>
    <t>h1c4</t>
    <phoneticPr fontId="24" type="noConversion"/>
  </si>
  <si>
    <t>h1c8</t>
    <phoneticPr fontId="24" type="noConversion"/>
  </si>
  <si>
    <t>h1cc</t>
    <phoneticPr fontId="24" type="noConversion"/>
  </si>
  <si>
    <t>h1d0</t>
    <phoneticPr fontId="24" type="noConversion"/>
  </si>
  <si>
    <t>h1d4</t>
    <phoneticPr fontId="24" type="noConversion"/>
  </si>
  <si>
    <t>h1d8</t>
    <phoneticPr fontId="24" type="noConversion"/>
  </si>
  <si>
    <t>h1dc</t>
    <phoneticPr fontId="24" type="noConversion"/>
  </si>
  <si>
    <t>h1e0</t>
    <phoneticPr fontId="24" type="noConversion"/>
  </si>
  <si>
    <t>h1e4</t>
    <phoneticPr fontId="24" type="noConversion"/>
  </si>
  <si>
    <t>h1e8</t>
    <phoneticPr fontId="24" type="noConversion"/>
  </si>
  <si>
    <t>h1ec</t>
    <phoneticPr fontId="24" type="noConversion"/>
  </si>
  <si>
    <t>h1f0</t>
    <phoneticPr fontId="24" type="noConversion"/>
  </si>
  <si>
    <t>h1f4</t>
    <phoneticPr fontId="24" type="noConversion"/>
  </si>
  <si>
    <t>h1f8</t>
    <phoneticPr fontId="24" type="noConversion"/>
  </si>
  <si>
    <t>h1fc</t>
    <phoneticPr fontId="24" type="noConversion"/>
  </si>
  <si>
    <t>CDMA_CSR_74</t>
  </si>
  <si>
    <t>CDMA_CSR_75</t>
  </si>
  <si>
    <t>CDMA_CSR_76</t>
  </si>
  <si>
    <t>CDMA_CSR_77</t>
  </si>
  <si>
    <t>CDMA_CSR_78</t>
  </si>
  <si>
    <t>CDMA_CSR_79</t>
  </si>
  <si>
    <t>CDMA_CSR_80</t>
  </si>
  <si>
    <t>CDMA_CSR_81</t>
  </si>
  <si>
    <t>CDMA_CSR_82</t>
  </si>
  <si>
    <t>CDMA_CSR_83</t>
  </si>
  <si>
    <t>CDMA_CSR_84</t>
  </si>
  <si>
    <t>CDMA_CSR_85</t>
  </si>
  <si>
    <t>CDMA_CSR_86</t>
  </si>
  <si>
    <t>h300</t>
    <phoneticPr fontId="24" type="noConversion"/>
  </si>
  <si>
    <t>h304</t>
    <phoneticPr fontId="24" type="noConversion"/>
  </si>
  <si>
    <t>h308</t>
    <phoneticPr fontId="24" type="noConversion"/>
  </si>
  <si>
    <t>h30c</t>
    <phoneticPr fontId="24" type="noConversion"/>
  </si>
  <si>
    <t>h310</t>
    <phoneticPr fontId="24" type="noConversion"/>
  </si>
  <si>
    <t>h314</t>
    <phoneticPr fontId="24" type="noConversion"/>
  </si>
  <si>
    <t>h318</t>
    <phoneticPr fontId="24" type="noConversion"/>
  </si>
  <si>
    <t>h31c</t>
    <phoneticPr fontId="24" type="noConversion"/>
  </si>
  <si>
    <t>h320</t>
    <phoneticPr fontId="24" type="noConversion"/>
  </si>
  <si>
    <t>h324</t>
    <phoneticPr fontId="24" type="noConversion"/>
  </si>
  <si>
    <t>reg_mpu_start_addr_h8_regine1</t>
  </si>
  <si>
    <t>reg_mpu_start_addr_h8_regine2</t>
  </si>
  <si>
    <t>reg_mpu_start_addr_h8_regine3</t>
  </si>
  <si>
    <t>reg_mpu_start_addr_h8_regine4</t>
  </si>
  <si>
    <t>reg_mpu_start_addr_h8_regine5</t>
  </si>
  <si>
    <t>reg_mpu_start_addr_h8_regine6</t>
  </si>
  <si>
    <t>reg_mpu_start_addr_h8_regine7</t>
  </si>
  <si>
    <t>reg_mpu_start_addr_h8_regine8</t>
  </si>
  <si>
    <t>reg_mpu_start_addr_h8_regine9</t>
  </si>
  <si>
    <t>reg_mpu_start_addr_h8_regine10</t>
  </si>
  <si>
    <t>reg_mpu_start_addr_h8_regine11</t>
  </si>
  <si>
    <t>reg_mpu_start_addr_h8_regine12</t>
  </si>
  <si>
    <t>reg_mpu_start_addr_h8_regine13</t>
  </si>
  <si>
    <t>reg_mpu_start_addr_h8_regine14</t>
  </si>
  <si>
    <t>reg_mpu_start_addr_h8_regine15</t>
  </si>
  <si>
    <t>reg_mpu_entry_enable</t>
    <phoneticPr fontId="24" type="noConversion"/>
  </si>
  <si>
    <t>reg_axi_max_payload</t>
    <phoneticPr fontId="24" type="noConversion"/>
  </si>
  <si>
    <t>reg_cdma_vlan_id</t>
    <phoneticPr fontId="24" type="noConversion"/>
  </si>
  <si>
    <t>VLAN_ID enable</t>
    <phoneticPr fontId="24" type="noConversion"/>
  </si>
  <si>
    <t xml:space="preserve">VLAN_ID </t>
    <phoneticPr fontId="24" type="noConversion"/>
  </si>
  <si>
    <t>h3c0</t>
    <phoneticPr fontId="24" type="noConversion"/>
  </si>
  <si>
    <t>reg_cdma_tx_ch_id</t>
    <phoneticPr fontId="24" type="noConversion"/>
  </si>
  <si>
    <t>CDMA own rx channel id for mtl fab</t>
    <phoneticPr fontId="24" type="noConversion"/>
  </si>
  <si>
    <t>CDMA own tx channel id for mtl fab</t>
    <phoneticPr fontId="24" type="noConversion"/>
  </si>
  <si>
    <t>TCP_CSR_00_Setting</t>
    <phoneticPr fontId="24" type="noConversion"/>
  </si>
  <si>
    <t>TCP_CSR_01_Setting</t>
    <phoneticPr fontId="24" type="noConversion"/>
  </si>
  <si>
    <t>TCP_CSR_02_Setting</t>
    <phoneticPr fontId="24" type="noConversion"/>
  </si>
  <si>
    <t>TCP_CSR_03_Setting</t>
    <phoneticPr fontId="24" type="noConversion"/>
  </si>
  <si>
    <t>TCP_CSR_04_Setting</t>
    <phoneticPr fontId="24" type="noConversion"/>
  </si>
  <si>
    <t>TCP_CSR_05_Setting</t>
  </si>
  <si>
    <t>TCP_CSR_06_Setting</t>
  </si>
  <si>
    <t>TCP_CSR_07_Setting</t>
  </si>
  <si>
    <t>TCP_CSR_08_Setting</t>
  </si>
  <si>
    <t>TCP_CSR_09_Setting</t>
  </si>
  <si>
    <t>MTL_FAB_CSR_00_Setting</t>
    <phoneticPr fontId="24" type="noConversion"/>
  </si>
  <si>
    <t>TCP_CSR_00</t>
    <phoneticPr fontId="24" type="noConversion"/>
  </si>
  <si>
    <t>TCP_CSR_01</t>
    <phoneticPr fontId="24" type="noConversion"/>
  </si>
  <si>
    <t>TCP_CSR_02</t>
    <phoneticPr fontId="24" type="noConversion"/>
  </si>
  <si>
    <t>TCP_CSR_03</t>
    <phoneticPr fontId="24" type="noConversion"/>
  </si>
  <si>
    <t>TCP_CSR_04</t>
  </si>
  <si>
    <t>TCP_CSR_05</t>
  </si>
  <si>
    <t>TCP_CSR_06</t>
  </si>
  <si>
    <t>TCP_CSR_07</t>
  </si>
  <si>
    <t>TCP_CSR_08</t>
  </si>
  <si>
    <t>TCP_CSR_09</t>
  </si>
  <si>
    <t>新增tcp error summary interupt and 32bit summary information reg
新增tcp mode寄存器，包括两个des mode使能，以及对应start和last des addr
新增tcp mode send/receive指令和write back format
新增dbg相关中断和地址寄存器，修改desciptor新增breakpoint位用于dbg
新增cdma_vlan_id_cpc，vtir等寄存器用于ati control word</t>
    <phoneticPr fontId="24" type="noConversion"/>
  </si>
  <si>
    <t>Interrupt Disable,highest priority in interrupt generation
0: Enable all interrupt
1: Disable all interrupt
When this bit is cleared, the interrupt generation is decided by each individual interrupt enable bits.</t>
    <phoneticPr fontId="24" type="noConversion"/>
  </si>
  <si>
    <t>1.6</t>
    <phoneticPr fontId="24" type="noConversion"/>
  </si>
  <si>
    <t>CDMA_CSR_87</t>
  </si>
  <si>
    <t>CDMA_CSR_88</t>
  </si>
  <si>
    <t>CDMA_CSR_89</t>
  </si>
  <si>
    <t>CDMA_CSR_90</t>
  </si>
  <si>
    <t>CDMA_CSR_91</t>
  </si>
  <si>
    <t>CDMA_CSR_92</t>
  </si>
  <si>
    <t>CDMA_CSR_93</t>
  </si>
  <si>
    <t>CDMA_CSR_94</t>
  </si>
  <si>
    <t>CDMA_CSR_95</t>
  </si>
  <si>
    <t>CDMA_CSR_96</t>
  </si>
  <si>
    <t>CDMA_CSR_97</t>
  </si>
  <si>
    <t>CDMA_CSR_98</t>
  </si>
  <si>
    <t>CDMA_CSR_99</t>
  </si>
  <si>
    <t>CDMA_CSR_100</t>
  </si>
  <si>
    <t>CDMA_CSR_101</t>
  </si>
  <si>
    <t>CDMA_CSR_102</t>
  </si>
  <si>
    <t>CDMA_CSR_103</t>
  </si>
  <si>
    <t>CDMA_CSR_104</t>
  </si>
  <si>
    <t>CDMA_CSR_105</t>
  </si>
  <si>
    <t>CDMA_CSR_106</t>
  </si>
  <si>
    <t>CDMA_CSR_107</t>
  </si>
  <si>
    <t>CDMA_CSR_108</t>
  </si>
  <si>
    <t>CDMA_CSR_109</t>
  </si>
  <si>
    <t>CDMA_CSR_110</t>
  </si>
  <si>
    <t>CDMA_CSR_111</t>
  </si>
  <si>
    <t>CDMA_CSR_112</t>
  </si>
  <si>
    <t>CDMA_CSR_113</t>
  </si>
  <si>
    <t>CDMA_CSR_114</t>
  </si>
  <si>
    <t>CDMA_CSR_115</t>
  </si>
  <si>
    <t>CDMA_CSR_116</t>
  </si>
  <si>
    <t>CDMA_CSR_117</t>
  </si>
  <si>
    <t>CDMA_CSR_118</t>
  </si>
  <si>
    <t>CDMA_CSR_119</t>
  </si>
  <si>
    <t>CDMA_CSR_120</t>
  </si>
  <si>
    <t>CDMA_CSR_121</t>
  </si>
  <si>
    <t>CDMA_CSR_122</t>
  </si>
  <si>
    <t>CDMA_CSR_123</t>
  </si>
  <si>
    <t>CDMA_CSR_124</t>
  </si>
  <si>
    <t>CDMA_CSR_125</t>
  </si>
  <si>
    <t>CDMA_CSR_126</t>
  </si>
  <si>
    <t>CDMA_CSR_127</t>
  </si>
  <si>
    <t>CDMA_CSR_128</t>
  </si>
  <si>
    <t>CDMA_CSR_129</t>
  </si>
  <si>
    <t>CDMA_CSR_130</t>
  </si>
  <si>
    <t>CDMA_CSR_131</t>
  </si>
  <si>
    <t>CDMA_CSR_132</t>
  </si>
  <si>
    <t>CDMA_CSR_133</t>
  </si>
  <si>
    <r>
      <t>CDMA_CSR_</t>
    </r>
    <r>
      <rPr>
        <sz val="11"/>
        <color theme="1"/>
        <rFont val="宋体"/>
        <family val="3"/>
        <charset val="134"/>
        <scheme val="minor"/>
      </rPr>
      <t>5</t>
    </r>
    <phoneticPr fontId="24" type="noConversion"/>
  </si>
  <si>
    <r>
      <t>CDMA_CSR_</t>
    </r>
    <r>
      <rPr>
        <sz val="11"/>
        <color theme="1"/>
        <rFont val="宋体"/>
        <family val="3"/>
        <charset val="134"/>
        <scheme val="minor"/>
      </rPr>
      <t>5</t>
    </r>
    <r>
      <rPr>
        <sz val="11"/>
        <color theme="1"/>
        <rFont val="宋体"/>
        <family val="3"/>
        <charset val="134"/>
        <scheme val="minor"/>
      </rPr>
      <t>_Setting</t>
    </r>
    <phoneticPr fontId="24" type="noConversion"/>
  </si>
  <si>
    <t>CDMA_CSR_10</t>
    <phoneticPr fontId="24" type="noConversion"/>
  </si>
  <si>
    <t>CDMA_CSR_20_Setting</t>
    <phoneticPr fontId="24" type="noConversion"/>
  </si>
  <si>
    <t>CDMA_CSR_66</t>
    <phoneticPr fontId="24" type="noConversion"/>
  </si>
  <si>
    <r>
      <t>CDMA_CSR_</t>
    </r>
    <r>
      <rPr>
        <sz val="11"/>
        <color theme="1"/>
        <rFont val="宋体"/>
        <family val="3"/>
        <charset val="134"/>
        <scheme val="minor"/>
      </rPr>
      <t>67</t>
    </r>
    <phoneticPr fontId="24" type="noConversion"/>
  </si>
  <si>
    <t>CDMA_CSR_68</t>
    <phoneticPr fontId="24" type="noConversion"/>
  </si>
  <si>
    <t>CDMA_CSR_68_Setting</t>
    <phoneticPr fontId="24" type="noConversion"/>
  </si>
  <si>
    <r>
      <t>CDMA_CSR_</t>
    </r>
    <r>
      <rPr>
        <sz val="11"/>
        <color theme="1"/>
        <rFont val="宋体"/>
        <family val="3"/>
        <charset val="134"/>
        <scheme val="minor"/>
      </rPr>
      <t>69</t>
    </r>
    <r>
      <rPr>
        <sz val="11"/>
        <color theme="1"/>
        <rFont val="宋体"/>
        <family val="3"/>
        <charset val="134"/>
        <scheme val="minor"/>
      </rPr>
      <t>_Setting</t>
    </r>
    <phoneticPr fontId="24" type="noConversion"/>
  </si>
  <si>
    <r>
      <t>CDMA_CSR_</t>
    </r>
    <r>
      <rPr>
        <sz val="11"/>
        <color theme="1"/>
        <rFont val="宋体"/>
        <family val="3"/>
        <charset val="134"/>
        <scheme val="minor"/>
      </rPr>
      <t>70</t>
    </r>
    <r>
      <rPr>
        <sz val="11"/>
        <color theme="1"/>
        <rFont val="宋体"/>
        <family val="3"/>
        <charset val="134"/>
        <scheme val="minor"/>
      </rPr>
      <t>_Setting</t>
    </r>
    <phoneticPr fontId="24" type="noConversion"/>
  </si>
  <si>
    <t>CDMA_CSR_69</t>
    <phoneticPr fontId="24" type="noConversion"/>
  </si>
  <si>
    <t>CDMA_CSR_70</t>
    <phoneticPr fontId="24" type="noConversion"/>
  </si>
  <si>
    <t>CDMA_CSR_72</t>
  </si>
  <si>
    <t>CDMA_CSR_73</t>
  </si>
  <si>
    <r>
      <t>CDMA_CSR_</t>
    </r>
    <r>
      <rPr>
        <sz val="11"/>
        <color theme="1"/>
        <rFont val="宋体"/>
        <family val="3"/>
        <charset val="134"/>
        <scheme val="minor"/>
      </rPr>
      <t>71_Setting</t>
    </r>
    <r>
      <rPr>
        <sz val="11"/>
        <color theme="1"/>
        <rFont val="宋体"/>
        <family val="3"/>
        <charset val="134"/>
        <scheme val="minor"/>
      </rPr>
      <t/>
    </r>
  </si>
  <si>
    <r>
      <t>CDMA_CSR_</t>
    </r>
    <r>
      <rPr>
        <sz val="11"/>
        <color theme="1"/>
        <rFont val="宋体"/>
        <family val="3"/>
        <charset val="134"/>
        <scheme val="minor"/>
      </rPr>
      <t>72_Setting</t>
    </r>
    <r>
      <rPr>
        <sz val="11"/>
        <color theme="1"/>
        <rFont val="宋体"/>
        <family val="3"/>
        <charset val="134"/>
        <scheme val="minor"/>
      </rPr>
      <t/>
    </r>
  </si>
  <si>
    <r>
      <rPr>
        <sz val="11"/>
        <color theme="1"/>
        <rFont val="SimSun"/>
        <family val="3"/>
        <charset val="134"/>
      </rPr>
      <t>修改csr lsb与csr_num id</t>
    </r>
    <r>
      <rPr>
        <sz val="11"/>
        <color theme="1"/>
        <rFont val="Microsoft YaHei UI"/>
        <family val="3"/>
        <charset val="134"/>
      </rPr>
      <t xml:space="preserve">
删除csr mac id</t>
    </r>
    <phoneticPr fontId="24" type="noConversion"/>
  </si>
  <si>
    <t>reg_mpu_end_addr_l32_regine0</t>
    <phoneticPr fontId="24" type="noConversion"/>
  </si>
  <si>
    <t>reg_mpu_end_addr_l32_regine1</t>
  </si>
  <si>
    <t>reg_mpu_end_addr_l32_regine2</t>
  </si>
  <si>
    <t>reg_mpu_end_addr_l32_regine3</t>
  </si>
  <si>
    <t>reg_mpu_end_addr_l32_regine4</t>
  </si>
  <si>
    <t>reg_mpu_end_addr_l32_regine5</t>
  </si>
  <si>
    <t>reg_mpu_end_addr_l32_regine6</t>
  </si>
  <si>
    <t>reg_mpu_end_addr_l32_regine7</t>
  </si>
  <si>
    <t>reg_mpu_end_addr_l32_regine8</t>
  </si>
  <si>
    <t>reg_mpu_end_addr_l32_regine9</t>
  </si>
  <si>
    <t>reg_mpu_end_addr_l32_regine10</t>
  </si>
  <si>
    <t>reg_mpu_end_addr_l32_regine11</t>
  </si>
  <si>
    <t>reg_mpu_end_addr_l32_regine12</t>
  </si>
  <si>
    <t>reg_mpu_end_addr_l32_regine13</t>
  </si>
  <si>
    <t>reg_mpu_end_addr_l32_regine14</t>
  </si>
  <si>
    <t>reg_mpu_end_addr_l32_regine15</t>
  </si>
  <si>
    <t>reg_mpu_end_addr_h8_regine0</t>
    <phoneticPr fontId="24" type="noConversion"/>
  </si>
  <si>
    <t>reg_mpu_end_addr_h8_regine1</t>
  </si>
  <si>
    <t>reg_mpu_end_addr_h8_regine2</t>
  </si>
  <si>
    <t>reg_mpu_end_addr_h8_regine3</t>
  </si>
  <si>
    <t>reg_mpu_end_addr_h8_regine4</t>
  </si>
  <si>
    <t>reg_mpu_end_addr_h8_regine5</t>
  </si>
  <si>
    <t>reg_mpu_end_addr_h8_regine6</t>
  </si>
  <si>
    <t>reg_mpu_end_addr_h8_regine7</t>
  </si>
  <si>
    <t>reg_mpu_end_addr_h8_regine9</t>
  </si>
  <si>
    <t>reg_mpu_end_addr_h8_regine10</t>
  </si>
  <si>
    <t>reg_mpu_end_addr_h8_regine11</t>
  </si>
  <si>
    <t>reg_mpu_end_addr_h8_regine12</t>
  </si>
  <si>
    <t>reg_mpu_end_addr_h8_regine13</t>
  </si>
  <si>
    <t>reg_mpu_end_addr_h8_regine14</t>
  </si>
  <si>
    <t>reg_mpu_end_addr_h8_regine15</t>
  </si>
  <si>
    <t>1.7</t>
    <phoneticPr fontId="24" type="noConversion"/>
  </si>
  <si>
    <t>reg_mpu_end_addr_h8_regine8</t>
    <phoneticPr fontId="24" type="noConversion"/>
  </si>
  <si>
    <r>
      <rPr>
        <sz val="11"/>
        <color theme="1"/>
        <rFont val="SimSun"/>
        <family val="3"/>
        <charset val="134"/>
      </rPr>
      <t>修改</t>
    </r>
    <r>
      <rPr>
        <sz val="11"/>
        <color theme="1"/>
        <rFont val="Cambria"/>
        <family val="1"/>
      </rPr>
      <t>csr 高16组mpu_start_addr为mpu_end_addr</t>
    </r>
    <phoneticPr fontId="24" type="noConversion"/>
  </si>
  <si>
    <t>1.8</t>
    <phoneticPr fontId="24" type="noConversion"/>
  </si>
  <si>
    <t>h328</t>
    <phoneticPr fontId="24" type="noConversion"/>
  </si>
  <si>
    <t>h32c</t>
    <phoneticPr fontId="24" type="noConversion"/>
  </si>
  <si>
    <t>TCP_CSR_10</t>
  </si>
  <si>
    <t>TCP_CSR_11</t>
  </si>
  <si>
    <t>TCP_CSR_10_Setting</t>
  </si>
  <si>
    <t>TCP_CSR_11_Setting</t>
  </si>
  <si>
    <t>reg_tcp_send_des_addr_l32</t>
    <phoneticPr fontId="24" type="noConversion"/>
  </si>
  <si>
    <t>csr新增TCP模式下send descriptor start address</t>
    <phoneticPr fontId="24" type="noConversion"/>
  </si>
  <si>
    <t>MTL_FAB_CSR_00</t>
    <phoneticPr fontId="24" type="noConversion"/>
  </si>
  <si>
    <t>hf</t>
    <phoneticPr fontId="24" type="noConversion"/>
  </si>
  <si>
    <t>intr_frame_srcid_err</t>
    <phoneticPr fontId="24" type="noConversion"/>
  </si>
  <si>
    <t>1.9</t>
    <phoneticPr fontId="24" type="noConversion"/>
  </si>
  <si>
    <t>修改tcp相关CSR高位地址错误，修改reg_cdma_tx_ch_id，reg_cdma_rx_ch_id 初始值格式错误.</t>
    <phoneticPr fontId="24" type="noConversion"/>
  </si>
  <si>
    <t>2.0</t>
    <phoneticPr fontId="24" type="noConversion"/>
  </si>
  <si>
    <t>reg_tcp_vtag_val</t>
    <phoneticPr fontId="24" type="noConversion"/>
  </si>
  <si>
    <t>修改reg_tcp_saic位宽
新增reg_tcp_vtag_val寄存器
tcp send descriptor新增frame length field</t>
    <phoneticPr fontId="24" type="noConversion"/>
  </si>
  <si>
    <t>2.1</t>
    <phoneticPr fontId="24" type="noConversion"/>
  </si>
  <si>
    <t>reg_axi_write_os，reg_axi_read_os增加1bit</t>
    <phoneticPr fontId="24" type="noConversion"/>
  </si>
  <si>
    <t>2.2</t>
    <phoneticPr fontId="24" type="noConversion"/>
  </si>
  <si>
    <t>sys指令修改cmd_type等数据field起始结束地址</t>
    <phoneticPr fontId="24" type="noConversion"/>
  </si>
  <si>
    <t>reg_sync_id_reset</t>
    <phoneticPr fontId="24" type="noConversion"/>
  </si>
  <si>
    <t>2.3</t>
    <phoneticPr fontId="24" type="noConversion"/>
  </si>
  <si>
    <t>sync tcp reg to 1.25Ghz</t>
    <phoneticPr fontId="24" type="noConversion"/>
  </si>
  <si>
    <t>intr_replay_rcv_overflow</t>
    <phoneticPr fontId="24" type="noConversion"/>
  </si>
  <si>
    <t>intr_replay_send_overflow</t>
    <phoneticPr fontId="24" type="noConversion"/>
  </si>
  <si>
    <r>
      <t>intr_replay</t>
    </r>
    <r>
      <rPr>
        <sz val="11"/>
        <color theme="1"/>
        <rFont val="宋体"/>
        <family val="3"/>
        <charset val="134"/>
        <scheme val="minor"/>
      </rPr>
      <t>_rcv</t>
    </r>
    <r>
      <rPr>
        <sz val="11"/>
        <color theme="1"/>
        <rFont val="宋体"/>
        <family val="3"/>
        <charset val="134"/>
        <scheme val="minor"/>
      </rPr>
      <t>_overflow_disable</t>
    </r>
    <phoneticPr fontId="24" type="noConversion"/>
  </si>
  <si>
    <r>
      <t>r</t>
    </r>
    <r>
      <rPr>
        <sz val="11"/>
        <color theme="1"/>
        <rFont val="宋体"/>
        <family val="3"/>
        <charset val="134"/>
        <scheme val="minor"/>
      </rPr>
      <t>w</t>
    </r>
    <phoneticPr fontId="24" type="noConversion"/>
  </si>
  <si>
    <t>when time cnt is bigger than this reg, trigger timeout replay</t>
    <phoneticPr fontId="24" type="noConversion"/>
  </si>
  <si>
    <r>
      <t>h</t>
    </r>
    <r>
      <rPr>
        <sz val="11"/>
        <color theme="1"/>
        <rFont val="宋体"/>
        <family val="3"/>
        <charset val="134"/>
        <scheme val="minor"/>
      </rPr>
      <t>1</t>
    </r>
    <r>
      <rPr>
        <sz val="11"/>
        <color theme="1"/>
        <rFont val="宋体"/>
        <family val="3"/>
        <charset val="134"/>
        <scheme val="minor"/>
      </rPr>
      <t>4</t>
    </r>
    <phoneticPr fontId="24" type="noConversion"/>
  </si>
  <si>
    <r>
      <t>h</t>
    </r>
    <r>
      <rPr>
        <sz val="11"/>
        <color theme="1"/>
        <rFont val="宋体"/>
        <family val="3"/>
        <charset val="134"/>
        <scheme val="minor"/>
      </rPr>
      <t>14</t>
    </r>
    <phoneticPr fontId="24" type="noConversion"/>
  </si>
  <si>
    <t>intr_rcv_sync_id</t>
    <phoneticPr fontId="24" type="noConversion"/>
  </si>
  <si>
    <t>intr_send_sync_id</t>
    <phoneticPr fontId="24" type="noConversion"/>
  </si>
  <si>
    <t>The registered rcv que SyncID when the latest interrupt triggered. This field won’t update until next interrupt event happens.</t>
    <phoneticPr fontId="24" type="noConversion"/>
  </si>
  <si>
    <t>The registered send que SyncID when the latest interrupt triggered. This field won’t update until next interrupt event happens.</t>
    <phoneticPr fontId="24" type="noConversion"/>
  </si>
  <si>
    <r>
      <t>h</t>
    </r>
    <r>
      <rPr>
        <sz val="11"/>
        <color theme="1"/>
        <rFont val="宋体"/>
        <family val="3"/>
        <charset val="134"/>
        <scheme val="minor"/>
      </rPr>
      <t>0</t>
    </r>
    <phoneticPr fontId="24" type="noConversion"/>
  </si>
  <si>
    <r>
      <t>r</t>
    </r>
    <r>
      <rPr>
        <sz val="11"/>
        <color theme="1"/>
        <rFont val="宋体"/>
        <family val="3"/>
        <charset val="134"/>
        <scheme val="minor"/>
      </rPr>
      <t>ws</t>
    </r>
    <phoneticPr fontId="24" type="noConversion"/>
  </si>
  <si>
    <r>
      <t>reg_replay_recon</t>
    </r>
    <r>
      <rPr>
        <sz val="11"/>
        <color theme="1"/>
        <rFont val="宋体"/>
        <family val="3"/>
        <charset val="134"/>
        <scheme val="minor"/>
      </rPr>
      <t>t</t>
    </r>
    <r>
      <rPr>
        <sz val="11"/>
        <color theme="1"/>
        <rFont val="宋体"/>
        <family val="3"/>
        <charset val="134"/>
        <scheme val="minor"/>
      </rPr>
      <t>inue</t>
    </r>
    <phoneticPr fontId="24" type="noConversion"/>
  </si>
  <si>
    <t>when occur replay overflow, set this reg to recontinue</t>
    <phoneticPr fontId="24" type="noConversion"/>
  </si>
  <si>
    <r>
      <t>rw</t>
    </r>
    <r>
      <rPr>
        <sz val="11"/>
        <color theme="1"/>
        <rFont val="宋体"/>
        <family val="3"/>
        <charset val="134"/>
        <scheme val="minor"/>
      </rPr>
      <t>s</t>
    </r>
    <phoneticPr fontId="24" type="noConversion"/>
  </si>
  <si>
    <t>CDMA_CSR_6</t>
    <phoneticPr fontId="24" type="noConversion"/>
  </si>
  <si>
    <t>CDMA_CSR_6_Setting</t>
    <phoneticPr fontId="24" type="noConversion"/>
  </si>
  <si>
    <t>CDMA_CSR_7</t>
    <phoneticPr fontId="24" type="noConversion"/>
  </si>
  <si>
    <t>CDMA_CSR_7_Setting</t>
    <phoneticPr fontId="24" type="noConversion"/>
  </si>
  <si>
    <t>CDMA_CSR_8_Setting</t>
    <phoneticPr fontId="24" type="noConversion"/>
  </si>
  <si>
    <t>CDMA_CSR_8</t>
    <phoneticPr fontId="24" type="noConversion"/>
  </si>
  <si>
    <t>CDMA_CSR_9</t>
    <phoneticPr fontId="24" type="noConversion"/>
  </si>
  <si>
    <t>CDMA_CSR_9_Setting</t>
    <phoneticPr fontId="24" type="noConversion"/>
  </si>
  <si>
    <t>CDMA_CSR_10_Setting</t>
    <phoneticPr fontId="24" type="noConversion"/>
  </si>
  <si>
    <t>CDMA_CSR_11</t>
  </si>
  <si>
    <t>CDMA_CSR_12</t>
  </si>
  <si>
    <t>CDMA_CSR_13</t>
  </si>
  <si>
    <t>CDMA_CSR_16</t>
  </si>
  <si>
    <t>CDMA_CSR_17</t>
  </si>
  <si>
    <t>CDMA_CSR_18</t>
  </si>
  <si>
    <t>CDMA_CSR_11_Setting</t>
  </si>
  <si>
    <t>CDMA_CSR_12_Setting</t>
  </si>
  <si>
    <t>CDMA_CSR_13_Setting</t>
  </si>
  <si>
    <t>CDMA_CSR_14_Setting</t>
  </si>
  <si>
    <t>CDMA_CSR_15_Setting</t>
  </si>
  <si>
    <t>CDMA_CSR_16_Setting</t>
  </si>
  <si>
    <t>CDMA_CSR_17_Setting</t>
  </si>
  <si>
    <t>CDMA_CSR_18_Setting</t>
  </si>
  <si>
    <t>CDMA_CSR_19_Setting</t>
  </si>
  <si>
    <r>
      <t>h</t>
    </r>
    <r>
      <rPr>
        <sz val="11"/>
        <color theme="1"/>
        <rFont val="宋体"/>
        <family val="3"/>
        <charset val="134"/>
        <scheme val="minor"/>
      </rPr>
      <t>18</t>
    </r>
    <phoneticPr fontId="24" type="noConversion"/>
  </si>
  <si>
    <r>
      <t>h</t>
    </r>
    <r>
      <rPr>
        <sz val="11"/>
        <color theme="1"/>
        <rFont val="宋体"/>
        <family val="3"/>
        <charset val="134"/>
        <scheme val="minor"/>
      </rPr>
      <t>24</t>
    </r>
    <phoneticPr fontId="24" type="noConversion"/>
  </si>
  <si>
    <r>
      <t>h2</t>
    </r>
    <r>
      <rPr>
        <sz val="11"/>
        <color theme="1"/>
        <rFont val="宋体"/>
        <family val="3"/>
        <charset val="134"/>
        <scheme val="minor"/>
      </rPr>
      <t>4</t>
    </r>
    <phoneticPr fontId="24" type="noConversion"/>
  </si>
  <si>
    <r>
      <t>h2</t>
    </r>
    <r>
      <rPr>
        <sz val="11"/>
        <color theme="1"/>
        <rFont val="宋体"/>
        <family val="3"/>
        <charset val="134"/>
        <scheme val="minor"/>
      </rPr>
      <t>8</t>
    </r>
    <phoneticPr fontId="24" type="noConversion"/>
  </si>
  <si>
    <r>
      <t>h</t>
    </r>
    <r>
      <rPr>
        <sz val="11"/>
        <color theme="1"/>
        <rFont val="宋体"/>
        <family val="3"/>
        <charset val="134"/>
        <scheme val="minor"/>
      </rPr>
      <t>2c</t>
    </r>
    <phoneticPr fontId="24" type="noConversion"/>
  </si>
  <si>
    <t>h34</t>
    <phoneticPr fontId="24" type="noConversion"/>
  </si>
  <si>
    <t>h30</t>
    <phoneticPr fontId="24" type="noConversion"/>
  </si>
  <si>
    <t xml:space="preserve">删除dynamic qos相关reg
删除reg_inter_die_addr_m16，reg_inter_die_addr_h32改为h8,
删除reg_axi_read_os，reg_axi_write_os
将intr_sync_id删除，新增intr_rcv_sync_id,intr_send_sync_id
删除intr_ins_buf_empty-intr_ins_buf_full等及其相应disable寄存器
新增reg_timeout_maxtime寄存器
reg_cfg_stopper_bypass，reg_cfg_stopper_done改为5bit
增加 reg_tcp_csr_updt, reg_replay_recontinue
将intr_replay_overflow替换为intr_replay_send_overflow，intr_replay_send_overflow.disable相应寄存器类似操作
tcp_send/rcv des 增加24位cmd_id
增加descriptor update页
</t>
    <phoneticPr fontId="24" type="noConversion"/>
  </si>
  <si>
    <t>In pio mode write 1 to update des</t>
    <phoneticPr fontId="24" type="noConversion"/>
  </si>
  <si>
    <t>reg_descriptor_update</t>
    <phoneticPr fontId="24" type="noConversion"/>
  </si>
  <si>
    <t>intr_ack_seqid_err</t>
    <phoneticPr fontId="24" type="noConversion"/>
  </si>
  <si>
    <t>CDMA_CSR_20</t>
    <phoneticPr fontId="24" type="noConversion"/>
  </si>
  <si>
    <t>CDMA_CSR_21</t>
    <phoneticPr fontId="24" type="noConversion"/>
  </si>
  <si>
    <t>CDMA_CSR_21_Setting</t>
    <phoneticPr fontId="24" type="noConversion"/>
  </si>
  <si>
    <t>CDMA_CSR_22</t>
    <phoneticPr fontId="24" type="noConversion"/>
  </si>
  <si>
    <t>CDMA_CSR_22_Setting</t>
    <phoneticPr fontId="24" type="noConversion"/>
  </si>
  <si>
    <t>CDMA_CSR_23_Setting</t>
  </si>
  <si>
    <t>CDMA_CSR_25_Setting</t>
  </si>
  <si>
    <t>CDMA_CSR_27_Setting</t>
  </si>
  <si>
    <t>CDMA_CSR_29_Setting</t>
  </si>
  <si>
    <t>CDMA_CSR_31_Setting</t>
  </si>
  <si>
    <t>CDMA_CSR_33_Setting</t>
  </si>
  <si>
    <t>CDMA_CSR_35_Setting</t>
  </si>
  <si>
    <t>CDMA_CSR_37_Setting</t>
  </si>
  <si>
    <t>CDMA_CSR_39_Setting</t>
  </si>
  <si>
    <t>CDMA_CSR_41_Setting</t>
  </si>
  <si>
    <t>CDMA_CSR_43_Setting</t>
  </si>
  <si>
    <t>CDMA_CSR_45_Setting</t>
  </si>
  <si>
    <t>CDMA_CSR_47_Setting</t>
  </si>
  <si>
    <t>CDMA_CSR_49_Setting</t>
  </si>
  <si>
    <t>CDMA_CSR_51_Setting</t>
  </si>
  <si>
    <t>CDMA_CSR_52_Setting</t>
  </si>
  <si>
    <t>CDMA_CSR_53_Setting</t>
  </si>
  <si>
    <t>CDMA_CSR_54_Setting</t>
  </si>
  <si>
    <t>CDMA_CSR_23</t>
  </si>
  <si>
    <t>CDMA_CSR_24</t>
  </si>
  <si>
    <t>CDMA_CSR_25</t>
  </si>
  <si>
    <t>CDMA_CSR_26</t>
  </si>
  <si>
    <t>CDMA_CSR_27</t>
  </si>
  <si>
    <t>CDMA_CSR_28</t>
  </si>
  <si>
    <t>CDMA_CSR_29</t>
  </si>
  <si>
    <t>CDMA_CSR_30</t>
  </si>
  <si>
    <t>CDMA_CSR_31</t>
  </si>
  <si>
    <t>CDMA_CSR_32</t>
  </si>
  <si>
    <t>CDMA_CSR_33</t>
  </si>
  <si>
    <t>CDMA_CSR_34</t>
  </si>
  <si>
    <t>CDMA_CSR_35</t>
  </si>
  <si>
    <t>CDMA_CSR_36</t>
  </si>
  <si>
    <t>CDMA_CSR_37</t>
  </si>
  <si>
    <t>CDMA_CSR_38</t>
  </si>
  <si>
    <t>CDMA_CSR_39</t>
  </si>
  <si>
    <t>CDMA_CSR_40</t>
  </si>
  <si>
    <t>CDMA_CSR_41</t>
  </si>
  <si>
    <t>CDMA_CSR_42</t>
  </si>
  <si>
    <t>CDMA_CSR_43</t>
  </si>
  <si>
    <t>CDMA_CSR_44</t>
  </si>
  <si>
    <t>CDMA_CSR_45</t>
  </si>
  <si>
    <t>CDMA_CSR_46</t>
  </si>
  <si>
    <t>CDMA_CSR_47</t>
  </si>
  <si>
    <t>CDMA_CSR_48</t>
  </si>
  <si>
    <t>CDMA_CSR_49</t>
  </si>
  <si>
    <t>CDMA_CSR_50</t>
  </si>
  <si>
    <t>CDMA_CSR_51</t>
  </si>
  <si>
    <t>CDMA_CSR_52</t>
  </si>
  <si>
    <t>CDMA_CSR_53</t>
  </si>
  <si>
    <t>CDMA_CSR_54</t>
  </si>
  <si>
    <t>CDMA_CSR_55</t>
    <phoneticPr fontId="24" type="noConversion"/>
  </si>
  <si>
    <t>CDMA_CSR_55_Setting</t>
    <phoneticPr fontId="24" type="noConversion"/>
  </si>
  <si>
    <t>CDMA_CSR_56</t>
    <phoneticPr fontId="24" type="noConversion"/>
  </si>
  <si>
    <t>CDMA_CSR_56_Setting</t>
    <phoneticPr fontId="24" type="noConversion"/>
  </si>
  <si>
    <t>CDMA_CSR_57_Setting</t>
    <phoneticPr fontId="24" type="noConversion"/>
  </si>
  <si>
    <t>CDMA_CSR_57</t>
    <phoneticPr fontId="24" type="noConversion"/>
  </si>
  <si>
    <t>CDMA_CSR_58</t>
    <phoneticPr fontId="24" type="noConversion"/>
  </si>
  <si>
    <t>CDMA_CSR_58_Setting</t>
    <phoneticPr fontId="24" type="noConversion"/>
  </si>
  <si>
    <t>CDMA_CSR_59_Setting</t>
    <phoneticPr fontId="24" type="noConversion"/>
  </si>
  <si>
    <t>CDMA_CSR_60_Setting</t>
    <phoneticPr fontId="24" type="noConversion"/>
  </si>
  <si>
    <t>CDMA_CSR_61_Setting</t>
  </si>
  <si>
    <t>CDMA_CSR_62_Setting</t>
  </si>
  <si>
    <t>CDMA_CSR_63_Setting</t>
  </si>
  <si>
    <t>CDMA_CSR_64_Setting</t>
  </si>
  <si>
    <t>CDMA_CSR_65_Setting</t>
  </si>
  <si>
    <t>CDMA_CSR_59</t>
    <phoneticPr fontId="24" type="noConversion"/>
  </si>
  <si>
    <t>CDMA_CSR_60</t>
    <phoneticPr fontId="24" type="noConversion"/>
  </si>
  <si>
    <t>CDMA_CSR_61</t>
  </si>
  <si>
    <t>CDMA_CSR_62</t>
  </si>
  <si>
    <t>CDMA_CSR_63</t>
  </si>
  <si>
    <t>CDMA_CSR_64</t>
  </si>
  <si>
    <t>CDMA_CSR_65</t>
  </si>
  <si>
    <t>CDMA_CSR_66_Setting</t>
    <phoneticPr fontId="24" type="noConversion"/>
  </si>
  <si>
    <t>CDMA_CSR_67_Setting</t>
    <phoneticPr fontId="24" type="noConversion"/>
  </si>
  <si>
    <t>CDMA_CSR_134</t>
  </si>
  <si>
    <t>CDMA_CSR_135</t>
  </si>
  <si>
    <r>
      <t>CDMA_CSR_</t>
    </r>
    <r>
      <rPr>
        <sz val="11"/>
        <color theme="1"/>
        <rFont val="宋体"/>
        <family val="3"/>
        <charset val="134"/>
        <scheme val="minor"/>
      </rPr>
      <t>73_Setting</t>
    </r>
  </si>
  <si>
    <r>
      <t>CDMA_CSR_</t>
    </r>
    <r>
      <rPr>
        <sz val="11"/>
        <color theme="1"/>
        <rFont val="宋体"/>
        <family val="3"/>
        <charset val="134"/>
        <scheme val="minor"/>
      </rPr>
      <t>74_Setting</t>
    </r>
  </si>
  <si>
    <r>
      <t>CDMA_CSR_</t>
    </r>
    <r>
      <rPr>
        <sz val="11"/>
        <color theme="1"/>
        <rFont val="宋体"/>
        <family val="3"/>
        <charset val="134"/>
        <scheme val="minor"/>
      </rPr>
      <t>75_Setting</t>
    </r>
  </si>
  <si>
    <r>
      <t>CDMA_CSR_</t>
    </r>
    <r>
      <rPr>
        <sz val="11"/>
        <color theme="1"/>
        <rFont val="宋体"/>
        <family val="3"/>
        <charset val="134"/>
        <scheme val="minor"/>
      </rPr>
      <t>76_Setting</t>
    </r>
  </si>
  <si>
    <r>
      <t>CDMA_CSR_</t>
    </r>
    <r>
      <rPr>
        <sz val="11"/>
        <color theme="1"/>
        <rFont val="宋体"/>
        <family val="3"/>
        <charset val="134"/>
        <scheme val="minor"/>
      </rPr>
      <t>77_Setting</t>
    </r>
  </si>
  <si>
    <r>
      <t>CDMA_CSR_</t>
    </r>
    <r>
      <rPr>
        <sz val="11"/>
        <color theme="1"/>
        <rFont val="宋体"/>
        <family val="3"/>
        <charset val="134"/>
        <scheme val="minor"/>
      </rPr>
      <t>78_Setting</t>
    </r>
  </si>
  <si>
    <r>
      <t>CDMA_CSR_</t>
    </r>
    <r>
      <rPr>
        <sz val="11"/>
        <color theme="1"/>
        <rFont val="宋体"/>
        <family val="3"/>
        <charset val="134"/>
        <scheme val="minor"/>
      </rPr>
      <t>79_Setting</t>
    </r>
  </si>
  <si>
    <r>
      <t>CDMA_CSR_</t>
    </r>
    <r>
      <rPr>
        <sz val="11"/>
        <color theme="1"/>
        <rFont val="宋体"/>
        <family val="3"/>
        <charset val="134"/>
        <scheme val="minor"/>
      </rPr>
      <t>80_Setting</t>
    </r>
  </si>
  <si>
    <r>
      <t>CDMA_CSR_</t>
    </r>
    <r>
      <rPr>
        <sz val="11"/>
        <color theme="1"/>
        <rFont val="宋体"/>
        <family val="3"/>
        <charset val="134"/>
        <scheme val="minor"/>
      </rPr>
      <t>81_Setting</t>
    </r>
  </si>
  <si>
    <r>
      <t>CDMA_CSR_</t>
    </r>
    <r>
      <rPr>
        <sz val="11"/>
        <color theme="1"/>
        <rFont val="宋体"/>
        <family val="3"/>
        <charset val="134"/>
        <scheme val="minor"/>
      </rPr>
      <t>82_Setting</t>
    </r>
  </si>
  <si>
    <r>
      <t>CDMA_CSR_</t>
    </r>
    <r>
      <rPr>
        <sz val="11"/>
        <color theme="1"/>
        <rFont val="宋体"/>
        <family val="3"/>
        <charset val="134"/>
        <scheme val="minor"/>
      </rPr>
      <t>83_Setting</t>
    </r>
  </si>
  <si>
    <r>
      <t>CDMA_CSR_</t>
    </r>
    <r>
      <rPr>
        <sz val="11"/>
        <color theme="1"/>
        <rFont val="宋体"/>
        <family val="3"/>
        <charset val="134"/>
        <scheme val="minor"/>
      </rPr>
      <t>84_Setting</t>
    </r>
  </si>
  <si>
    <r>
      <t>CDMA_CSR_</t>
    </r>
    <r>
      <rPr>
        <sz val="11"/>
        <color theme="1"/>
        <rFont val="宋体"/>
        <family val="3"/>
        <charset val="134"/>
        <scheme val="minor"/>
      </rPr>
      <t>85_Setting</t>
    </r>
  </si>
  <si>
    <r>
      <t>CDMA_CSR_</t>
    </r>
    <r>
      <rPr>
        <sz val="11"/>
        <color theme="1"/>
        <rFont val="宋体"/>
        <family val="3"/>
        <charset val="134"/>
        <scheme val="minor"/>
      </rPr>
      <t>86_Setting</t>
    </r>
  </si>
  <si>
    <r>
      <t>CDMA_CSR_</t>
    </r>
    <r>
      <rPr>
        <sz val="11"/>
        <color theme="1"/>
        <rFont val="宋体"/>
        <family val="3"/>
        <charset val="134"/>
        <scheme val="minor"/>
      </rPr>
      <t>87_Setting</t>
    </r>
  </si>
  <si>
    <r>
      <t>CDMA_CSR_</t>
    </r>
    <r>
      <rPr>
        <sz val="11"/>
        <color theme="1"/>
        <rFont val="宋体"/>
        <family val="3"/>
        <charset val="134"/>
        <scheme val="minor"/>
      </rPr>
      <t>88_Setting</t>
    </r>
  </si>
  <si>
    <r>
      <t>CDMA_CSR_</t>
    </r>
    <r>
      <rPr>
        <sz val="11"/>
        <color theme="1"/>
        <rFont val="宋体"/>
        <family val="3"/>
        <charset val="134"/>
        <scheme val="minor"/>
      </rPr>
      <t>89_Setting</t>
    </r>
  </si>
  <si>
    <r>
      <t>CDMA_CSR_</t>
    </r>
    <r>
      <rPr>
        <sz val="11"/>
        <color theme="1"/>
        <rFont val="宋体"/>
        <family val="3"/>
        <charset val="134"/>
        <scheme val="minor"/>
      </rPr>
      <t>90_Setting</t>
    </r>
  </si>
  <si>
    <r>
      <t>CDMA_CSR_</t>
    </r>
    <r>
      <rPr>
        <sz val="11"/>
        <color theme="1"/>
        <rFont val="宋体"/>
        <family val="3"/>
        <charset val="134"/>
        <scheme val="minor"/>
      </rPr>
      <t>91_Setting</t>
    </r>
  </si>
  <si>
    <r>
      <t>CDMA_CSR_</t>
    </r>
    <r>
      <rPr>
        <sz val="11"/>
        <color theme="1"/>
        <rFont val="宋体"/>
        <family val="3"/>
        <charset val="134"/>
        <scheme val="minor"/>
      </rPr>
      <t>92_Setting</t>
    </r>
  </si>
  <si>
    <r>
      <t>CDMA_CSR_</t>
    </r>
    <r>
      <rPr>
        <sz val="11"/>
        <color theme="1"/>
        <rFont val="宋体"/>
        <family val="3"/>
        <charset val="134"/>
        <scheme val="minor"/>
      </rPr>
      <t>93_Setting</t>
    </r>
  </si>
  <si>
    <r>
      <t>CDMA_CSR_</t>
    </r>
    <r>
      <rPr>
        <sz val="11"/>
        <color theme="1"/>
        <rFont val="宋体"/>
        <family val="3"/>
        <charset val="134"/>
        <scheme val="minor"/>
      </rPr>
      <t>94_Setting</t>
    </r>
  </si>
  <si>
    <r>
      <t>CDMA_CSR_</t>
    </r>
    <r>
      <rPr>
        <sz val="11"/>
        <color theme="1"/>
        <rFont val="宋体"/>
        <family val="3"/>
        <charset val="134"/>
        <scheme val="minor"/>
      </rPr>
      <t>95_Setting</t>
    </r>
  </si>
  <si>
    <r>
      <t>CDMA_CSR_</t>
    </r>
    <r>
      <rPr>
        <sz val="11"/>
        <color theme="1"/>
        <rFont val="宋体"/>
        <family val="3"/>
        <charset val="134"/>
        <scheme val="minor"/>
      </rPr>
      <t>96_Setting</t>
    </r>
  </si>
  <si>
    <r>
      <t>CDMA_CSR_</t>
    </r>
    <r>
      <rPr>
        <sz val="11"/>
        <color theme="1"/>
        <rFont val="宋体"/>
        <family val="3"/>
        <charset val="134"/>
        <scheme val="minor"/>
      </rPr>
      <t>97_Setting</t>
    </r>
  </si>
  <si>
    <r>
      <t>CDMA_CSR_</t>
    </r>
    <r>
      <rPr>
        <sz val="11"/>
        <color theme="1"/>
        <rFont val="宋体"/>
        <family val="3"/>
        <charset val="134"/>
        <scheme val="minor"/>
      </rPr>
      <t>98_Setting</t>
    </r>
  </si>
  <si>
    <r>
      <t>CDMA_CSR_</t>
    </r>
    <r>
      <rPr>
        <sz val="11"/>
        <color theme="1"/>
        <rFont val="宋体"/>
        <family val="3"/>
        <charset val="134"/>
        <scheme val="minor"/>
      </rPr>
      <t>99_Setting</t>
    </r>
  </si>
  <si>
    <r>
      <t>CDMA_CSR_</t>
    </r>
    <r>
      <rPr>
        <sz val="11"/>
        <color theme="1"/>
        <rFont val="宋体"/>
        <family val="3"/>
        <charset val="134"/>
        <scheme val="minor"/>
      </rPr>
      <t>100_Setting</t>
    </r>
  </si>
  <si>
    <r>
      <t>CDMA_CSR_</t>
    </r>
    <r>
      <rPr>
        <sz val="11"/>
        <color theme="1"/>
        <rFont val="宋体"/>
        <family val="3"/>
        <charset val="134"/>
        <scheme val="minor"/>
      </rPr>
      <t>101_Setting</t>
    </r>
  </si>
  <si>
    <r>
      <t>CDMA_CSR_</t>
    </r>
    <r>
      <rPr>
        <sz val="11"/>
        <color theme="1"/>
        <rFont val="宋体"/>
        <family val="3"/>
        <charset val="134"/>
        <scheme val="minor"/>
      </rPr>
      <t>102_Setting</t>
    </r>
  </si>
  <si>
    <r>
      <t>CDMA_CSR_</t>
    </r>
    <r>
      <rPr>
        <sz val="11"/>
        <color theme="1"/>
        <rFont val="宋体"/>
        <family val="3"/>
        <charset val="134"/>
        <scheme val="minor"/>
      </rPr>
      <t>103_Setting</t>
    </r>
  </si>
  <si>
    <r>
      <t>CDMA_CSR_</t>
    </r>
    <r>
      <rPr>
        <sz val="11"/>
        <color theme="1"/>
        <rFont val="宋体"/>
        <family val="3"/>
        <charset val="134"/>
        <scheme val="minor"/>
      </rPr>
      <t>104_Setting</t>
    </r>
  </si>
  <si>
    <r>
      <t>CDMA_CSR_</t>
    </r>
    <r>
      <rPr>
        <sz val="11"/>
        <color theme="1"/>
        <rFont val="宋体"/>
        <family val="3"/>
        <charset val="134"/>
        <scheme val="minor"/>
      </rPr>
      <t>105_Setting</t>
    </r>
  </si>
  <si>
    <r>
      <t>CDMA_CSR_</t>
    </r>
    <r>
      <rPr>
        <sz val="11"/>
        <color theme="1"/>
        <rFont val="宋体"/>
        <family val="3"/>
        <charset val="134"/>
        <scheme val="minor"/>
      </rPr>
      <t>106_Setting</t>
    </r>
  </si>
  <si>
    <r>
      <t>CDMA_CSR_</t>
    </r>
    <r>
      <rPr>
        <sz val="11"/>
        <color theme="1"/>
        <rFont val="宋体"/>
        <family val="3"/>
        <charset val="134"/>
        <scheme val="minor"/>
      </rPr>
      <t>107_Setting</t>
    </r>
  </si>
  <si>
    <r>
      <t>CDMA_CSR_</t>
    </r>
    <r>
      <rPr>
        <sz val="11"/>
        <color theme="1"/>
        <rFont val="宋体"/>
        <family val="3"/>
        <charset val="134"/>
        <scheme val="minor"/>
      </rPr>
      <t>108_Setting</t>
    </r>
  </si>
  <si>
    <r>
      <t>CDMA_CSR_</t>
    </r>
    <r>
      <rPr>
        <sz val="11"/>
        <color theme="1"/>
        <rFont val="宋体"/>
        <family val="3"/>
        <charset val="134"/>
        <scheme val="minor"/>
      </rPr>
      <t>109_Setting</t>
    </r>
  </si>
  <si>
    <r>
      <t>CDMA_CSR_</t>
    </r>
    <r>
      <rPr>
        <sz val="11"/>
        <color theme="1"/>
        <rFont val="宋体"/>
        <family val="3"/>
        <charset val="134"/>
        <scheme val="minor"/>
      </rPr>
      <t>110_Setting</t>
    </r>
  </si>
  <si>
    <r>
      <t>CDMA_CSR_</t>
    </r>
    <r>
      <rPr>
        <sz val="11"/>
        <color theme="1"/>
        <rFont val="宋体"/>
        <family val="3"/>
        <charset val="134"/>
        <scheme val="minor"/>
      </rPr>
      <t>111_Setting</t>
    </r>
  </si>
  <si>
    <r>
      <t>CDMA_CSR_</t>
    </r>
    <r>
      <rPr>
        <sz val="11"/>
        <color theme="1"/>
        <rFont val="宋体"/>
        <family val="3"/>
        <charset val="134"/>
        <scheme val="minor"/>
      </rPr>
      <t>112_Setting</t>
    </r>
  </si>
  <si>
    <r>
      <t>CDMA_CSR_</t>
    </r>
    <r>
      <rPr>
        <sz val="11"/>
        <color theme="1"/>
        <rFont val="宋体"/>
        <family val="3"/>
        <charset val="134"/>
        <scheme val="minor"/>
      </rPr>
      <t>113_Setting</t>
    </r>
  </si>
  <si>
    <r>
      <t>CDMA_CSR_</t>
    </r>
    <r>
      <rPr>
        <sz val="11"/>
        <color theme="1"/>
        <rFont val="宋体"/>
        <family val="3"/>
        <charset val="134"/>
        <scheme val="minor"/>
      </rPr>
      <t>114_Setting</t>
    </r>
  </si>
  <si>
    <r>
      <t>CDMA_CSR_</t>
    </r>
    <r>
      <rPr>
        <sz val="11"/>
        <color theme="1"/>
        <rFont val="宋体"/>
        <family val="3"/>
        <charset val="134"/>
        <scheme val="minor"/>
      </rPr>
      <t>115_Setting</t>
    </r>
  </si>
  <si>
    <r>
      <t>CDMA_CSR_</t>
    </r>
    <r>
      <rPr>
        <sz val="11"/>
        <color theme="1"/>
        <rFont val="宋体"/>
        <family val="3"/>
        <charset val="134"/>
        <scheme val="minor"/>
      </rPr>
      <t>116_Setting</t>
    </r>
  </si>
  <si>
    <r>
      <t>CDMA_CSR_</t>
    </r>
    <r>
      <rPr>
        <sz val="11"/>
        <color theme="1"/>
        <rFont val="宋体"/>
        <family val="3"/>
        <charset val="134"/>
        <scheme val="minor"/>
      </rPr>
      <t>117_Setting</t>
    </r>
  </si>
  <si>
    <r>
      <t>CDMA_CSR_</t>
    </r>
    <r>
      <rPr>
        <sz val="11"/>
        <color theme="1"/>
        <rFont val="宋体"/>
        <family val="3"/>
        <charset val="134"/>
        <scheme val="minor"/>
      </rPr>
      <t>118_Setting</t>
    </r>
  </si>
  <si>
    <r>
      <t>CDMA_CSR_</t>
    </r>
    <r>
      <rPr>
        <sz val="11"/>
        <color theme="1"/>
        <rFont val="宋体"/>
        <family val="3"/>
        <charset val="134"/>
        <scheme val="minor"/>
      </rPr>
      <t>119_Setting</t>
    </r>
  </si>
  <si>
    <r>
      <t>CDMA_CSR_</t>
    </r>
    <r>
      <rPr>
        <sz val="11"/>
        <color theme="1"/>
        <rFont val="宋体"/>
        <family val="3"/>
        <charset val="134"/>
        <scheme val="minor"/>
      </rPr>
      <t>120_Setting</t>
    </r>
  </si>
  <si>
    <r>
      <t>CDMA_CSR_</t>
    </r>
    <r>
      <rPr>
        <sz val="11"/>
        <color theme="1"/>
        <rFont val="宋体"/>
        <family val="3"/>
        <charset val="134"/>
        <scheme val="minor"/>
      </rPr>
      <t>121_Setting</t>
    </r>
  </si>
  <si>
    <r>
      <t>CDMA_CSR_</t>
    </r>
    <r>
      <rPr>
        <sz val="11"/>
        <color theme="1"/>
        <rFont val="宋体"/>
        <family val="3"/>
        <charset val="134"/>
        <scheme val="minor"/>
      </rPr>
      <t>122_Setting</t>
    </r>
  </si>
  <si>
    <r>
      <t>CDMA_CSR_</t>
    </r>
    <r>
      <rPr>
        <sz val="11"/>
        <color theme="1"/>
        <rFont val="宋体"/>
        <family val="3"/>
        <charset val="134"/>
        <scheme val="minor"/>
      </rPr>
      <t>123_Setting</t>
    </r>
  </si>
  <si>
    <r>
      <t>CDMA_CSR_</t>
    </r>
    <r>
      <rPr>
        <sz val="11"/>
        <color theme="1"/>
        <rFont val="宋体"/>
        <family val="3"/>
        <charset val="134"/>
        <scheme val="minor"/>
      </rPr>
      <t>124_Setting</t>
    </r>
  </si>
  <si>
    <r>
      <t>CDMA_CSR_</t>
    </r>
    <r>
      <rPr>
        <sz val="11"/>
        <color theme="1"/>
        <rFont val="宋体"/>
        <family val="3"/>
        <charset val="134"/>
        <scheme val="minor"/>
      </rPr>
      <t>125_Setting</t>
    </r>
  </si>
  <si>
    <r>
      <t>CDMA_CSR_</t>
    </r>
    <r>
      <rPr>
        <sz val="11"/>
        <color theme="1"/>
        <rFont val="宋体"/>
        <family val="3"/>
        <charset val="134"/>
        <scheme val="minor"/>
      </rPr>
      <t>126_Setting</t>
    </r>
  </si>
  <si>
    <r>
      <t>CDMA_CSR_</t>
    </r>
    <r>
      <rPr>
        <sz val="11"/>
        <color theme="1"/>
        <rFont val="宋体"/>
        <family val="3"/>
        <charset val="134"/>
        <scheme val="minor"/>
      </rPr>
      <t>127_Setting</t>
    </r>
  </si>
  <si>
    <r>
      <t>CDMA_CSR_</t>
    </r>
    <r>
      <rPr>
        <sz val="11"/>
        <color theme="1"/>
        <rFont val="宋体"/>
        <family val="3"/>
        <charset val="134"/>
        <scheme val="minor"/>
      </rPr>
      <t>128_Setting</t>
    </r>
  </si>
  <si>
    <r>
      <t>CDMA_CSR_</t>
    </r>
    <r>
      <rPr>
        <sz val="11"/>
        <color theme="1"/>
        <rFont val="宋体"/>
        <family val="3"/>
        <charset val="134"/>
        <scheme val="minor"/>
      </rPr>
      <t>129_Setting</t>
    </r>
  </si>
  <si>
    <r>
      <t>CDMA_CSR_</t>
    </r>
    <r>
      <rPr>
        <sz val="11"/>
        <color theme="1"/>
        <rFont val="宋体"/>
        <family val="3"/>
        <charset val="134"/>
        <scheme val="minor"/>
      </rPr>
      <t>130_Setting</t>
    </r>
  </si>
  <si>
    <r>
      <t>CDMA_CSR_</t>
    </r>
    <r>
      <rPr>
        <sz val="11"/>
        <color theme="1"/>
        <rFont val="宋体"/>
        <family val="3"/>
        <charset val="134"/>
        <scheme val="minor"/>
      </rPr>
      <t>131_Setting</t>
    </r>
  </si>
  <si>
    <r>
      <t>CDMA_CSR_</t>
    </r>
    <r>
      <rPr>
        <sz val="11"/>
        <color theme="1"/>
        <rFont val="宋体"/>
        <family val="3"/>
        <charset val="134"/>
        <scheme val="minor"/>
      </rPr>
      <t>132_Setting</t>
    </r>
  </si>
  <si>
    <r>
      <t>CDMA_CSR_</t>
    </r>
    <r>
      <rPr>
        <sz val="11"/>
        <color theme="1"/>
        <rFont val="宋体"/>
        <family val="3"/>
        <charset val="134"/>
        <scheme val="minor"/>
      </rPr>
      <t>133_Setting</t>
    </r>
  </si>
  <si>
    <r>
      <t>CDMA_CSR_</t>
    </r>
    <r>
      <rPr>
        <sz val="11"/>
        <color theme="1"/>
        <rFont val="宋体"/>
        <family val="3"/>
        <charset val="134"/>
        <scheme val="minor"/>
      </rPr>
      <t>134_Setting</t>
    </r>
  </si>
  <si>
    <r>
      <t>CDMA_CSR_</t>
    </r>
    <r>
      <rPr>
        <sz val="11"/>
        <color theme="1"/>
        <rFont val="宋体"/>
        <family val="3"/>
        <charset val="134"/>
        <scheme val="minor"/>
      </rPr>
      <t>135_Setting</t>
    </r>
  </si>
  <si>
    <t>reg_tcp_csr_updt</t>
    <phoneticPr fontId="24" type="noConversion"/>
  </si>
  <si>
    <t>intr_replay_send_overflow_disable</t>
    <phoneticPr fontId="24" type="noConversion"/>
  </si>
  <si>
    <t>reg_des_clr</t>
    <phoneticPr fontId="24" type="noConversion"/>
  </si>
  <si>
    <r>
      <t>h</t>
    </r>
    <r>
      <rPr>
        <sz val="11"/>
        <color theme="1"/>
        <rFont val="宋体"/>
        <family val="3"/>
        <charset val="134"/>
        <scheme val="minor"/>
      </rPr>
      <t>0</t>
    </r>
    <phoneticPr fontId="24" type="noConversion"/>
  </si>
  <si>
    <r>
      <t>r</t>
    </r>
    <r>
      <rPr>
        <sz val="11"/>
        <color theme="1"/>
        <rFont val="宋体"/>
        <family val="3"/>
        <charset val="134"/>
        <scheme val="minor"/>
      </rPr>
      <t>wc</t>
    </r>
    <phoneticPr fontId="24" type="noConversion"/>
  </si>
  <si>
    <t>reg_tcp_rcv_buf_status</t>
    <phoneticPr fontId="24" type="noConversion"/>
  </si>
  <si>
    <t>reg_tcp_send_buf_status</t>
    <phoneticPr fontId="24" type="noConversion"/>
  </si>
  <si>
    <t>TCP_CSR_12</t>
    <phoneticPr fontId="24" type="noConversion"/>
  </si>
  <si>
    <t>TCP_CSR_12_Setting</t>
    <phoneticPr fontId="24" type="noConversion"/>
  </si>
  <si>
    <t>h330</t>
    <phoneticPr fontId="24" type="noConversion"/>
  </si>
  <si>
    <t>h334</t>
    <phoneticPr fontId="24" type="noConversion"/>
  </si>
  <si>
    <t>TCP_CSR_13</t>
    <phoneticPr fontId="24" type="noConversion"/>
  </si>
  <si>
    <t>TCP_CSR_13_Setting</t>
    <phoneticPr fontId="24" type="noConversion"/>
  </si>
  <si>
    <t>reg_tcp_send_cmd_id</t>
    <phoneticPr fontId="24" type="noConversion"/>
  </si>
  <si>
    <t>h338</t>
    <phoneticPr fontId="24" type="noConversion"/>
  </si>
  <si>
    <t>TCP_CSR_14</t>
    <phoneticPr fontId="24" type="noConversion"/>
  </si>
  <si>
    <t>TCP_CSR_14_Setting</t>
    <phoneticPr fontId="24" type="noConversion"/>
  </si>
  <si>
    <t>reg_tcp_rcv_cmd_id</t>
    <phoneticPr fontId="24" type="noConversion"/>
  </si>
  <si>
    <t>h33c</t>
    <phoneticPr fontId="24" type="noConversion"/>
  </si>
  <si>
    <t>h340</t>
    <phoneticPr fontId="24" type="noConversion"/>
  </si>
  <si>
    <t>TCP_CSR_15</t>
    <phoneticPr fontId="24" type="noConversion"/>
  </si>
  <si>
    <t>TCP_CSR_15_Setting</t>
    <phoneticPr fontId="24" type="noConversion"/>
  </si>
  <si>
    <t>TCP_CSR_16</t>
    <phoneticPr fontId="24" type="noConversion"/>
  </si>
  <si>
    <t>TCP_CSR_16_Setting</t>
    <phoneticPr fontId="24" type="noConversion"/>
  </si>
  <si>
    <t>h228</t>
    <phoneticPr fontId="24" type="noConversion"/>
  </si>
  <si>
    <t>h22c</t>
    <phoneticPr fontId="24" type="noConversion"/>
  </si>
  <si>
    <t>CDMA_CSR_136</t>
  </si>
  <si>
    <t>CDMA_CSR_137</t>
  </si>
  <si>
    <r>
      <t>CDMA_CSR_</t>
    </r>
    <r>
      <rPr>
        <sz val="11"/>
        <color theme="1"/>
        <rFont val="宋体"/>
        <family val="3"/>
        <charset val="134"/>
        <scheme val="minor"/>
      </rPr>
      <t>136_Setting</t>
    </r>
    <r>
      <rPr>
        <sz val="11"/>
        <color theme="1"/>
        <rFont val="宋体"/>
        <family val="2"/>
        <charset val="134"/>
        <scheme val="minor"/>
      </rPr>
      <t/>
    </r>
  </si>
  <si>
    <r>
      <t>CDMA_CSR_</t>
    </r>
    <r>
      <rPr>
        <sz val="11"/>
        <color theme="1"/>
        <rFont val="宋体"/>
        <family val="3"/>
        <charset val="134"/>
        <scheme val="minor"/>
      </rPr>
      <t>137_Setting</t>
    </r>
    <r>
      <rPr>
        <sz val="11"/>
        <color theme="1"/>
        <rFont val="宋体"/>
        <family val="2"/>
        <charset val="134"/>
        <scheme val="minor"/>
      </rPr>
      <t/>
    </r>
  </si>
  <si>
    <t>h230</t>
    <phoneticPr fontId="24" type="noConversion"/>
  </si>
  <si>
    <t>CDMA_CSR_138</t>
  </si>
  <si>
    <r>
      <t>CDMA_CSR_</t>
    </r>
    <r>
      <rPr>
        <sz val="11"/>
        <color theme="1"/>
        <rFont val="宋体"/>
        <family val="3"/>
        <charset val="134"/>
        <scheme val="minor"/>
      </rPr>
      <t>138_Setting</t>
    </r>
    <r>
      <rPr>
        <sz val="11"/>
        <color theme="1"/>
        <rFont val="宋体"/>
        <family val="2"/>
        <charset val="134"/>
        <scheme val="minor"/>
      </rPr>
      <t/>
    </r>
  </si>
  <si>
    <t>intr_replay_send_overflow_cmd_id</t>
    <phoneticPr fontId="24" type="noConversion"/>
  </si>
  <si>
    <t>when intr_replay_send_overflow , current cmd_id</t>
    <phoneticPr fontId="24" type="noConversion"/>
  </si>
  <si>
    <t>h234</t>
    <phoneticPr fontId="24" type="noConversion"/>
  </si>
  <si>
    <t>CDMA_CSR_139</t>
  </si>
  <si>
    <r>
      <t>CDMA_CSR_</t>
    </r>
    <r>
      <rPr>
        <sz val="11"/>
        <color theme="1"/>
        <rFont val="宋体"/>
        <family val="3"/>
        <charset val="134"/>
        <scheme val="minor"/>
      </rPr>
      <t>139_Setting</t>
    </r>
    <r>
      <rPr>
        <sz val="11"/>
        <color theme="1"/>
        <rFont val="宋体"/>
        <family val="2"/>
        <charset val="134"/>
        <scheme val="minor"/>
      </rPr>
      <t/>
    </r>
  </si>
  <si>
    <t>intr_invalid_cmd_err</t>
    <phoneticPr fontId="24" type="noConversion"/>
  </si>
  <si>
    <t>intr_invalid_cmd_err_cmd_id</t>
    <phoneticPr fontId="24" type="noConversion"/>
  </si>
  <si>
    <t>when intr_invalid_cmd_err , current cmd_id</t>
    <phoneticPr fontId="24" type="noConversion"/>
  </si>
  <si>
    <t>2.4</t>
    <phoneticPr fontId="24" type="noConversion"/>
  </si>
  <si>
    <t>h344</t>
    <phoneticPr fontId="24" type="noConversion"/>
  </si>
  <si>
    <t>TCP_CSR_17</t>
    <phoneticPr fontId="24" type="noConversion"/>
  </si>
  <si>
    <t>TCP_CSR_17_Setting</t>
    <phoneticPr fontId="24" type="noConversion"/>
  </si>
  <si>
    <t>reg eth error summary</t>
    <phoneticPr fontId="24" type="noConversion"/>
  </si>
  <si>
    <t>h238</t>
    <phoneticPr fontId="24" type="noConversion"/>
  </si>
  <si>
    <t>CDMA_CSR_140</t>
    <phoneticPr fontId="24" type="noConversion"/>
  </si>
  <si>
    <r>
      <t>CDMA_CSR_140_Setting</t>
    </r>
    <r>
      <rPr>
        <sz val="11"/>
        <color theme="1"/>
        <rFont val="宋体"/>
        <family val="2"/>
        <charset val="134"/>
        <scheme val="minor"/>
      </rPr>
      <t/>
    </r>
    <phoneticPr fontId="24" type="noConversion"/>
  </si>
  <si>
    <t xml:space="preserve">新增 int_tcp_axi_wr_err，  int_tcp_axi_rd_err 及其相应disable 寄存器.
新增reg_tcp_rcv_cmd_id， reg_tcp_send_cmd_id，reg_tcp_rcv_buf_status， reg_tcp_send_buf_status寄存器.
新增int_tcp_rcv_cmd_done，int_tcp_send_cmd_done中断寄存器.
新增发生err时相应cmd_id寄存器： int_tcp_error_rx_cmd_id， int_tcp_axi_rd_err_cmd_id ，   int_tcp_axi_wr_err_cmd_id，int_axi_rd_err_cmd_id，int_axi_wr_err_cmd_id，intr_replay_send_overflow_cmd_id，intr_invalid_cmd_err_cmd_id
新增intr_eth_error_summary，reg_eth_error_summory 寄存器，在normal mode下记eth err.
</t>
    <phoneticPr fontId="24" type="noConversion"/>
  </si>
  <si>
    <t>intr_eth_error_summary_disable</t>
    <phoneticPr fontId="24" type="noConversion"/>
  </si>
  <si>
    <t>intr_eth_error_summary</t>
    <phoneticPr fontId="24" type="noConversion"/>
  </si>
  <si>
    <t>intr_tcp_axi_rd_err</t>
    <phoneticPr fontId="24" type="noConversion"/>
  </si>
  <si>
    <t>intr_tcp_axi_wr_err</t>
    <phoneticPr fontId="24" type="noConversion"/>
  </si>
  <si>
    <t>intr_tcp_rcv_cmd_done</t>
    <phoneticPr fontId="24" type="noConversion"/>
  </si>
  <si>
    <t>intr_tcp_send_cmd_done</t>
    <phoneticPr fontId="24" type="noConversion"/>
  </si>
  <si>
    <t>intr_axi_rd_err_cmd_id</t>
  </si>
  <si>
    <t>when intr_axi_rd_err , current cmd_id</t>
  </si>
  <si>
    <t>intr_axi_wr_err_cmd_id</t>
  </si>
  <si>
    <t>when intr_axi_wr_err , current cmd_id</t>
  </si>
  <si>
    <t>when intr_tcp_axi_rd_err , current cmd_id</t>
  </si>
  <si>
    <t>when intr_tcp_axi_wr_err , current cmd_id</t>
  </si>
  <si>
    <t>intr_tcp_error_rx_cmd_id </t>
  </si>
  <si>
    <t>when intr_tcp_error , current cmd_id</t>
  </si>
  <si>
    <t>reg_eth_error_summary</t>
    <phoneticPr fontId="24" type="noConversion"/>
  </si>
  <si>
    <t>Source Data Format
0:INT8
1:FP16
2:FP32
3:INT16
4:INT32
5:BFP16
6:FP20
others：not support</t>
    <phoneticPr fontId="24" type="noConversion"/>
  </si>
  <si>
    <t>2.5</t>
    <phoneticPr fontId="24" type="noConversion"/>
  </si>
  <si>
    <r>
      <t xml:space="preserve">descriptor data_format </t>
    </r>
    <r>
      <rPr>
        <sz val="11"/>
        <color theme="1"/>
        <rFont val="宋体"/>
        <family val="3"/>
        <charset val="134"/>
      </rPr>
      <t>删去int4类型，位宽改为4bit.general 指令 src_data_format额外删去fp20. Psum_op位宽改为3bit</t>
    </r>
    <phoneticPr fontId="24" type="noConversion"/>
  </si>
  <si>
    <t xml:space="preserve">
others:ASITIS</t>
    <phoneticPr fontId="24" type="noConversion"/>
  </si>
  <si>
    <t>2.6</t>
    <phoneticPr fontId="24" type="noConversion"/>
  </si>
  <si>
    <t>h23c</t>
    <phoneticPr fontId="24" type="noConversion"/>
  </si>
  <si>
    <t>CDMA_CSR_141</t>
    <phoneticPr fontId="24" type="noConversion"/>
  </si>
  <si>
    <t>CDMA_CSR_142</t>
  </si>
  <si>
    <t>CDMA_CSR_143</t>
  </si>
  <si>
    <t>CDMA_CSR_144</t>
  </si>
  <si>
    <r>
      <t>CDMA_CSR_</t>
    </r>
    <r>
      <rPr>
        <sz val="11"/>
        <color theme="1"/>
        <rFont val="宋体"/>
        <family val="3"/>
        <charset val="134"/>
        <scheme val="minor"/>
      </rPr>
      <t>141_Setting</t>
    </r>
    <r>
      <rPr>
        <sz val="11"/>
        <color theme="1"/>
        <rFont val="宋体"/>
        <family val="2"/>
        <charset val="134"/>
        <scheme val="minor"/>
      </rPr>
      <t/>
    </r>
  </si>
  <si>
    <r>
      <t>CDMA_CSR_</t>
    </r>
    <r>
      <rPr>
        <sz val="11"/>
        <color theme="1"/>
        <rFont val="宋体"/>
        <family val="3"/>
        <charset val="134"/>
        <scheme val="minor"/>
      </rPr>
      <t>142_Setting</t>
    </r>
    <r>
      <rPr>
        <sz val="11"/>
        <color theme="1"/>
        <rFont val="宋体"/>
        <family val="2"/>
        <charset val="134"/>
        <scheme val="minor"/>
      </rPr>
      <t/>
    </r>
  </si>
  <si>
    <t>CDMA_CSR_143_Setting</t>
  </si>
  <si>
    <r>
      <t>CDMA_CSR_</t>
    </r>
    <r>
      <rPr>
        <sz val="11"/>
        <color theme="1"/>
        <rFont val="宋体"/>
        <family val="3"/>
        <charset val="134"/>
        <scheme val="minor"/>
      </rPr>
      <t>144_Setting</t>
    </r>
    <r>
      <rPr>
        <sz val="11"/>
        <color theme="1"/>
        <rFont val="宋体"/>
        <family val="2"/>
        <charset val="134"/>
        <scheme val="minor"/>
      </rPr>
      <t/>
    </r>
  </si>
  <si>
    <t>reg_inter_die_read_addr_h8</t>
    <phoneticPr fontId="24" type="noConversion"/>
  </si>
  <si>
    <t>inter_die_read_addr_high_8bit</t>
    <phoneticPr fontId="24" type="noConversion"/>
  </si>
  <si>
    <t>reg_inter_die_write_addr_h8</t>
    <phoneticPr fontId="24" type="noConversion"/>
  </si>
  <si>
    <t>inter_die_write_addr_high_8bit</t>
    <phoneticPr fontId="24" type="noConversion"/>
  </si>
  <si>
    <t>reg_intra_die_read_addr_h8</t>
    <phoneticPr fontId="24" type="noConversion"/>
  </si>
  <si>
    <t>reg_intra_die_write_addr_h8</t>
    <phoneticPr fontId="24" type="noConversion"/>
  </si>
  <si>
    <t>intra_die_read_addr_high_8bit</t>
    <phoneticPr fontId="24" type="noConversion"/>
  </si>
  <si>
    <t>intra_die_write_addr_high_8bit</t>
    <phoneticPr fontId="24" type="noConversion"/>
  </si>
  <si>
    <t>reg_des_read_addr_h8</t>
    <phoneticPr fontId="24" type="noConversion"/>
  </si>
  <si>
    <t>reg_des_write_addr_h8</t>
    <phoneticPr fontId="24" type="noConversion"/>
  </si>
  <si>
    <t>intra_des_read_addr_high_8bit</t>
    <phoneticPr fontId="24" type="noConversion"/>
  </si>
  <si>
    <t>intra_des_write_addr_high_8bit</t>
    <phoneticPr fontId="24" type="noConversion"/>
  </si>
  <si>
    <t>reg_rxch_read_addr_h8</t>
    <phoneticPr fontId="24" type="noConversion"/>
  </si>
  <si>
    <t>reg_txch_read_addr_h8</t>
    <phoneticPr fontId="24" type="noConversion"/>
  </si>
  <si>
    <t>reg_txch_write_addr_h8</t>
    <phoneticPr fontId="24" type="noConversion"/>
  </si>
  <si>
    <t>reg_rxch_write_addr_h8</t>
    <phoneticPr fontId="24" type="noConversion"/>
  </si>
  <si>
    <t>intra_rxch_write_addr_high_8bit</t>
    <phoneticPr fontId="24" type="noConversion"/>
  </si>
  <si>
    <t>intra_rxch_read_addr_high_8bit</t>
    <phoneticPr fontId="24" type="noConversion"/>
  </si>
  <si>
    <t>intra_txch_read_addr_high_8bit</t>
    <phoneticPr fontId="24" type="noConversion"/>
  </si>
  <si>
    <t>intra_txch_write_addr_high_8bit</t>
    <phoneticPr fontId="24" type="noConversion"/>
  </si>
  <si>
    <t>h240</t>
    <phoneticPr fontId="24" type="noConversion"/>
  </si>
  <si>
    <t>h244</t>
    <phoneticPr fontId="24" type="noConversion"/>
  </si>
  <si>
    <t>h248</t>
    <phoneticPr fontId="24" type="noConversion"/>
  </si>
  <si>
    <t>reg_tcp_rcv_des_addr_h4</t>
    <phoneticPr fontId="24" type="noConversion"/>
  </si>
  <si>
    <t>reg_tcp_send_des_addr_h4</t>
    <phoneticPr fontId="24" type="noConversion"/>
  </si>
  <si>
    <t>reg_tcp_send_des_last_addr_h4</t>
    <phoneticPr fontId="24" type="noConversion"/>
  </si>
  <si>
    <t>reg_tcp_rcv_des_last_addr_h4</t>
    <phoneticPr fontId="24" type="noConversion"/>
  </si>
  <si>
    <r>
      <t xml:space="preserve">lossy_decompress </t>
    </r>
    <r>
      <rPr>
        <sz val="11"/>
        <color theme="1"/>
        <rFont val="宋体"/>
        <family val="3"/>
        <charset val="134"/>
      </rPr>
      <t>加入</t>
    </r>
    <r>
      <rPr>
        <sz val="11"/>
        <color theme="1"/>
        <rFont val="Cambria"/>
        <family val="3"/>
        <charset val="134"/>
      </rPr>
      <t xml:space="preserve">n/c/h stride </t>
    </r>
    <r>
      <rPr>
        <sz val="11"/>
        <color theme="1"/>
        <rFont val="宋体"/>
        <family val="3"/>
        <charset val="134"/>
      </rPr>
      <t>与stride_en field,加入inter_die_write_addr/inter_die_read_addr,
intra_die_write_addr/intra_die_read_addr,txch_write_addr/txch_read_addr,rxch_write_addr/rxch_read_addr,des_write_addr/des_read_addr,高8bit地址寄存器
加入reg_tcp_send_des_last_addr_h4，reg_tcp_rcv_des_last_addr_h4，删去对应h1 reg.</t>
    </r>
    <phoneticPr fontId="24" type="noConversion"/>
  </si>
  <si>
    <t>tcp mode send Descriptor Address Pointer [35:4] is updated by this register’s bit. Address Pointer [3：0] are always 0.</t>
    <phoneticPr fontId="24" type="noConversion"/>
  </si>
  <si>
    <t>tcp mode send Descriptor Address Pointer [39：36] is updated by this register’s bit. Address Pointer [3：0] are always 0.</t>
    <phoneticPr fontId="24" type="noConversion"/>
  </si>
  <si>
    <t>tcp mode receive Descriptor Address Pointer [35:4] is updated by this register’s bit. Address Pointer [3：0] are always 0.</t>
    <phoneticPr fontId="24" type="noConversion"/>
  </si>
  <si>
    <t>tcp mode receive Descriptor Address Pointer [39：36] is updated by this register’s bit. Address Pointer [3：0] are always 0.</t>
    <phoneticPr fontId="24" type="noConversion"/>
  </si>
  <si>
    <t>tcp mode send Descriptor last Address Pointer [35:4] is updated by this register’s bit. Address Pointer [3：0] are always 0.</t>
    <phoneticPr fontId="24" type="noConversion"/>
  </si>
  <si>
    <t>tcp mode send Descriptor last Address Pointer [39：36] is updated by this register’s bit. Address Pointer [3：0] are always 0.</t>
    <phoneticPr fontId="24" type="noConversion"/>
  </si>
  <si>
    <t>tcp mode receive Descriptor last Address Pointer [35:4] is updated by this register’s bit. Address Pointer [3：0] are always 0.</t>
    <phoneticPr fontId="24" type="noConversion"/>
  </si>
  <si>
    <t>tcp mode receive Descriptor last Address Pointer [39：36] is updated by this register’s bit. Address Pointer [3：0] are always 0.</t>
    <phoneticPr fontId="24" type="noConversion"/>
  </si>
  <si>
    <t>intr_tcp_axi_rd_err_cmd_id</t>
    <phoneticPr fontId="24" type="noConversion"/>
  </si>
  <si>
    <t>intr_tcp_axi_wr_err_cmd_id</t>
    <phoneticPr fontId="24" type="noConversion"/>
  </si>
  <si>
    <t>reduce opcode
000:nop
001:mul
010:max
011:min
100:add</t>
    <phoneticPr fontId="24" type="noConversion"/>
  </si>
  <si>
    <t>2.7</t>
    <phoneticPr fontId="24" type="noConversion"/>
  </si>
  <si>
    <t>交换tcredit 与 rcv reduce op nop与add编码顺序，保持与最终地址编码一致</t>
    <phoneticPr fontId="24" type="noConversion"/>
  </si>
  <si>
    <t>no need to config:6</t>
    <phoneticPr fontId="24" type="noConversion"/>
  </si>
  <si>
    <t>reg_receive_cmd_os</t>
    <phoneticPr fontId="24" type="noConversion"/>
  </si>
  <si>
    <t>h24c</t>
    <phoneticPr fontId="24" type="noConversion"/>
  </si>
  <si>
    <t>CDMA_CSR_145</t>
    <phoneticPr fontId="24" type="noConversion"/>
  </si>
  <si>
    <r>
      <t>CDMA_CSR_145_Setting</t>
    </r>
    <r>
      <rPr>
        <sz val="11"/>
        <color theme="1"/>
        <rFont val="宋体"/>
        <family val="2"/>
        <charset val="134"/>
        <scheme val="minor"/>
      </rPr>
      <t/>
    </r>
    <phoneticPr fontId="24" type="noConversion"/>
  </si>
  <si>
    <t>reg_axi_fab0_reg_idle_cycles_before_gate</t>
    <phoneticPr fontId="24" type="noConversion"/>
  </si>
  <si>
    <t>reg_csr_reg_idle_cycles_before_gate</t>
    <phoneticPr fontId="24" type="noConversion"/>
  </si>
  <si>
    <t>reg_reg_auto_gate_enable</t>
    <phoneticPr fontId="24" type="noConversion"/>
  </si>
  <si>
    <t>reg_csr_reg_auto_gate_enable</t>
    <phoneticPr fontId="24" type="noConversion"/>
  </si>
  <si>
    <t>reg_dis_fab_lp_opt</t>
    <phoneticPr fontId="24" type="noConversion"/>
  </si>
  <si>
    <r>
      <t>h</t>
    </r>
    <r>
      <rPr>
        <sz val="11"/>
        <color theme="1"/>
        <rFont val="宋体"/>
        <family val="3"/>
        <charset val="134"/>
        <scheme val="minor"/>
      </rPr>
      <t>0</t>
    </r>
    <phoneticPr fontId="24" type="noConversion"/>
  </si>
  <si>
    <r>
      <t>r</t>
    </r>
    <r>
      <rPr>
        <sz val="11"/>
        <color theme="1"/>
        <rFont val="宋体"/>
        <family val="3"/>
        <charset val="134"/>
        <scheme val="minor"/>
      </rPr>
      <t>w</t>
    </r>
    <phoneticPr fontId="24" type="noConversion"/>
  </si>
  <si>
    <t>h0</t>
    <phoneticPr fontId="24" type="noConversion"/>
  </si>
  <si>
    <t>h1</t>
    <phoneticPr fontId="24" type="noConversion"/>
  </si>
  <si>
    <t>2.8</t>
    <phoneticPr fontId="24" type="noConversion"/>
  </si>
  <si>
    <t>加入reg_axi_fab0_reg_idle_cycles_before_gate，reg_csr_reg_idle_cycles_before_gate，reg_dis_fab_lp_opt，
reg_csr_reg_auto_gate_enable，reg_reg_auto_gate_enable  csr fab寄存器</t>
    <phoneticPr fontId="24" type="noConversion"/>
  </si>
  <si>
    <t>2.9</t>
    <phoneticPr fontId="24" type="noConversion"/>
  </si>
  <si>
    <t>reg_timeout_maxtime</t>
    <phoneticPr fontId="24" type="noConversion"/>
  </si>
  <si>
    <r>
      <t>h</t>
    </r>
    <r>
      <rPr>
        <sz val="11"/>
        <color theme="1"/>
        <rFont val="宋体"/>
        <family val="3"/>
        <charset val="134"/>
        <scheme val="minor"/>
      </rPr>
      <t>ffffffff</t>
    </r>
    <phoneticPr fontId="24" type="noConversion"/>
  </si>
  <si>
    <t>reg_sec_length</t>
    <phoneticPr fontId="24" type="noConversion"/>
  </si>
  <si>
    <t>intr_ack_crc_err</t>
    <phoneticPr fontId="24" type="noConversion"/>
  </si>
  <si>
    <t>intr_des_wr_err</t>
  </si>
  <si>
    <r>
      <t>h</t>
    </r>
    <r>
      <rPr>
        <sz val="11"/>
        <color theme="1"/>
        <rFont val="宋体"/>
        <family val="3"/>
        <charset val="134"/>
        <scheme val="minor"/>
      </rPr>
      <t>0</t>
    </r>
    <phoneticPr fontId="24" type="noConversion"/>
  </si>
  <si>
    <t>intr_pmu_misslog_err</t>
    <phoneticPr fontId="24" type="noConversion"/>
  </si>
  <si>
    <t>h250</t>
    <phoneticPr fontId="24" type="noConversion"/>
  </si>
  <si>
    <t>CDMA_CSR_146</t>
    <phoneticPr fontId="24" type="noConversion"/>
  </si>
  <si>
    <r>
      <t>CDMA_CSR_146_Setting</t>
    </r>
    <r>
      <rPr>
        <sz val="11"/>
        <color theme="1"/>
        <rFont val="宋体"/>
        <family val="2"/>
        <charset val="134"/>
        <scheme val="minor"/>
      </rPr>
      <t/>
    </r>
    <phoneticPr fontId="24" type="noConversion"/>
  </si>
  <si>
    <t>intr_pmu_miss_cmd_id</t>
    <phoneticPr fontId="24" type="noConversion"/>
  </si>
  <si>
    <t>when intr_pmu_misslog_err , miss cmd_id</t>
    <phoneticPr fontId="24" type="noConversion"/>
  </si>
  <si>
    <r>
      <t>h</t>
    </r>
    <r>
      <rPr>
        <sz val="11"/>
        <color theme="1"/>
        <rFont val="宋体"/>
        <family val="3"/>
        <charset val="134"/>
        <scheme val="minor"/>
      </rPr>
      <t>1</t>
    </r>
    <phoneticPr fontId="24" type="noConversion"/>
  </si>
  <si>
    <t>intr_tcp_axi_wr_err_disable</t>
    <phoneticPr fontId="24" type="noConversion"/>
  </si>
  <si>
    <t>intr_tcp_rcv_cmd_done_disable</t>
    <phoneticPr fontId="24" type="noConversion"/>
  </si>
  <si>
    <t>intr_tcp_send_cmd_done_disable</t>
    <phoneticPr fontId="24" type="noConversion"/>
  </si>
  <si>
    <t>intr_des_wr_err_disable</t>
    <phoneticPr fontId="24" type="noConversion"/>
  </si>
  <si>
    <t>intr_pmu_misslog_err_disable</t>
    <phoneticPr fontId="24" type="noConversion"/>
  </si>
  <si>
    <t>h254</t>
    <phoneticPr fontId="24" type="noConversion"/>
  </si>
  <si>
    <t>CDMA_CSR_147</t>
    <phoneticPr fontId="24" type="noConversion"/>
  </si>
  <si>
    <r>
      <t>CDMA_CSR_147_Setting</t>
    </r>
    <r>
      <rPr>
        <sz val="11"/>
        <color theme="1"/>
        <rFont val="宋体"/>
        <family val="2"/>
        <charset val="134"/>
        <scheme val="minor"/>
      </rPr>
      <t/>
    </r>
    <phoneticPr fontId="24" type="noConversion"/>
  </si>
  <si>
    <r>
      <t>generate pulse to updt seqid</t>
    </r>
    <r>
      <rPr>
        <sz val="11"/>
        <color theme="1"/>
        <rFont val="宋体"/>
        <family val="3"/>
        <charset val="134"/>
        <scheme val="minor"/>
      </rPr>
      <t xml:space="preserve"> </t>
    </r>
    <phoneticPr fontId="24" type="noConversion"/>
  </si>
  <si>
    <t>updt this seqid when set start_seqid_updt</t>
    <phoneticPr fontId="24" type="noConversion"/>
  </si>
  <si>
    <r>
      <t>intr_cmd_done_status</t>
    </r>
    <r>
      <rPr>
        <sz val="11"/>
        <color theme="1"/>
        <rFont val="宋体"/>
        <family val="3"/>
        <charset val="134"/>
        <scheme val="minor"/>
      </rPr>
      <t>_disable</t>
    </r>
    <phoneticPr fontId="24" type="noConversion"/>
  </si>
  <si>
    <t>rw</t>
    <phoneticPr fontId="24" type="noConversion"/>
  </si>
  <si>
    <t>0: interrupt generation is enabled
1: interrupt is masked
Disable intr_cmd_done_status interrupt generation</t>
    <phoneticPr fontId="24" type="noConversion"/>
  </si>
  <si>
    <t>0: interrupt generation is enabled
1: interrupt is masked.
Disable intr_eth_error_summary interrupt generation</t>
    <phoneticPr fontId="24" type="noConversion"/>
  </si>
  <si>
    <t>intr_tcp_axi_rd_err_disable</t>
    <phoneticPr fontId="24" type="noConversion"/>
  </si>
  <si>
    <t>0: interrupt generation is enabled
1: interrupt is masked.
Disable intr_tcp_axi_rd_err interrupt generation</t>
    <phoneticPr fontId="24" type="noConversion"/>
  </si>
  <si>
    <t>0: interrupt generation is enabled
1: interrupt is masked.
Disable intr_tcp_axi_wr_err interrupt generation</t>
    <phoneticPr fontId="24" type="noConversion"/>
  </si>
  <si>
    <t>0: interrupt generation is enabled
1: interrupt is masked.
Disable intr_tcp_rcv_cmd_done interrupt generation</t>
    <phoneticPr fontId="24" type="noConversion"/>
  </si>
  <si>
    <t>0: interrupt generation is enabled
1: interrupt is masked.
Disable intr_tcp_send_cmd_done interrupt generation</t>
    <phoneticPr fontId="24" type="noConversion"/>
  </si>
  <si>
    <t>0: interrupt generation is enabled
1: interrupt is masked.
Disable intr_des_wr_err interrupt generation</t>
    <phoneticPr fontId="24" type="noConversion"/>
  </si>
  <si>
    <t>0: interrupt generation is enabled
1: interrupt is masked.
Disable intr_pmu_misslog_err interrupt generation</t>
    <phoneticPr fontId="24" type="noConversion"/>
  </si>
  <si>
    <t>CDMA_CSR_19</t>
    <phoneticPr fontId="24" type="noConversion"/>
  </si>
  <si>
    <t>Debug Mode ([1]: single step debug mode [2]: force stop mode)
Execute single descriptor
[1]: Single Step Mode
cdma will stop after dispatching every descriptor, SW can write reg_cdma_dbg_exec 1’b1 to let cdma process next descriptor. 
[2]:Breakpoint Mode
cdma will stop after dispatching breakpoint descriptor, SW can write reg_cdma_dbg_exec 1’b1 to let cdma process next descriptor.</t>
    <phoneticPr fontId="24" type="noConversion"/>
  </si>
  <si>
    <t>intr_send_dbg_step_stop</t>
    <phoneticPr fontId="24" type="noConversion"/>
  </si>
  <si>
    <t>intr_rcv_dbg_step_stop</t>
    <phoneticPr fontId="24" type="noConversion"/>
  </si>
  <si>
    <t>h348</t>
    <phoneticPr fontId="24" type="noConversion"/>
  </si>
  <si>
    <t>h34c</t>
    <phoneticPr fontId="24" type="noConversion"/>
  </si>
  <si>
    <t>TCP_CSR_18</t>
    <phoneticPr fontId="24" type="noConversion"/>
  </si>
  <si>
    <t>TCP_CSR_19</t>
    <phoneticPr fontId="24" type="noConversion"/>
  </si>
  <si>
    <t>TCP_CSR_18_Setting</t>
    <phoneticPr fontId="24" type="noConversion"/>
  </si>
  <si>
    <t>TCP_CSR_19_Setting</t>
    <phoneticPr fontId="24" type="noConversion"/>
  </si>
  <si>
    <t>reg_cdma_tcp_rx_dbg_exec</t>
    <phoneticPr fontId="24" type="noConversion"/>
  </si>
  <si>
    <t>reg_cdma_tcp_tx_dbg_exec</t>
    <phoneticPr fontId="24" type="noConversion"/>
  </si>
  <si>
    <t>reg_cdma_tcp_rx_dbg_mode</t>
    <phoneticPr fontId="24" type="noConversion"/>
  </si>
  <si>
    <t>reg_cdma_tcp_tx_dbg_mode</t>
    <phoneticPr fontId="24" type="noConversion"/>
  </si>
  <si>
    <r>
      <t xml:space="preserve">reg_timeout_maxtime </t>
    </r>
    <r>
      <rPr>
        <sz val="11"/>
        <color theme="1"/>
        <rFont val="宋体"/>
        <family val="3"/>
        <charset val="134"/>
      </rPr>
      <t>改为</t>
    </r>
    <r>
      <rPr>
        <sz val="11"/>
        <color theme="1"/>
        <rFont val="Cambria"/>
        <family val="3"/>
        <charset val="134"/>
      </rPr>
      <t xml:space="preserve">32bit, </t>
    </r>
    <r>
      <rPr>
        <sz val="11"/>
        <color theme="1"/>
        <rFont val="宋体"/>
        <family val="3"/>
        <charset val="134"/>
      </rPr>
      <t>新增</t>
    </r>
    <r>
      <rPr>
        <sz val="11"/>
        <color theme="1"/>
        <rFont val="Cambria"/>
        <family val="3"/>
        <charset val="134"/>
      </rPr>
      <t>start_seqid</t>
    </r>
    <r>
      <rPr>
        <sz val="11"/>
        <color theme="1"/>
        <rFont val="宋体"/>
        <family val="3"/>
        <charset val="134"/>
      </rPr>
      <t>和</t>
    </r>
    <r>
      <rPr>
        <sz val="11"/>
        <color theme="1"/>
        <rFont val="Cambria"/>
        <family val="3"/>
        <charset val="134"/>
      </rPr>
      <t>start_seqid_updt</t>
    </r>
    <r>
      <rPr>
        <sz val="11"/>
        <color theme="1"/>
        <rFont val="宋体"/>
        <family val="3"/>
        <charset val="134"/>
      </rPr>
      <t>的寄存器，新增</t>
    </r>
    <r>
      <rPr>
        <sz val="11"/>
        <color theme="1"/>
        <rFont val="Cambria"/>
        <family val="3"/>
        <charset val="134"/>
      </rPr>
      <t>intr_des_wr_err</t>
    </r>
    <r>
      <rPr>
        <sz val="11"/>
        <color theme="1"/>
        <rFont val="宋体"/>
        <family val="3"/>
        <charset val="134"/>
      </rPr>
      <t>中断，</t>
    </r>
    <r>
      <rPr>
        <sz val="11"/>
        <color theme="1"/>
        <rFont val="Cambria"/>
        <family val="3"/>
        <charset val="134"/>
      </rPr>
      <t>intr_pmu_misslog_err</t>
    </r>
    <r>
      <rPr>
        <sz val="11"/>
        <color theme="1"/>
        <rFont val="宋体"/>
        <family val="3"/>
        <charset val="134"/>
      </rPr>
      <t>，</t>
    </r>
    <r>
      <rPr>
        <sz val="11"/>
        <color theme="1"/>
        <rFont val="Cambria"/>
        <family val="3"/>
        <charset val="134"/>
      </rPr>
      <t xml:space="preserve">  </t>
    </r>
    <r>
      <rPr>
        <sz val="11"/>
        <color theme="1"/>
        <rFont val="宋体"/>
        <family val="3"/>
        <charset val="134"/>
      </rPr>
      <t xml:space="preserve">与其丢失log的intr_pmu_miss_cmd_id寄存器, intr_disable 移动至CDMA_CSR_0，新增cmd_done相关中断disable寄存器，
增加tcp 相关dbg 寄存器. </t>
    </r>
    <phoneticPr fontId="24" type="noConversion"/>
  </si>
  <si>
    <t>intr_send_dbg_step_stop_disable</t>
    <phoneticPr fontId="24" type="noConversion"/>
  </si>
  <si>
    <t>intr_rcv_dbg_step_stop_disable</t>
    <phoneticPr fontId="24" type="noConversion"/>
  </si>
  <si>
    <t>0: interrupt generation is enabled
1: interrupt is masked.
Disable intr_rcv_dbg_step_stop interrupt generation</t>
    <phoneticPr fontId="24" type="noConversion"/>
  </si>
  <si>
    <t>0: interrupt generation is enabled
1: interrupt is masked.
Disable intr_send_dbg_step_stop interrupt generation</t>
    <phoneticPr fontId="24" type="noConversion"/>
  </si>
  <si>
    <t>reg_start_seqid</t>
    <phoneticPr fontId="24" type="noConversion"/>
  </si>
  <si>
    <t>reg_start_seqid_updt</t>
    <phoneticPr fontId="24" type="noConversion"/>
  </si>
  <si>
    <t>3.0</t>
    <phoneticPr fontId="24" type="noConversion"/>
  </si>
  <si>
    <r>
      <t>h</t>
    </r>
    <r>
      <rPr>
        <sz val="11"/>
        <color theme="1"/>
        <rFont val="宋体"/>
        <family val="3"/>
        <charset val="134"/>
        <scheme val="minor"/>
      </rPr>
      <t>f</t>
    </r>
    <phoneticPr fontId="24" type="noConversion"/>
  </si>
  <si>
    <r>
      <t xml:space="preserve">low_power </t>
    </r>
    <r>
      <rPr>
        <sz val="11"/>
        <color theme="1"/>
        <rFont val="宋体"/>
        <family val="3"/>
        <charset val="134"/>
      </rPr>
      <t>寄存器改为</t>
    </r>
    <r>
      <rPr>
        <sz val="11"/>
        <color theme="1"/>
        <rFont val="Cambria"/>
        <family val="3"/>
        <charset val="134"/>
      </rPr>
      <t xml:space="preserve">4bit, </t>
    </r>
    <r>
      <rPr>
        <sz val="11"/>
        <color theme="1"/>
        <rFont val="宋体"/>
        <family val="3"/>
        <charset val="134"/>
      </rPr>
      <t>分别控制</t>
    </r>
    <r>
      <rPr>
        <sz val="11"/>
        <color theme="1"/>
        <rFont val="Cambria"/>
        <family val="3"/>
        <charset val="134"/>
      </rPr>
      <t xml:space="preserve"> aclk,aclk_mac, tcp_send/rcv_clk gate.</t>
    </r>
    <r>
      <rPr>
        <sz val="11"/>
        <color theme="1"/>
        <rFont val="宋体"/>
        <family val="3"/>
        <charset val="134"/>
      </rPr>
      <t>改</t>
    </r>
    <r>
      <rPr>
        <sz val="11"/>
        <color theme="1"/>
        <rFont val="Cambria"/>
        <family val="3"/>
        <charset val="134"/>
      </rPr>
      <t xml:space="preserve">replay_max_time, </t>
    </r>
    <r>
      <rPr>
        <sz val="11"/>
        <color theme="1"/>
        <rFont val="宋体"/>
        <family val="3"/>
        <charset val="134"/>
      </rPr>
      <t>与rcv_os默认值</t>
    </r>
    <r>
      <rPr>
        <sz val="11"/>
        <color theme="1"/>
        <rFont val="Cambria"/>
        <family val="3"/>
        <charset val="134"/>
      </rPr>
      <t>.</t>
    </r>
    <phoneticPr fontId="24" type="noConversion"/>
  </si>
  <si>
    <r>
      <t xml:space="preserve">low_power </t>
    </r>
    <r>
      <rPr>
        <sz val="11"/>
        <color theme="1"/>
        <rFont val="宋体"/>
        <family val="3"/>
        <charset val="134"/>
      </rPr>
      <t>寄存器描述修正，丰富</t>
    </r>
    <r>
      <rPr>
        <sz val="11"/>
        <color theme="1"/>
        <rFont val="Cambria"/>
        <family val="3"/>
        <charset val="134"/>
      </rPr>
      <t xml:space="preserve">reg_connection_on, reg_hw_replay_en </t>
    </r>
    <r>
      <rPr>
        <sz val="11"/>
        <color theme="1"/>
        <rFont val="宋体"/>
        <family val="3"/>
        <charset val="134"/>
      </rPr>
      <t>寄存器描述</t>
    </r>
    <phoneticPr fontId="24" type="noConversion"/>
  </si>
  <si>
    <t>3.1</t>
    <phoneticPr fontId="24" type="noConversion"/>
  </si>
  <si>
    <t>h258</t>
    <phoneticPr fontId="24" type="noConversion"/>
  </si>
  <si>
    <t>CDMA_CSR_148</t>
    <phoneticPr fontId="24" type="noConversion"/>
  </si>
  <si>
    <r>
      <t>CDMA_CSR_148_Setting</t>
    </r>
    <r>
      <rPr>
        <sz val="11"/>
        <color theme="1"/>
        <rFont val="宋体"/>
        <family val="2"/>
        <charset val="134"/>
        <scheme val="minor"/>
      </rPr>
      <t/>
    </r>
    <phoneticPr fontId="24" type="noConversion"/>
  </si>
  <si>
    <t>CDMA_CSR_149</t>
    <phoneticPr fontId="24" type="noConversion"/>
  </si>
  <si>
    <r>
      <t>CDMA_CSR_149_Setting</t>
    </r>
    <r>
      <rPr>
        <sz val="11"/>
        <color theme="1"/>
        <rFont val="宋体"/>
        <family val="2"/>
        <charset val="134"/>
        <scheme val="minor"/>
      </rPr>
      <t/>
    </r>
    <phoneticPr fontId="24" type="noConversion"/>
  </si>
  <si>
    <t>CDMA_CSR_150_Setting</t>
  </si>
  <si>
    <t>CDMA_CSR_151_Setting</t>
  </si>
  <si>
    <t>CDMA_CSR_150</t>
  </si>
  <si>
    <t>CDMA_CSR_151</t>
  </si>
  <si>
    <t>h25c</t>
    <phoneticPr fontId="24" type="noConversion"/>
  </si>
  <si>
    <t>h260</t>
    <phoneticPr fontId="24" type="noConversion"/>
  </si>
  <si>
    <t>h264</t>
    <phoneticPr fontId="24" type="noConversion"/>
  </si>
  <si>
    <t>reg_eth_head_0</t>
    <phoneticPr fontId="24" type="noConversion"/>
  </si>
  <si>
    <t>reg_eth_head_1</t>
    <phoneticPr fontId="24" type="noConversion"/>
  </si>
  <si>
    <t>reg_eth_head_2</t>
  </si>
  <si>
    <t>reg_eth_head_3</t>
  </si>
  <si>
    <t>3.2</t>
    <phoneticPr fontId="24" type="noConversion"/>
  </si>
  <si>
    <r>
      <rPr>
        <sz val="11"/>
        <color theme="1"/>
        <rFont val="宋体"/>
        <family val="3"/>
        <charset val="134"/>
      </rPr>
      <t>加入</t>
    </r>
    <r>
      <rPr>
        <sz val="11"/>
        <color theme="1"/>
        <rFont val="Cambria"/>
        <family val="3"/>
        <charset val="134"/>
      </rPr>
      <t xml:space="preserve">eth head 0-3 </t>
    </r>
    <r>
      <rPr>
        <sz val="11"/>
        <color theme="1"/>
        <rFont val="宋体"/>
        <family val="3"/>
        <charset val="134"/>
      </rPr>
      <t>寄存器</t>
    </r>
    <phoneticPr fontId="24" type="noConversion"/>
  </si>
  <si>
    <t>3.3</t>
    <phoneticPr fontId="24" type="noConversion"/>
  </si>
  <si>
    <t>h268</t>
  </si>
  <si>
    <t>h268</t>
    <phoneticPr fontId="24" type="noConversion"/>
  </si>
  <si>
    <t>h26c</t>
    <phoneticPr fontId="24" type="noConversion"/>
  </si>
  <si>
    <t>CDMA_CSR_152_Setting</t>
  </si>
  <si>
    <t>CDMA_CSR_152</t>
    <phoneticPr fontId="24" type="noConversion"/>
  </si>
  <si>
    <t>CDMA_CSR_153</t>
    <phoneticPr fontId="24" type="noConversion"/>
  </si>
  <si>
    <t>CDMA_CSR_153_Setting</t>
    <phoneticPr fontId="24" type="noConversion"/>
  </si>
  <si>
    <r>
      <t xml:space="preserve">interface </t>
    </r>
    <r>
      <rPr>
        <sz val="11"/>
        <color theme="1"/>
        <rFont val="宋体"/>
        <family val="3"/>
        <charset val="134"/>
        <scheme val="minor"/>
      </rPr>
      <t xml:space="preserve">datapath </t>
    </r>
    <r>
      <rPr>
        <sz val="11"/>
        <color theme="1"/>
        <rFont val="宋体"/>
        <family val="3"/>
        <charset val="134"/>
        <scheme val="minor"/>
      </rPr>
      <t>axi archannel bw pwr test en</t>
    </r>
    <phoneticPr fontId="24" type="noConversion"/>
  </si>
  <si>
    <r>
      <t>reg_datapath</t>
    </r>
    <r>
      <rPr>
        <sz val="11"/>
        <color theme="1"/>
        <rFont val="宋体"/>
        <family val="3"/>
        <charset val="134"/>
        <scheme val="minor"/>
      </rPr>
      <t>_bw_aw_pwr_test_en</t>
    </r>
    <phoneticPr fontId="24" type="noConversion"/>
  </si>
  <si>
    <r>
      <t>reg_datapath</t>
    </r>
    <r>
      <rPr>
        <sz val="11"/>
        <color theme="1"/>
        <rFont val="宋体"/>
        <family val="3"/>
        <charset val="134"/>
        <scheme val="minor"/>
      </rPr>
      <t>_bw_aw_en</t>
    </r>
    <phoneticPr fontId="24" type="noConversion"/>
  </si>
  <si>
    <r>
      <t>reg_datapath</t>
    </r>
    <r>
      <rPr>
        <sz val="11"/>
        <color theme="1"/>
        <rFont val="宋体"/>
        <family val="3"/>
        <charset val="134"/>
        <scheme val="minor"/>
      </rPr>
      <t>_bw_lmt_vld_aw</t>
    </r>
    <phoneticPr fontId="24" type="noConversion"/>
  </si>
  <si>
    <r>
      <t>reg_datapath</t>
    </r>
    <r>
      <rPr>
        <sz val="11"/>
        <color theme="1"/>
        <rFont val="宋体"/>
        <family val="3"/>
        <charset val="134"/>
        <scheme val="minor"/>
      </rPr>
      <t>_bw_lmt_win_aw</t>
    </r>
    <phoneticPr fontId="24" type="noConversion"/>
  </si>
  <si>
    <t>reg_allreduce_enable</t>
    <phoneticPr fontId="24" type="noConversion"/>
  </si>
  <si>
    <r>
      <t>h</t>
    </r>
    <r>
      <rPr>
        <sz val="11"/>
        <color theme="1"/>
        <rFont val="宋体"/>
        <family val="3"/>
        <charset val="134"/>
        <scheme val="minor"/>
      </rPr>
      <t>3</t>
    </r>
    <phoneticPr fontId="24" type="noConversion"/>
  </si>
  <si>
    <t>interface axi archannel bw en</t>
    <phoneticPr fontId="24" type="noConversion"/>
  </si>
  <si>
    <r>
      <t xml:space="preserve">interface </t>
    </r>
    <r>
      <rPr>
        <sz val="11"/>
        <color theme="1"/>
        <rFont val="宋体"/>
        <family val="3"/>
        <charset val="134"/>
        <scheme val="minor"/>
      </rPr>
      <t xml:space="preserve">datapath </t>
    </r>
    <r>
      <rPr>
        <sz val="11"/>
        <color theme="1"/>
        <rFont val="宋体"/>
        <family val="3"/>
        <charset val="134"/>
        <scheme val="minor"/>
      </rPr>
      <t>axi awchannel bw en</t>
    </r>
    <phoneticPr fontId="24" type="noConversion"/>
  </si>
  <si>
    <t>reg_dbg_sig_sel</t>
    <phoneticPr fontId="24" type="noConversion"/>
  </si>
  <si>
    <t>reg_dbg_sig_sel</t>
    <phoneticPr fontId="24" type="noConversion"/>
  </si>
  <si>
    <t>CDMA_CSR_154</t>
    <phoneticPr fontId="24" type="noConversion"/>
  </si>
  <si>
    <t>CDMA_CSR_154_Setting</t>
    <phoneticPr fontId="24" type="noConversion"/>
  </si>
  <si>
    <t>h270</t>
    <phoneticPr fontId="24" type="noConversion"/>
  </si>
  <si>
    <t>reg_dbg_mod_sel</t>
    <phoneticPr fontId="24" type="noConversion"/>
  </si>
  <si>
    <t>reg_dbg_mod_sel</t>
    <phoneticPr fontId="24" type="noConversion"/>
  </si>
  <si>
    <r>
      <t>h</t>
    </r>
    <r>
      <rPr>
        <sz val="11"/>
        <color theme="1"/>
        <rFont val="宋体"/>
        <family val="3"/>
        <charset val="134"/>
        <scheme val="minor"/>
      </rPr>
      <t>0</t>
    </r>
    <phoneticPr fontId="24" type="noConversion"/>
  </si>
  <si>
    <r>
      <t>h</t>
    </r>
    <r>
      <rPr>
        <sz val="11"/>
        <color theme="1"/>
        <rFont val="宋体"/>
        <family val="3"/>
        <charset val="134"/>
        <scheme val="minor"/>
      </rPr>
      <t>ff</t>
    </r>
    <phoneticPr fontId="24" type="noConversion"/>
  </si>
  <si>
    <t>replay_cnt 增加1bit，增加allreduce_enable 寄存器，增加datapath bw_lmt 相关寄存器.dbg_sel与dbg_mod寄存器</t>
    <phoneticPr fontId="24" type="noConversion"/>
  </si>
  <si>
    <t>reg_cdma_rcv_dbg_exec</t>
    <phoneticPr fontId="24" type="noConversion"/>
  </si>
  <si>
    <t>reg_cdma_send_dbg_exec</t>
    <phoneticPr fontId="24" type="noConversion"/>
  </si>
  <si>
    <t>send que debug enable: see dbg_mode for mode sel</t>
    <phoneticPr fontId="24" type="noConversion"/>
  </si>
  <si>
    <t>rcv queue debug enable: see dbg_mode for mode sel</t>
    <phoneticPr fontId="24" type="noConversion"/>
  </si>
  <si>
    <t>3.4</t>
    <phoneticPr fontId="24" type="noConversion"/>
  </si>
  <si>
    <t>删除reg_cdma_dbg_exec 寄存器， 加入reg_cdma_send_dbg_exec，reg_cdma_rcv_dbg_exec寄存器,reg_cdma_cpc 默认值改为1</t>
    <phoneticPr fontId="24" type="noConversion"/>
  </si>
  <si>
    <t>h274</t>
    <phoneticPr fontId="24" type="noConversion"/>
  </si>
  <si>
    <t>CDMA_CSR_155</t>
    <phoneticPr fontId="24" type="noConversion"/>
  </si>
  <si>
    <t>CDMA_CSR_155_Setting</t>
    <phoneticPr fontId="24" type="noConversion"/>
  </si>
  <si>
    <t>h0</t>
    <phoneticPr fontId="24" type="noConversion"/>
  </si>
  <si>
    <t>3.5</t>
    <phoneticPr fontId="24" type="noConversion"/>
  </si>
  <si>
    <t>reg_wr_mode</t>
    <phoneticPr fontId="24" type="noConversion"/>
  </si>
  <si>
    <t>reg_rd_mode</t>
    <phoneticPr fontId="24" type="noConversion"/>
  </si>
  <si>
    <t>h1</t>
    <phoneticPr fontId="24" type="noConversion"/>
  </si>
  <si>
    <t xml:space="preserve">datapath tensor读写模式 [0]支持有hole写，[1]不支持有hole写 </t>
    <phoneticPr fontId="24" type="noConversion"/>
  </si>
  <si>
    <t xml:space="preserve">datapath tensor读写模式 [0]支持有hole读，[1]不支持有hole读 </t>
    <phoneticPr fontId="24" type="noConversion"/>
  </si>
  <si>
    <t>h350</t>
    <phoneticPr fontId="24" type="noConversion"/>
  </si>
  <si>
    <t>TCP_CSR_20</t>
    <phoneticPr fontId="24" type="noConversion"/>
  </si>
  <si>
    <t>TCP_CSR_20_Setting</t>
    <phoneticPr fontId="24" type="noConversion"/>
  </si>
  <si>
    <t xml:space="preserve"> 加入reg_wr_mode,reg_rd_mode寄存器,reg_tcp_csr_updt 地址改变.</t>
    <phoneticPr fontId="24" type="noConversion"/>
  </si>
  <si>
    <t>3.6</t>
    <phoneticPr fontId="24" type="noConversion"/>
  </si>
  <si>
    <t>修改reg_tcp_csr_updt bit 位.</t>
    <phoneticPr fontId="24" type="noConversion"/>
  </si>
  <si>
    <t>[0]：inner vlan tag valid，it means vlan must use reg_tcp_val_tag
[1]：outer vlan tag valid，it means ivlan must use vlan tag2</t>
    <phoneticPr fontId="24" type="noConversion"/>
  </si>
  <si>
    <t>reg_eth_csr_updt</t>
    <phoneticPr fontId="24" type="noConversion"/>
  </si>
  <si>
    <t>sync eth reg to 1.25Ghz</t>
    <phoneticPr fontId="24" type="noConversion"/>
  </si>
  <si>
    <t xml:space="preserve"> vlan tag valid，it means vlan must use reg_tcp_val_tag
</t>
    <phoneticPr fontId="24" type="noConversion"/>
  </si>
  <si>
    <t>3.7</t>
    <phoneticPr fontId="24" type="noConversion"/>
  </si>
  <si>
    <t>CDMA EDMA MTL FAB Arbitration：
00：fix priority，EDMA high priority
01：fix priority，CDMA high priority
10：round robin</t>
    <phoneticPr fontId="24" type="noConversion"/>
  </si>
  <si>
    <t>reg_cdma_fab_arbitration</t>
    <phoneticPr fontId="24" type="noConversion"/>
  </si>
  <si>
    <t>增加reg_eth_csr_updt，reg_cdma_vtag_val 寄存器.reg_cdma_saic 改为3bit，修改reg_cdma_fab_arbitration描述</t>
    <phoneticPr fontId="24" type="noConversion"/>
  </si>
  <si>
    <t>reg_cdma_rx_ch_id</t>
    <phoneticPr fontId="24" type="noConversion"/>
  </si>
  <si>
    <t>reg_base_addr_regine13</t>
    <phoneticPr fontId="24" type="noConversion"/>
  </si>
  <si>
    <t>reg_base_addr_regine0</t>
    <phoneticPr fontId="24" type="noConversion"/>
  </si>
  <si>
    <t>h278</t>
    <phoneticPr fontId="24" type="noConversion"/>
  </si>
  <si>
    <t>CDMA_CSR_156</t>
    <phoneticPr fontId="24" type="noConversion"/>
  </si>
  <si>
    <t>CDMA_CSR_156_Setting</t>
    <phoneticPr fontId="24" type="noConversion"/>
  </si>
  <si>
    <t>reg_daf_msk</t>
    <phoneticPr fontId="24" type="noConversion"/>
  </si>
  <si>
    <t>reg_saf_msk</t>
    <phoneticPr fontId="24" type="noConversion"/>
  </si>
  <si>
    <t>reg_crc_error_msk</t>
    <phoneticPr fontId="24" type="noConversion"/>
  </si>
  <si>
    <t>Destination Address Filter Fail replay msk</t>
    <phoneticPr fontId="24" type="noConversion"/>
  </si>
  <si>
    <t>SA Address Filter Fail replay msk</t>
    <phoneticPr fontId="24" type="noConversion"/>
  </si>
  <si>
    <t>crc_error replay msk</t>
    <phoneticPr fontId="24" type="noConversion"/>
  </si>
  <si>
    <t>reg_error_summary_msk</t>
    <phoneticPr fontId="24" type="noConversion"/>
  </si>
  <si>
    <t>error_summary replay msk</t>
    <phoneticPr fontId="24" type="noConversion"/>
  </si>
  <si>
    <t>增加reg_daf_msk,reg_saf_msk,reg_crc_error_msk,reg_error_summary_msk 寄存器</t>
    <phoneticPr fontId="24" type="noConversion"/>
  </si>
  <si>
    <t>3.8</t>
    <phoneticPr fontId="24" type="noConversion"/>
  </si>
  <si>
    <t>h1c</t>
    <phoneticPr fontId="24" type="noConversion"/>
  </si>
  <si>
    <t>CDMA_CSR_6_1</t>
    <phoneticPr fontId="24" type="noConversion"/>
  </si>
  <si>
    <t>CDMA_CSR_6_1_Setting</t>
    <phoneticPr fontId="24" type="noConversion"/>
  </si>
  <si>
    <t>reg_wr_os_lmt_bypass</t>
    <phoneticPr fontId="24" type="noConversion"/>
  </si>
  <si>
    <t>reg_rd_os_lmt_bypass</t>
  </si>
  <si>
    <t>reg_rd_os_lmt_bypass</t>
    <phoneticPr fontId="24" type="noConversion"/>
  </si>
  <si>
    <t>reg_wr_os_lmt_bypass</t>
    <phoneticPr fontId="24" type="noConversion"/>
  </si>
  <si>
    <t>reg_rd_os_num</t>
    <phoneticPr fontId="24" type="noConversion"/>
  </si>
  <si>
    <t>reg_wr_os_num</t>
    <phoneticPr fontId="24" type="noConversion"/>
  </si>
  <si>
    <t>max rd_os_num</t>
    <phoneticPr fontId="24" type="noConversion"/>
  </si>
  <si>
    <t>max wr_os_num</t>
    <phoneticPr fontId="24" type="noConversion"/>
  </si>
  <si>
    <r>
      <t>h</t>
    </r>
    <r>
      <rPr>
        <sz val="11"/>
        <color theme="1"/>
        <rFont val="宋体"/>
        <family val="3"/>
        <charset val="134"/>
        <scheme val="minor"/>
      </rPr>
      <t>80</t>
    </r>
    <phoneticPr fontId="24" type="noConversion"/>
  </si>
  <si>
    <t>h80</t>
    <phoneticPr fontId="24" type="noConversion"/>
  </si>
  <si>
    <t>3.9</t>
    <phoneticPr fontId="24" type="noConversion"/>
  </si>
  <si>
    <t>增加reg_rd_os_lmt_bypass,reg_wr_os_lmt_bypass,reg_rd_os_num,reg_wr_os_num 寄存器</t>
    <phoneticPr fontId="24" type="noConversion"/>
  </si>
  <si>
    <t>4.0</t>
    <phoneticPr fontId="24" type="noConversion"/>
  </si>
  <si>
    <t>loosy_compress 与loosy_decompress指令 h wsize改为16bit,reg_tcp_rcv_buf_status,reg_tcp_rcv_buf_status默认值改为h80,reg_tcp_cpc 默认值改为1</t>
    <phoneticPr fontId="24" type="noConversion"/>
  </si>
  <si>
    <t>reg_perf_monitor_res_start_addr_l32</t>
    <phoneticPr fontId="24" type="noConversion"/>
  </si>
  <si>
    <t>reg_des_addr_l32</t>
    <phoneticPr fontId="24" type="noConversion"/>
  </si>
  <si>
    <t>h27c</t>
    <phoneticPr fontId="24" type="noConversion"/>
  </si>
  <si>
    <t>CDMA_CSR_157</t>
    <phoneticPr fontId="24" type="noConversion"/>
  </si>
  <si>
    <t>CDMA_CSR_157_Setting</t>
    <phoneticPr fontId="24" type="noConversion"/>
  </si>
  <si>
    <t>reg_are_cache</t>
    <phoneticPr fontId="24" type="noConversion"/>
  </si>
  <si>
    <t>h2</t>
    <phoneticPr fontId="24" type="noConversion"/>
  </si>
  <si>
    <t>when allreduce_enable,awcache</t>
    <phoneticPr fontId="24" type="noConversion"/>
  </si>
  <si>
    <t>4.1</t>
    <phoneticPr fontId="24" type="noConversion"/>
  </si>
  <si>
    <t>增加reg_are_cache寄存器</t>
    <phoneticPr fontId="24" type="noConversion"/>
  </si>
  <si>
    <t>sg2260</t>
    <phoneticPr fontId="44" type="noConversion"/>
  </si>
  <si>
    <t>gdma</t>
    <phoneticPr fontId="44" type="noConversion"/>
  </si>
  <si>
    <t>SW Module Name</t>
  </si>
  <si>
    <t>pclk</t>
  </si>
  <si>
    <t>Second Clock</t>
  </si>
  <si>
    <t>clk</t>
  </si>
  <si>
    <t>prst_b</t>
  </si>
  <si>
    <t>Second Reset</t>
  </si>
  <si>
    <t>rst_b</t>
  </si>
  <si>
    <t>Author</t>
  </si>
  <si>
    <t>lei.huang</t>
    <phoneticPr fontId="44" type="noConversion"/>
  </si>
  <si>
    <t>2023.09.12</t>
    <phoneticPr fontId="44" type="noConversion"/>
  </si>
  <si>
    <t>Instance Name</t>
  </si>
  <si>
    <t>Function</t>
  </si>
  <si>
    <t>shadow
ctrl</t>
  </si>
  <si>
    <t>cross 
clock</t>
  </si>
  <si>
    <t>cross
rst</t>
  </si>
  <si>
    <t>bypass</t>
  </si>
  <si>
    <t>one way</t>
  </si>
  <si>
    <t>read lock</t>
  </si>
  <si>
    <t>write lock</t>
  </si>
  <si>
    <t>array</t>
  </si>
  <si>
    <t>HW write</t>
  </si>
  <si>
    <t>h000</t>
    <phoneticPr fontId="44" type="noConversion"/>
  </si>
  <si>
    <t>h000</t>
  </si>
  <si>
    <t>ABORT_MODE</t>
  </si>
  <si>
    <t>Abort_mode</t>
  </si>
  <si>
    <t>reg_abort_mode</t>
    <phoneticPr fontId="44" type="noConversion"/>
  </si>
  <si>
    <t>reg_max_ostd</t>
    <phoneticPr fontId="44" type="noConversion"/>
  </si>
  <si>
    <t>max ostanding per client(less than 128)</t>
    <phoneticPr fontId="44" type="noConversion"/>
  </si>
  <si>
    <t>enable sw to overwirte max ostanding
0 : hw mode , max ostanding is 128
1 : sw mode , overwrite by reg_max_ostd</t>
    <phoneticPr fontId="44" type="noConversion"/>
  </si>
  <si>
    <t>h010</t>
  </si>
  <si>
    <t>NORM_STATUS0</t>
  </si>
  <si>
    <t>reg_abort_done</t>
    <phoneticPr fontId="44" type="noConversion"/>
  </si>
  <si>
    <t>Abort done flag</t>
  </si>
  <si>
    <t>reg_error_axi</t>
    <phoneticPr fontId="44" type="noConversion"/>
  </si>
  <si>
    <t>ro</t>
    <phoneticPr fontId="44" type="noConversion"/>
  </si>
  <si>
    <t>Error flag : AXI response error</t>
  </si>
  <si>
    <t>reg_error_id</t>
    <phoneticPr fontId="44" type="noConversion"/>
  </si>
  <si>
    <t>Error client ID</t>
  </si>
  <si>
    <t>reg_dma_version</t>
    <phoneticPr fontId="44" type="noConversion"/>
  </si>
  <si>
    <t>Date of latest update</t>
  </si>
  <si>
    <t>h014</t>
  </si>
  <si>
    <t>NORM_STATUS1</t>
  </si>
  <si>
    <t>ID status</t>
  </si>
  <si>
    <t>reg_id_idle</t>
    <phoneticPr fontId="44" type="noConversion"/>
  </si>
  <si>
    <t>h020</t>
  </si>
  <si>
    <t xml:space="preserve">NORM_PERF </t>
  </si>
  <si>
    <t>Performance</t>
  </si>
  <si>
    <t>Performance tuning</t>
  </si>
  <si>
    <t xml:space="preserve">reg_bwlwin </t>
    <phoneticPr fontId="44" type="noConversion"/>
  </si>
  <si>
    <t>Bandwidth limiter window size</t>
    <phoneticPr fontId="44" type="noConversion"/>
  </si>
  <si>
    <t xml:space="preserve">reg_bwltxn </t>
  </si>
  <si>
    <t>Bandwidth limiter transaction number</t>
  </si>
  <si>
    <t>h3</t>
    <phoneticPr fontId="44" type="noConversion"/>
  </si>
  <si>
    <t>arbiter usage threshold(use default value) [4,2]</t>
    <phoneticPr fontId="44" type="noConversion"/>
  </si>
  <si>
    <t>h180</t>
    <phoneticPr fontId="44" type="noConversion"/>
  </si>
  <si>
    <t>SYNC_FIFO_STATUS</t>
    <phoneticPr fontId="44" type="noConversion"/>
  </si>
  <si>
    <t>status</t>
    <phoneticPr fontId="44" type="noConversion"/>
  </si>
  <si>
    <t>prst_b</t>
    <phoneticPr fontId="44" type="noConversion"/>
  </si>
  <si>
    <t>reg_sync_fifo_usage0</t>
    <phoneticPr fontId="44" type="noConversion"/>
  </si>
  <si>
    <t>client0 sync fifo usage</t>
    <phoneticPr fontId="44" type="noConversion"/>
  </si>
  <si>
    <t>reg_sync_fifo_usage1</t>
    <phoneticPr fontId="44" type="noConversion"/>
  </si>
  <si>
    <t>client1 sync fifo usage</t>
    <phoneticPr fontId="44" type="noConversion"/>
  </si>
  <si>
    <t>reg_sync_fifo_usage2</t>
    <phoneticPr fontId="44" type="noConversion"/>
  </si>
  <si>
    <t>client2 sync fifo usage</t>
    <phoneticPr fontId="44" type="noConversion"/>
  </si>
  <si>
    <t>reg_sync_fifo_0_wr</t>
    <phoneticPr fontId="44" type="noConversion"/>
  </si>
  <si>
    <t>client0 sync fifo wr{rdy,vld}</t>
    <phoneticPr fontId="44" type="noConversion"/>
  </si>
  <si>
    <t>reg_sync_fifo_1_wr</t>
    <phoneticPr fontId="44" type="noConversion"/>
  </si>
  <si>
    <t>client1 sync fifo wr{rdy,vld}</t>
    <phoneticPr fontId="44" type="noConversion"/>
  </si>
  <si>
    <t>reg_sync_fifo_2_wr</t>
    <phoneticPr fontId="44" type="noConversion"/>
  </si>
  <si>
    <t>client2 sync fifo wr{rdy,vld}</t>
    <phoneticPr fontId="44" type="noConversion"/>
  </si>
  <si>
    <t>h184</t>
    <phoneticPr fontId="44" type="noConversion"/>
  </si>
  <si>
    <t>CACHE_DBG_SIGNAL</t>
    <phoneticPr fontId="44" type="noConversion"/>
  </si>
  <si>
    <t>cache_dbg_signal</t>
    <phoneticPr fontId="44" type="noConversion"/>
  </si>
  <si>
    <t>reg_cache_dbg_signal</t>
    <phoneticPr fontId="44" type="noConversion"/>
  </si>
  <si>
    <t>h0</t>
    <phoneticPr fontId="44" type="noConversion"/>
  </si>
  <si>
    <t>cache debug signal</t>
    <phoneticPr fontId="44" type="noConversion"/>
  </si>
  <si>
    <t>h188</t>
    <phoneticPr fontId="44" type="noConversion"/>
  </si>
  <si>
    <t>CACHE_DBG_SIGNAL_CTRL</t>
    <phoneticPr fontId="44" type="noConversion"/>
  </si>
  <si>
    <t>cache_dbg_signal_ctrl</t>
    <phoneticPr fontId="44" type="noConversion"/>
  </si>
  <si>
    <t>reg_cache_dbg_sel_en</t>
    <phoneticPr fontId="44" type="noConversion"/>
  </si>
  <si>
    <t>rw</t>
    <phoneticPr fontId="44" type="noConversion"/>
  </si>
  <si>
    <t>reg_cache_dbg_sel</t>
    <phoneticPr fontId="44" type="noConversion"/>
  </si>
  <si>
    <t>h18c</t>
    <phoneticPr fontId="44" type="noConversion"/>
  </si>
  <si>
    <t>RDMA_DBG_SEL</t>
    <phoneticPr fontId="44" type="noConversion"/>
  </si>
  <si>
    <t>rdma_dbg_sel</t>
    <phoneticPr fontId="44" type="noConversion"/>
  </si>
  <si>
    <t>reg_rdma_dbg_sel</t>
    <phoneticPr fontId="44" type="noConversion"/>
  </si>
  <si>
    <t>h190</t>
    <phoneticPr fontId="44" type="noConversion"/>
  </si>
  <si>
    <t>RDMA_DBG_SIG_H</t>
    <phoneticPr fontId="44" type="noConversion"/>
  </si>
  <si>
    <t>rdma_dbg_sig_h</t>
    <phoneticPr fontId="44" type="noConversion"/>
  </si>
  <si>
    <t>reg_rdma_dbg_sig_h</t>
    <phoneticPr fontId="44" type="noConversion"/>
  </si>
  <si>
    <t>h194</t>
    <phoneticPr fontId="44" type="noConversion"/>
  </si>
  <si>
    <t>RDMA_DBG_SIG_L</t>
    <phoneticPr fontId="44" type="noConversion"/>
  </si>
  <si>
    <t>rdma_dbg_sig_l</t>
    <phoneticPr fontId="44" type="noConversion"/>
  </si>
  <si>
    <t>reg_rdma_dbg_sig_l</t>
    <phoneticPr fontId="44" type="noConversion"/>
  </si>
  <si>
    <t>h198</t>
    <phoneticPr fontId="44" type="noConversion"/>
  </si>
  <si>
    <t>RDMA_ARQOS</t>
    <phoneticPr fontId="44" type="noConversion"/>
  </si>
  <si>
    <t>rdma_arqos</t>
    <phoneticPr fontId="44" type="noConversion"/>
  </si>
  <si>
    <t>reg_rdma_arqos_swen</t>
    <phoneticPr fontId="44" type="noConversion"/>
  </si>
  <si>
    <t>reg_rdma_arqos_value</t>
    <phoneticPr fontId="44" type="noConversion"/>
  </si>
  <si>
    <t>rdma_arqos_value</t>
    <phoneticPr fontId="44" type="noConversion"/>
  </si>
  <si>
    <t>h19c</t>
    <phoneticPr fontId="44" type="noConversion"/>
  </si>
  <si>
    <t>RDMA_OPT</t>
    <phoneticPr fontId="44" type="noConversion"/>
  </si>
  <si>
    <t>rdma_opt</t>
    <phoneticPr fontId="44" type="noConversion"/>
  </si>
  <si>
    <t>reg_arb_opt</t>
    <phoneticPr fontId="44" type="noConversion"/>
  </si>
  <si>
    <t>h1</t>
    <phoneticPr fontId="44" type="noConversion"/>
  </si>
  <si>
    <t>arb_opt</t>
    <phoneticPr fontId="44" type="noConversion"/>
  </si>
  <si>
    <t>// End</t>
  </si>
  <si>
    <t>wdma_core0</t>
  </si>
  <si>
    <t>wdma_core1</t>
  </si>
  <si>
    <t>wdma_core2</t>
  </si>
  <si>
    <t>h68020000</t>
  </si>
  <si>
    <t>h68022000</t>
  </si>
  <si>
    <t>h68024000</t>
  </si>
  <si>
    <t>reg_abort_mode</t>
  </si>
  <si>
    <t>dma abort : 1 abort 0: normal work mode</t>
    <phoneticPr fontId="44" type="noConversion"/>
  </si>
  <si>
    <t>h008</t>
  </si>
  <si>
    <t>DISABLE_SEGLEN</t>
  </si>
  <si>
    <t>Disable seglen</t>
  </si>
  <si>
    <t>reg_seglen_disable</t>
  </si>
  <si>
    <t>Disable seglen function and use ip_wlast to finish write dma
priority: sw=hw</t>
    <phoneticPr fontId="44" type="noConversion"/>
  </si>
  <si>
    <t>Error status</t>
  </si>
  <si>
    <t>reg_abort_done</t>
  </si>
  <si>
    <t>reg_error_axi</t>
  </si>
  <si>
    <t>reg_error_dmi</t>
  </si>
  <si>
    <t>Error flag : DMI transfer size mismatch</t>
  </si>
  <si>
    <t>reg_slot_full</t>
  </si>
  <si>
    <t>Warning flag : WDMA Slot buffer full</t>
  </si>
  <si>
    <t>reg_error_id</t>
  </si>
  <si>
    <t>reg_dma_version</t>
  </si>
  <si>
    <t>reg_id_idle</t>
  </si>
  <si>
    <t>reg_id_idle[id] : IDLE status of client id 
(WDMA has received all data from the client)</t>
  </si>
  <si>
    <t xml:space="preserve">reg_bwlwin </t>
  </si>
  <si>
    <t>Bandwidth limiter window size</t>
  </si>
  <si>
    <t>reg_qoso_th</t>
  </si>
  <si>
    <t>QoS only mode threshold</t>
  </si>
  <si>
    <t>reg_qoso_en</t>
  </si>
  <si>
    <t>QoS only mode enable</t>
  </si>
  <si>
    <t>4.2</t>
    <phoneticPr fontId="24" type="noConversion"/>
  </si>
  <si>
    <t>增加w/rdma寄存器表</t>
    <phoneticPr fontId="24" type="noConversion"/>
  </si>
  <si>
    <t>same subinst replay max times</t>
    <phoneticPr fontId="24" type="noConversion"/>
  </si>
  <si>
    <t>reg_perf_monitor_enable</t>
    <phoneticPr fontId="24" type="noConversion"/>
  </si>
  <si>
    <t>allreduce_enable</t>
    <phoneticPr fontId="24" type="noConversion"/>
  </si>
  <si>
    <t>reg_rcv_addr_h32</t>
    <phoneticPr fontId="24" type="noConversion"/>
  </si>
  <si>
    <t>reg_mtl_tx_max_payload</t>
    <phoneticPr fontId="24" type="noConversion"/>
  </si>
  <si>
    <t>h280</t>
    <phoneticPr fontId="24" type="noConversion"/>
  </si>
  <si>
    <t>CDMA_CSR_158</t>
    <phoneticPr fontId="24" type="noConversion"/>
  </si>
  <si>
    <t>CDMA_CSR_158_Setting</t>
    <phoneticPr fontId="24" type="noConversion"/>
  </si>
  <si>
    <r>
      <t>intr_</t>
    </r>
    <r>
      <rPr>
        <sz val="11"/>
        <color theme="1"/>
        <rFont val="宋体"/>
        <family val="3"/>
        <charset val="134"/>
        <scheme val="minor"/>
      </rPr>
      <t>rcv</t>
    </r>
    <r>
      <rPr>
        <sz val="11"/>
        <color theme="1"/>
        <rFont val="宋体"/>
        <family val="3"/>
        <charset val="134"/>
        <scheme val="minor"/>
      </rPr>
      <t>_done</t>
    </r>
    <phoneticPr fontId="24" type="noConversion"/>
  </si>
  <si>
    <t>0: interrupt generation is enabled
1: interrupt is masked.
Disable intr_rcv_done interrupt generation</t>
    <phoneticPr fontId="24" type="noConversion"/>
  </si>
  <si>
    <t>Interrupt Enable;if this bit is set, CPU COULD get interrupt when the instruction is finished 
0: disable interrupt
1: enable interrupt</t>
    <phoneticPr fontId="24" type="noConversion"/>
  </si>
  <si>
    <t>4.3</t>
    <phoneticPr fontId="24" type="noConversion"/>
  </si>
  <si>
    <t>增加rcv_done相关中断寄存器， general 指令增加相关位.</t>
    <phoneticPr fontId="24" type="noConversion"/>
  </si>
  <si>
    <t>intr_rcv_done_disable</t>
    <phoneticPr fontId="24" type="noConversion"/>
  </si>
  <si>
    <t>CDMA_CSR_159_Setting</t>
    <phoneticPr fontId="24" type="noConversion"/>
  </si>
  <si>
    <t>CDMA_CSR_159</t>
    <phoneticPr fontId="24" type="noConversion"/>
  </si>
  <si>
    <t>h284</t>
    <phoneticPr fontId="24" type="noConversion"/>
  </si>
  <si>
    <t>intr_rxch_rd_err</t>
    <phoneticPr fontId="24" type="noConversion"/>
  </si>
  <si>
    <t>intr_rxch_wr_err</t>
    <phoneticPr fontId="24" type="noConversion"/>
  </si>
  <si>
    <t>intr_txch_rd_err</t>
    <phoneticPr fontId="24" type="noConversion"/>
  </si>
  <si>
    <t>intr_txch_wr_err</t>
    <phoneticPr fontId="24" type="noConversion"/>
  </si>
  <si>
    <t>intr_rcv_err</t>
    <phoneticPr fontId="24" type="noConversion"/>
  </si>
  <si>
    <t>0: interrupt generation is enabled
1: interrupt is masked.
Disable intr_rxch_rd_err interrupt generation</t>
    <phoneticPr fontId="24" type="noConversion"/>
  </si>
  <si>
    <t>0: interrupt generation is enabled
1: interrupt is masked.
Disable intr_rxch_wr_err interrupt generation</t>
    <phoneticPr fontId="24" type="noConversion"/>
  </si>
  <si>
    <t>0: interrupt generation is enabled
1: interrupt is masked.
Disable intr_txch_rd_err interrupt generation</t>
    <phoneticPr fontId="24" type="noConversion"/>
  </si>
  <si>
    <t>0: interrupt generation is enabled
1: interrupt is masked.
Disable intr_txch_wr_err interrupt generation</t>
    <phoneticPr fontId="24" type="noConversion"/>
  </si>
  <si>
    <t>0: interrupt generation is enabled
1: interrupt is masked.
Disable intr_rcv_err interrupt generation</t>
    <phoneticPr fontId="24" type="noConversion"/>
  </si>
  <si>
    <t>4.4</t>
    <phoneticPr fontId="24" type="noConversion"/>
  </si>
  <si>
    <t>intr_rxch_rd_err_disable</t>
    <phoneticPr fontId="24" type="noConversion"/>
  </si>
  <si>
    <t>intr_rxch_wr_err_disable</t>
    <phoneticPr fontId="24" type="noConversion"/>
  </si>
  <si>
    <t>intr_txch_rd_err_disable</t>
    <phoneticPr fontId="24" type="noConversion"/>
  </si>
  <si>
    <t>intr_txch_wr_err_disable</t>
    <phoneticPr fontId="24" type="noConversion"/>
  </si>
  <si>
    <t>intr_rcv_err_disable</t>
    <phoneticPr fontId="24" type="noConversion"/>
  </si>
  <si>
    <t>intr_eth_cfg_err_disable</t>
    <phoneticPr fontId="24" type="noConversion"/>
  </si>
  <si>
    <t>0: interrupt generation is enabled
1: interrupt is masked.
Disable intr_eth_cfg_err interrupt generation</t>
    <phoneticPr fontId="24" type="noConversion"/>
  </si>
  <si>
    <t>h288</t>
    <phoneticPr fontId="24" type="noConversion"/>
  </si>
  <si>
    <t>CDMA_CSR_160</t>
    <phoneticPr fontId="24" type="noConversion"/>
  </si>
  <si>
    <t>CDMA_CSR_160_Setting</t>
    <phoneticPr fontId="24" type="noConversion"/>
  </si>
  <si>
    <t>eth_cfg_gate_bypass</t>
    <phoneticPr fontId="24" type="noConversion"/>
  </si>
  <si>
    <t>intr_eth_cfg_err</t>
    <phoneticPr fontId="24" type="noConversion"/>
  </si>
  <si>
    <t>增加intr_rxch_rd_err,intr_rxch_wr_err,intr_txch_rd_err,intr_txch_wr_err,intr_rcv_err，intr_eth_cfg_err相关中断寄存器与eth_cfg_gate_bypass寄存器</t>
    <phoneticPr fontId="24" type="noConversion"/>
  </si>
  <si>
    <t>h28c</t>
    <phoneticPr fontId="24" type="noConversion"/>
  </si>
  <si>
    <t>CDMA_CSR_161</t>
    <phoneticPr fontId="24" type="noConversion"/>
  </si>
  <si>
    <r>
      <t>CDMA_CSR_161_Setting</t>
    </r>
    <r>
      <rPr>
        <sz val="11"/>
        <color theme="1"/>
        <rFont val="宋体"/>
        <family val="2"/>
        <charset val="134"/>
        <scheme val="minor"/>
      </rPr>
      <t/>
    </r>
    <phoneticPr fontId="24" type="noConversion"/>
  </si>
  <si>
    <t>reg_start_rxeid</t>
    <phoneticPr fontId="24" type="noConversion"/>
  </si>
  <si>
    <t>reg_start_rxeid_updt</t>
    <phoneticPr fontId="24" type="noConversion"/>
  </si>
  <si>
    <t>updt this seqid when set start_rxeid_updt</t>
    <phoneticPr fontId="24" type="noConversion"/>
  </si>
  <si>
    <t>generate pulse to updt rxeid</t>
    <phoneticPr fontId="24" type="noConversion"/>
  </si>
  <si>
    <t>4.5</t>
    <phoneticPr fontId="24" type="noConversion"/>
  </si>
  <si>
    <t>增加 start_rxeid 相关寄存器</t>
    <phoneticPr fontId="24" type="noConversion"/>
  </si>
  <si>
    <t>4.6</t>
    <phoneticPr fontId="24" type="noConversion"/>
  </si>
  <si>
    <t>删除除write指令外的fill_constant</t>
    <phoneticPr fontId="24" type="noConversion"/>
  </si>
  <si>
    <t>reg_sendq_message_base_id</t>
    <phoneticPr fontId="24" type="noConversion"/>
  </si>
  <si>
    <t>reg_rcvq_message_base_id</t>
    <phoneticPr fontId="24" type="noConversion"/>
  </si>
  <si>
    <t>h290</t>
    <phoneticPr fontId="24" type="noConversion"/>
  </si>
  <si>
    <t>CDMA_CSR_162</t>
    <phoneticPr fontId="24" type="noConversion"/>
  </si>
  <si>
    <r>
      <t>CDMA_CSR_162_Setting</t>
    </r>
    <r>
      <rPr>
        <sz val="11"/>
        <color theme="1"/>
        <rFont val="宋体"/>
        <family val="2"/>
        <charset val="134"/>
        <scheme val="minor"/>
      </rPr>
      <t/>
    </r>
    <phoneticPr fontId="24" type="noConversion"/>
  </si>
  <si>
    <t>reg_pktcut_bypass</t>
    <phoneticPr fontId="24" type="noConversion"/>
  </si>
  <si>
    <t>4.7</t>
    <phoneticPr fontId="24" type="noConversion"/>
  </si>
  <si>
    <t>增加reg_pktcut_bypass寄存器， 删除reg_a4s_dst_id, 增加reg_sendq_message_base_id，reg_rcvq_message_base_id寄存器，删除reg_message_base_id寄存器， sys指令中wcnt,scnt改为7bit</t>
    <phoneticPr fontId="24" type="noConversion"/>
  </si>
  <si>
    <t>cdma_wdma_core</t>
    <phoneticPr fontId="44" type="noConversion"/>
  </si>
  <si>
    <t xml:space="preserve">SHADOW_RD_SEL  </t>
  </si>
  <si>
    <t>Shadow ctrl</t>
  </si>
  <si>
    <t>reg_shadow_rd_sel</t>
  </si>
  <si>
    <t>h1</t>
  </si>
  <si>
    <t>Shadow reg read select
0 : read active reg
1 : read shadow reg</t>
  </si>
  <si>
    <t>h004</t>
  </si>
  <si>
    <t>IP_DISABLE</t>
  </si>
  <si>
    <t>IP Disable</t>
  </si>
  <si>
    <t>reg_ip_disable</t>
  </si>
  <si>
    <t>Disable IP</t>
  </si>
  <si>
    <t>h00c</t>
  </si>
  <si>
    <t>UP_RING_BASE</t>
  </si>
  <si>
    <t>update ring buffer base</t>
  </si>
  <si>
    <t>reg_up_ring_base</t>
  </si>
  <si>
    <t>w1p</t>
  </si>
  <si>
    <t>h1f</t>
  </si>
  <si>
    <t>h0703</t>
  </si>
  <si>
    <t>h018</t>
  </si>
  <si>
    <t>RING_BUFFER_EN</t>
  </si>
  <si>
    <t>Enable ring buffer</t>
  </si>
  <si>
    <t>reg_ring_enable</t>
  </si>
  <si>
    <t>reg_mode_sel</t>
    <phoneticPr fontId="44" type="noConversion"/>
  </si>
  <si>
    <t>0: ostd 128/burst len 4  1: ostd 32/burst len 16</t>
    <phoneticPr fontId="44" type="noConversion"/>
  </si>
  <si>
    <t>h028</t>
  </si>
  <si>
    <t>RING_PATCH_ENABLE</t>
  </si>
  <si>
    <t>ring_patch_enable</t>
  </si>
  <si>
    <t>reg_ring_patch_enable</t>
  </si>
  <si>
    <t>h02c</t>
  </si>
  <si>
    <t>SET_RING_BASE</t>
  </si>
  <si>
    <t>set_ring_base</t>
  </si>
  <si>
    <t>reg_set_ring_base</t>
  </si>
  <si>
    <t>it's work if reg_ring_patch_enable = 1</t>
  </si>
  <si>
    <t>h030</t>
  </si>
  <si>
    <t>RING_BASE_ADDR_L</t>
  </si>
  <si>
    <t>ring_base_addr_l</t>
  </si>
  <si>
    <t>reg_ring_base_l</t>
  </si>
  <si>
    <t>h034</t>
  </si>
  <si>
    <t>RING_BASE_ADDR_H</t>
  </si>
  <si>
    <t>ring_base_addr_h</t>
  </si>
  <si>
    <t>reg_ring_base_h</t>
  </si>
  <si>
    <t>h080</t>
  </si>
  <si>
    <t>RING_BUFFER_SIZE0</t>
  </si>
  <si>
    <t>Ring Buffer Size0</t>
  </si>
  <si>
    <t>reg_rbuf_size0</t>
  </si>
  <si>
    <t>ring buffer size for client0</t>
  </si>
  <si>
    <t>h084</t>
  </si>
  <si>
    <t>RING_BUFFER_SIZE1</t>
  </si>
  <si>
    <t>Ring Buffer Size1</t>
  </si>
  <si>
    <t>reg_rbuf_size1</t>
  </si>
  <si>
    <t>ring buffer size for client1</t>
  </si>
  <si>
    <t>h088</t>
  </si>
  <si>
    <t>RING_BUFFER_SIZE2</t>
  </si>
  <si>
    <t>Ring Buffer Size2</t>
  </si>
  <si>
    <t>reg_rbuf_size2</t>
  </si>
  <si>
    <t>ring buffer size for client2</t>
  </si>
  <si>
    <t>h08c</t>
  </si>
  <si>
    <t>RING_BUFFER_SIZE3</t>
  </si>
  <si>
    <t>Ring Buffer Size3</t>
  </si>
  <si>
    <t>reg_rbuf_size3</t>
  </si>
  <si>
    <t>ring buffer size for client3</t>
  </si>
  <si>
    <t>h090</t>
  </si>
  <si>
    <t>RING_BUFFER_SIZE4</t>
  </si>
  <si>
    <t>Ring Buffer Size4</t>
  </si>
  <si>
    <t>reg_rbuf_size4</t>
  </si>
  <si>
    <t>ring buffer size for client4</t>
  </si>
  <si>
    <t>h094</t>
  </si>
  <si>
    <t>RING_BUFFER_SIZE5</t>
  </si>
  <si>
    <t>Ring Buffer Size5</t>
  </si>
  <si>
    <t>reg_rbuf_size5</t>
  </si>
  <si>
    <t>ring buffer size for client5</t>
  </si>
  <si>
    <t>h098</t>
  </si>
  <si>
    <t>RING_BUFFER_SIZE6</t>
  </si>
  <si>
    <t>Ring Buffer Size6</t>
  </si>
  <si>
    <t>reg_rbuf_size6</t>
  </si>
  <si>
    <t>ring buffer size for client6</t>
  </si>
  <si>
    <t>h09c</t>
  </si>
  <si>
    <t>RING_BUFFER_SIZE7</t>
  </si>
  <si>
    <t>Ring Buffer Size7</t>
  </si>
  <si>
    <t>reg_rbuf_size7</t>
  </si>
  <si>
    <t>ring buffer size for client7</t>
  </si>
  <si>
    <t>h0a0</t>
  </si>
  <si>
    <t>RING_BUFFER_SIZE8</t>
  </si>
  <si>
    <t>Ring Buffer Size8</t>
  </si>
  <si>
    <t>reg_rbuf_size8</t>
  </si>
  <si>
    <t>ring buffer size for client8</t>
  </si>
  <si>
    <t>h0a4</t>
  </si>
  <si>
    <t>RING_BUFFER_SIZE9</t>
  </si>
  <si>
    <t>Ring Buffer Size9</t>
  </si>
  <si>
    <t>reg_rbuf_size9</t>
  </si>
  <si>
    <t>ring buffer size for client9</t>
  </si>
  <si>
    <t>h0a8</t>
  </si>
  <si>
    <t>RING_BUFFER_SIZE10</t>
  </si>
  <si>
    <t>Ring Buffer Size10</t>
  </si>
  <si>
    <t>reg_rbuf_size10</t>
  </si>
  <si>
    <t>ring buffer size for client10</t>
  </si>
  <si>
    <t>h0ac</t>
  </si>
  <si>
    <t>RING_BUFFER_SIZE11</t>
  </si>
  <si>
    <t>Ring Buffer Size11</t>
  </si>
  <si>
    <t>reg_rbuf_size11</t>
  </si>
  <si>
    <t>ring buffer size for client11</t>
  </si>
  <si>
    <t>h0b0</t>
  </si>
  <si>
    <t>RING_BUFFER_SIZE12</t>
  </si>
  <si>
    <t>Ring Buffer Size12</t>
  </si>
  <si>
    <t>reg_rbuf_size12</t>
  </si>
  <si>
    <t>ring buffer size for client12</t>
  </si>
  <si>
    <t>h0b4</t>
  </si>
  <si>
    <t>RING_BUFFER_SIZE13</t>
  </si>
  <si>
    <t>Ring Buffer Size13</t>
  </si>
  <si>
    <t>reg_rbuf_size13</t>
  </si>
  <si>
    <t>ring buffer size for client13</t>
  </si>
  <si>
    <t>h0b8</t>
  </si>
  <si>
    <t>RING_BUFFER_SIZE14</t>
  </si>
  <si>
    <t>Ring Buffer Size14</t>
  </si>
  <si>
    <t>reg_rbuf_size14</t>
  </si>
  <si>
    <t>ring buffer size for client14</t>
  </si>
  <si>
    <t>h0bc</t>
  </si>
  <si>
    <t>RING_BUFFER_SIZE15</t>
  </si>
  <si>
    <t>Ring Buffer Size15</t>
  </si>
  <si>
    <t>reg_rbuf_size15</t>
  </si>
  <si>
    <t>ring buffer size for client15</t>
  </si>
  <si>
    <t>h0c0</t>
  </si>
  <si>
    <t>RING_BUFFER_SIZE16</t>
  </si>
  <si>
    <t>Ring Buffer Size16</t>
  </si>
  <si>
    <t>reg_rbuf_size16</t>
  </si>
  <si>
    <t>ring buffer size for client16</t>
  </si>
  <si>
    <t>h0c4</t>
  </si>
  <si>
    <t>RING_BUFFER_SIZE17</t>
  </si>
  <si>
    <t>Ring Buffer Size17</t>
  </si>
  <si>
    <t>reg_rbuf_size17</t>
  </si>
  <si>
    <t>ring buffer size for client17</t>
  </si>
  <si>
    <t>h0c8</t>
  </si>
  <si>
    <t>RING_BUFFER_SIZE18</t>
  </si>
  <si>
    <t>Ring Buffer Size18</t>
  </si>
  <si>
    <t>reg_rbuf_size18</t>
  </si>
  <si>
    <t>ring buffer size for client18</t>
  </si>
  <si>
    <t>h0cc</t>
  </si>
  <si>
    <t>RING_BUFFER_SIZE19</t>
  </si>
  <si>
    <t>Ring Buffer Size19</t>
  </si>
  <si>
    <t>reg_rbuf_size19</t>
  </si>
  <si>
    <t>ring buffer size for client19</t>
  </si>
  <si>
    <t>h0d0</t>
  </si>
  <si>
    <t>RING_BUFFER_SIZE20</t>
  </si>
  <si>
    <t>Ring Buffer Size20</t>
  </si>
  <si>
    <t>reg_rbuf_size20</t>
  </si>
  <si>
    <t>ring buffer size for client20</t>
  </si>
  <si>
    <t>h0d4</t>
  </si>
  <si>
    <t>RING_BUFFER_SIZE21</t>
  </si>
  <si>
    <t>Ring Buffer Size21</t>
  </si>
  <si>
    <t>reg_rbuf_size21</t>
  </si>
  <si>
    <t>ring buffer size for client21</t>
  </si>
  <si>
    <t>h0d8</t>
  </si>
  <si>
    <t>RING_BUFFER_SIZE22</t>
  </si>
  <si>
    <t>Ring Buffer Size22</t>
  </si>
  <si>
    <t>reg_rbuf_size22</t>
  </si>
  <si>
    <t>ring buffer size for client22</t>
  </si>
  <si>
    <t>h0dc</t>
  </si>
  <si>
    <t>RING_BUFFER_SIZE23</t>
  </si>
  <si>
    <t>Ring Buffer Size23</t>
  </si>
  <si>
    <t>reg_rbuf_size23</t>
  </si>
  <si>
    <t>ring buffer size for client23</t>
  </si>
  <si>
    <t>h0e0</t>
  </si>
  <si>
    <t>RING_BUFFER_SIZE24</t>
  </si>
  <si>
    <t>Ring Buffer Size24</t>
  </si>
  <si>
    <t>reg_rbuf_size24</t>
  </si>
  <si>
    <t>ring buffer size for client24</t>
  </si>
  <si>
    <t>h0e4</t>
  </si>
  <si>
    <t>RING_BUFFER_SIZE25</t>
  </si>
  <si>
    <t>Ring Buffer Size25</t>
  </si>
  <si>
    <t>reg_rbuf_size25</t>
  </si>
  <si>
    <t>ring buffer size for client25</t>
  </si>
  <si>
    <t>h0e8</t>
  </si>
  <si>
    <t>RING_BUFFER_SIZE26</t>
  </si>
  <si>
    <t>Ring Buffer Size26</t>
  </si>
  <si>
    <t>reg_rbuf_size26</t>
  </si>
  <si>
    <t>ring buffer size for client26</t>
  </si>
  <si>
    <t>h0ec</t>
  </si>
  <si>
    <t>RING_BUFFER_SIZE27</t>
  </si>
  <si>
    <t>Ring Buffer Size27</t>
  </si>
  <si>
    <t>reg_rbuf_size27</t>
  </si>
  <si>
    <t>ring buffer size for client27</t>
  </si>
  <si>
    <t>h0f0</t>
  </si>
  <si>
    <t>RING_BUFFER_SIZE28</t>
  </si>
  <si>
    <t>Ring Buffer Size28</t>
  </si>
  <si>
    <t>reg_rbuf_size28</t>
  </si>
  <si>
    <t>ring buffer size for client28</t>
  </si>
  <si>
    <t>h0f4</t>
  </si>
  <si>
    <t>RING_BUFFER_SIZE29</t>
  </si>
  <si>
    <t>Ring Buffer Size29</t>
  </si>
  <si>
    <t>reg_rbuf_size29</t>
  </si>
  <si>
    <t>ring buffer size for client29</t>
  </si>
  <si>
    <t>h0f8</t>
  </si>
  <si>
    <t>RING_BUFFER_SIZE30</t>
  </si>
  <si>
    <t>Ring Buffer Size30</t>
  </si>
  <si>
    <t>reg_rbuf_size30</t>
  </si>
  <si>
    <t>ring buffer size for client30</t>
  </si>
  <si>
    <t>h0fc</t>
  </si>
  <si>
    <t>RING_BUFFER_SIZE31</t>
  </si>
  <si>
    <t>Ring Buffer Size31</t>
  </si>
  <si>
    <t>reg_rbuf_size31</t>
  </si>
  <si>
    <t>ring buffer size for client31</t>
  </si>
  <si>
    <t>h100</t>
  </si>
  <si>
    <t>NEXT_DMA_ADDR_STS0</t>
  </si>
  <si>
    <t>reg_next_dma_addr0</t>
  </si>
  <si>
    <t>next dma burst address status</t>
  </si>
  <si>
    <t>h104</t>
  </si>
  <si>
    <t>NEXT_DMA_ADDR_STS1</t>
  </si>
  <si>
    <t>reg_next_dma_addr1</t>
  </si>
  <si>
    <t>h108</t>
  </si>
  <si>
    <t>NEXT_DMA_ADDR_STS2</t>
  </si>
  <si>
    <t>reg_next_dma_addr2</t>
  </si>
  <si>
    <t>h10c</t>
  </si>
  <si>
    <t>NEXT_DMA_ADDR_STS3</t>
  </si>
  <si>
    <t>reg_next_dma_addr3</t>
  </si>
  <si>
    <t>h110</t>
  </si>
  <si>
    <t>NEXT_DMA_ADDR_STS4</t>
  </si>
  <si>
    <t>reg_next_dma_addr4</t>
  </si>
  <si>
    <t>h114</t>
  </si>
  <si>
    <t>NEXT_DMA_ADDR_STS5</t>
  </si>
  <si>
    <t>reg_next_dma_addr5</t>
  </si>
  <si>
    <t>h118</t>
  </si>
  <si>
    <t>NEXT_DMA_ADDR_STS6</t>
  </si>
  <si>
    <t>reg_next_dma_addr6</t>
  </si>
  <si>
    <t>h11c</t>
  </si>
  <si>
    <t>NEXT_DMA_ADDR_STS7</t>
  </si>
  <si>
    <t>reg_next_dma_addr7</t>
  </si>
  <si>
    <t>h120</t>
  </si>
  <si>
    <t>NEXT_DMA_ADDR_STS8</t>
  </si>
  <si>
    <t>reg_next_dma_addr8</t>
  </si>
  <si>
    <t>h124</t>
  </si>
  <si>
    <t>NEXT_DMA_ADDR_STS9</t>
  </si>
  <si>
    <t>reg_next_dma_addr9</t>
  </si>
  <si>
    <t>h128</t>
  </si>
  <si>
    <t>NEXT_DMA_ADDR_STS10</t>
  </si>
  <si>
    <t>reg_next_dma_addr10</t>
  </si>
  <si>
    <t>h12c</t>
  </si>
  <si>
    <t>NEXT_DMA_ADDR_STS11</t>
  </si>
  <si>
    <t>reg_next_dma_addr11</t>
  </si>
  <si>
    <t>h130</t>
  </si>
  <si>
    <t>NEXT_DMA_ADDR_STS12</t>
  </si>
  <si>
    <t>reg_next_dma_addr12</t>
  </si>
  <si>
    <t>h134</t>
  </si>
  <si>
    <t>NEXT_DMA_ADDR_STS13</t>
  </si>
  <si>
    <t>reg_next_dma_addr13</t>
  </si>
  <si>
    <t>h138</t>
  </si>
  <si>
    <t>NEXT_DMA_ADDR_STS14</t>
  </si>
  <si>
    <t>reg_next_dma_addr14</t>
  </si>
  <si>
    <t>h13c</t>
  </si>
  <si>
    <t>NEXT_DMA_ADDR_STS15</t>
  </si>
  <si>
    <t>reg_next_dma_addr15</t>
  </si>
  <si>
    <t>h140</t>
  </si>
  <si>
    <t>NEXT_DMA_ADDR_STS16</t>
  </si>
  <si>
    <t>reg_next_dma_addr16</t>
  </si>
  <si>
    <t>h144</t>
  </si>
  <si>
    <t>NEXT_DMA_ADDR_STS17</t>
  </si>
  <si>
    <t>reg_next_dma_addr17</t>
  </si>
  <si>
    <t>h148</t>
  </si>
  <si>
    <t>NEXT_DMA_ADDR_STS18</t>
  </si>
  <si>
    <t>reg_next_dma_addr18</t>
  </si>
  <si>
    <t>h14c</t>
  </si>
  <si>
    <t>NEXT_DMA_ADDR_STS19</t>
  </si>
  <si>
    <t>reg_next_dma_addr19</t>
  </si>
  <si>
    <t>h150</t>
  </si>
  <si>
    <t>NEXT_DMA_ADDR_STS20</t>
  </si>
  <si>
    <t>reg_next_dma_addr20</t>
  </si>
  <si>
    <t>h154</t>
  </si>
  <si>
    <t>NEXT_DMA_ADDR_STS21</t>
  </si>
  <si>
    <t>reg_next_dma_addr21</t>
  </si>
  <si>
    <t>h158</t>
  </si>
  <si>
    <t>NEXT_DMA_ADDR_STS22</t>
  </si>
  <si>
    <t>reg_next_dma_addr22</t>
  </si>
  <si>
    <t>h15c</t>
  </si>
  <si>
    <t>NEXT_DMA_ADDR_STS23</t>
  </si>
  <si>
    <t>reg_next_dma_addr23</t>
  </si>
  <si>
    <t>h160</t>
  </si>
  <si>
    <t>NEXT_DMA_ADDR_STS24</t>
  </si>
  <si>
    <t>reg_next_dma_addr24</t>
  </si>
  <si>
    <t>h164</t>
  </si>
  <si>
    <t>NEXT_DMA_ADDR_STS25</t>
  </si>
  <si>
    <t>reg_next_dma_addr25</t>
  </si>
  <si>
    <t>h168</t>
  </si>
  <si>
    <t>NEXT_DMA_ADDR_STS26</t>
  </si>
  <si>
    <t>reg_next_dma_addr26</t>
  </si>
  <si>
    <t>h16c</t>
  </si>
  <si>
    <t>NEXT_DMA_ADDR_STS27</t>
  </si>
  <si>
    <t>reg_next_dma_addr27</t>
  </si>
  <si>
    <t>h170</t>
  </si>
  <si>
    <t>NEXT_DMA_ADDR_STS28</t>
  </si>
  <si>
    <t>reg_next_dma_addr28</t>
  </si>
  <si>
    <t>h174</t>
  </si>
  <si>
    <t>NEXT_DMA_ADDR_STS29</t>
  </si>
  <si>
    <t>reg_next_dma_addr29</t>
  </si>
  <si>
    <t>h178</t>
  </si>
  <si>
    <t>NEXT_DMA_ADDR_STS30</t>
  </si>
  <si>
    <t>reg_next_dma_addr30</t>
  </si>
  <si>
    <t>h17c</t>
  </si>
  <si>
    <t>NEXT_DMA_ADDR_STS31</t>
  </si>
  <si>
    <t>reg_next_dma_addr31</t>
  </si>
  <si>
    <t>rdma_core</t>
  </si>
  <si>
    <t>rdma_core0</t>
  </si>
  <si>
    <t>rdma_core1</t>
  </si>
  <si>
    <t>h68072000</t>
  </si>
  <si>
    <t>h68074000</t>
  </si>
  <si>
    <t>Shadow reg read select
0 : read active reg
1 : read shadow reg</t>
    <phoneticPr fontId="44" type="noConversion"/>
  </si>
  <si>
    <t>MAX_OSTD</t>
  </si>
  <si>
    <t>Max_ostd</t>
  </si>
  <si>
    <t>h2</t>
  </si>
  <si>
    <t>MAX_OSTD_SW_ENABLE</t>
  </si>
  <si>
    <t>Ostd_sw_enable</t>
  </si>
  <si>
    <t>reg_ostd_sw_en</t>
  </si>
  <si>
    <t>Status</t>
  </si>
  <si>
    <t>h0423</t>
  </si>
  <si>
    <t>reg_id_idle[id] : idle status of client id 
(RDMA is not active or it has transferred all data to the client)</t>
  </si>
  <si>
    <t>h024</t>
  </si>
  <si>
    <t>AR_PRIORITY_SEL</t>
  </si>
  <si>
    <t>ar_priority_sel</t>
  </si>
  <si>
    <t>reg_ar_priority_sel</t>
  </si>
  <si>
    <t>0 : selected by max total burst cnt
1 : selected by max remain cnt</t>
  </si>
  <si>
    <t>QOS_PRIORITY_SEL</t>
  </si>
  <si>
    <t>qos_priority_sel</t>
  </si>
  <si>
    <t>reg_qos_priority_sel</t>
  </si>
  <si>
    <t>0 : selected by remain slot number
1 : selected by max remain cnt</t>
  </si>
  <si>
    <t>ARB_HIST_DIS</t>
  </si>
  <si>
    <t>arb_hist_dis</t>
  </si>
  <si>
    <t>reg_arb_hist_disable</t>
  </si>
  <si>
    <t>arbiter hist_disable</t>
  </si>
  <si>
    <t>ARB_USAGE_TH</t>
  </si>
  <si>
    <t>arb_usage_th</t>
  </si>
  <si>
    <t>reg_arb_usage_th</t>
  </si>
  <si>
    <t>cache_dbg_sel_en</t>
  </si>
  <si>
    <t>cache_dbg_sel</t>
  </si>
  <si>
    <t>更新wdma rdma 寄存器</t>
    <phoneticPr fontId="24" type="noConversion"/>
  </si>
  <si>
    <t>CDMA_CSR_163</t>
    <phoneticPr fontId="24" type="noConversion"/>
  </si>
  <si>
    <r>
      <t>CDMA_CSR_163_Setting</t>
    </r>
    <r>
      <rPr>
        <sz val="11"/>
        <color theme="1"/>
        <rFont val="宋体"/>
        <family val="2"/>
        <charset val="134"/>
        <scheme val="minor"/>
      </rPr>
      <t/>
    </r>
    <phoneticPr fontId="24" type="noConversion"/>
  </si>
  <si>
    <t>CDMA_CSR_164</t>
    <phoneticPr fontId="24" type="noConversion"/>
  </si>
  <si>
    <r>
      <t>CDMA_CSR_164_Setting</t>
    </r>
    <r>
      <rPr>
        <sz val="11"/>
        <color theme="1"/>
        <rFont val="宋体"/>
        <family val="2"/>
        <charset val="134"/>
        <scheme val="minor"/>
      </rPr>
      <t/>
    </r>
    <phoneticPr fontId="24" type="noConversion"/>
  </si>
  <si>
    <t>h294</t>
    <phoneticPr fontId="24" type="noConversion"/>
  </si>
  <si>
    <t>h298</t>
    <phoneticPr fontId="24" type="noConversion"/>
  </si>
  <si>
    <t>reg_replay_cnt_dbg</t>
    <phoneticPr fontId="24" type="noConversion"/>
  </si>
  <si>
    <t>reg_timeout_cnt_dbg</t>
    <phoneticPr fontId="24" type="noConversion"/>
  </si>
  <si>
    <t>reg_timeout_cnt for debug</t>
    <phoneticPr fontId="24" type="noConversion"/>
  </si>
  <si>
    <t>reg_replay_cnt for debug</t>
    <phoneticPr fontId="24" type="noConversion"/>
  </si>
  <si>
    <t>新增reg_replay_cnt_dbg，reg_timeout_cnt_dbg</t>
    <phoneticPr fontId="24" type="noConversion"/>
  </si>
  <si>
    <t>h29c</t>
    <phoneticPr fontId="24" type="noConversion"/>
  </si>
  <si>
    <t>CDMA_CSR_165</t>
    <phoneticPr fontId="24" type="noConversion"/>
  </si>
  <si>
    <r>
      <t>CDMA_CSR_165_Setting</t>
    </r>
    <r>
      <rPr>
        <sz val="11"/>
        <color theme="1"/>
        <rFont val="宋体"/>
        <family val="2"/>
        <charset val="134"/>
        <scheme val="minor"/>
      </rPr>
      <t/>
    </r>
    <phoneticPr fontId="24" type="noConversion"/>
  </si>
  <si>
    <t>breperr_sys_bypass</t>
    <phoneticPr fontId="24" type="noConversion"/>
  </si>
  <si>
    <t>开启bypss后reponse monitor中bresperr 在检测到sys_rx指令时仍会发送中断</t>
    <phoneticPr fontId="24" type="noConversion"/>
  </si>
  <si>
    <t>新增breperr_sys_bypass寄存器</t>
    <phoneticPr fontId="24" type="noConversion"/>
  </si>
  <si>
    <t>注：目前cdma不支持mpu feature，对此寄存器不进行读写操作</t>
    <phoneticPr fontId="24" type="noConversion"/>
  </si>
  <si>
    <t>cmda删除mpu feature， 修改相关寄存器描述</t>
    <phoneticPr fontId="24" type="noConversion"/>
  </si>
  <si>
    <t>reg_base_addr_regine25</t>
    <phoneticPr fontId="24" type="noConversion"/>
  </si>
  <si>
    <t>include the number of descriptor</t>
    <phoneticPr fontId="24" type="noConversion"/>
  </si>
  <si>
    <t>表示可以接受ethernet frame  
0: disable ethernet function
1: enable ethernet function
配0时表示 cdma处于pcie_mode, 配1时表示cdma可以接受ethernet frame，通过reg_hw_replay_en可以确定cdma处于nomal_mode 还是 tcp_mode
2260E只支持配0</t>
    <phoneticPr fontId="24" type="noConversion"/>
  </si>
  <si>
    <r>
      <t xml:space="preserve">1:disable clk gate 0:enable clk gate
[0]:aclk
</t>
    </r>
    <r>
      <rPr>
        <u val="double"/>
        <sz val="11"/>
        <color theme="1"/>
        <rFont val="宋体"/>
        <family val="3"/>
        <charset val="134"/>
        <scheme val="minor"/>
      </rPr>
      <t xml:space="preserve">[1]:aclk_mac
[2]:tcp_send_clk
[3]:tcp_rcv_clk
</t>
    </r>
    <r>
      <rPr>
        <sz val="11"/>
        <color theme="1"/>
        <rFont val="宋体"/>
        <family val="3"/>
        <charset val="134"/>
        <scheme val="minor"/>
      </rPr>
      <t>只有[0]有效</t>
    </r>
    <r>
      <rPr>
        <u val="double"/>
        <sz val="11"/>
        <color theme="1"/>
        <rFont val="宋体"/>
        <family val="3"/>
        <charset val="134"/>
        <scheme val="minor"/>
      </rPr>
      <t xml:space="preserve">
</t>
    </r>
    <phoneticPr fontId="24" type="noConversion"/>
  </si>
  <si>
    <r>
      <t xml:space="preserve">bypass sys_pause engine
[0]:m_des_axi
[1]:m0_data_axi
[2]:m1_rcv_axi
</t>
    </r>
    <r>
      <rPr>
        <u val="double"/>
        <sz val="11"/>
        <color theme="1"/>
        <rFont val="宋体"/>
        <family val="3"/>
        <charset val="134"/>
        <scheme val="minor"/>
      </rPr>
      <t xml:space="preserve">[3]:m2_txch_axi
[4]:m3_rxch_axi
</t>
    </r>
    <r>
      <rPr>
        <sz val="11"/>
        <color theme="1"/>
        <rFont val="宋体"/>
        <family val="3"/>
        <charset val="134"/>
        <scheme val="minor"/>
      </rPr>
      <t>只有[2:0]有效</t>
    </r>
    <phoneticPr fontId="24" type="noConversion"/>
  </si>
  <si>
    <r>
      <t xml:space="preserve">sys_pause done,software can reset cdma
[0]:m_des_axi
[1]:m0_data_axi
[2]:m1_rcv_axi
</t>
    </r>
    <r>
      <rPr>
        <u val="double"/>
        <sz val="11"/>
        <color theme="1"/>
        <rFont val="宋体"/>
        <family val="3"/>
        <charset val="134"/>
        <scheme val="minor"/>
      </rPr>
      <t>[3]:m2_txch_axi
[4]:m3_rxch_axi</t>
    </r>
    <r>
      <rPr>
        <sz val="11"/>
        <color theme="1"/>
        <rFont val="宋体"/>
        <family val="3"/>
        <charset val="134"/>
        <scheme val="minor"/>
      </rPr>
      <t xml:space="preserve">
只有[2:0]有效</t>
    </r>
    <phoneticPr fontId="24" type="noConversion"/>
  </si>
  <si>
    <t>when cmd_special_function==sys_tr_wr, this field means constant value low 32bits;
when cmd special function==sys_msg_send,this field means {9'd0,wcnt(7bit)，6'd0，message_id(10bit)};
when cmd special function==sys_msg_wait,this field means{9'd0,scnt(7bit),6’d0，message_id(10bit)}</t>
    <phoneticPr fontId="24" type="noConversion"/>
  </si>
  <si>
    <t>1:disable clk gate 0:enable clk gate
[0]:aclk
[1]:aclk_mac
[2]:tcp_send_clk
[3]:tcp_rcv_clk
只有[0]有效</t>
    <phoneticPr fontId="24" type="noConversion"/>
  </si>
  <si>
    <t>source blob start address[44:32]</t>
    <phoneticPr fontId="24" type="noConversion"/>
  </si>
  <si>
    <t>destination blob start address[44:32]</t>
    <phoneticPr fontId="24" type="noConversion"/>
  </si>
  <si>
    <t xml:space="preserve">addr eq addr[49:41] </t>
    <phoneticPr fontId="24" type="noConversion"/>
  </si>
  <si>
    <t>unsigned number; Source blob H stride</t>
    <phoneticPr fontId="24" type="noConversion"/>
  </si>
  <si>
    <t>unsigned number.desitination blob C stride</t>
    <phoneticPr fontId="24" type="noConversion"/>
  </si>
  <si>
    <t>unsigned number. Source blob C stride</t>
    <phoneticPr fontId="24" type="noConversion"/>
  </si>
  <si>
    <t>index addr [31:0]</t>
    <phoneticPr fontId="24" type="noConversion"/>
  </si>
  <si>
    <t>index addr [49:40]</t>
    <phoneticPr fontId="24" type="noConversion"/>
  </si>
  <si>
    <t>message enable</t>
    <phoneticPr fontId="24" type="noConversion"/>
  </si>
  <si>
    <t>链表格式</t>
    <phoneticPr fontId="24" type="noConversion"/>
  </si>
  <si>
    <t>phy addr(48bit)</t>
    <phoneticPr fontId="24" type="noConversion"/>
  </si>
  <si>
    <t>length(16bit)</t>
    <phoneticPr fontId="24" type="noConversion"/>
  </si>
  <si>
    <t>index_list_addr_h13</t>
    <phoneticPr fontId="24" type="noConversion"/>
  </si>
  <si>
    <t>index_list_addr_l32</t>
    <phoneticPr fontId="24" type="noConversion"/>
  </si>
  <si>
    <t>index_list_addr_ext_h10</t>
    <phoneticPr fontId="24" type="noConversion"/>
  </si>
  <si>
    <t>index_list_num</t>
    <phoneticPr fontId="24" type="noConversion"/>
  </si>
  <si>
    <t>contiguous_src_addr_h13</t>
    <phoneticPr fontId="24" type="noConversion"/>
  </si>
  <si>
    <t>contiguous_dst_addr_add_h10</t>
    <phoneticPr fontId="24" type="noConversion"/>
  </si>
  <si>
    <t>contiguous_dst_addr_h13</t>
    <phoneticPr fontId="24" type="noConversion"/>
  </si>
  <si>
    <t>contiguous_dst_addr_l32</t>
    <phoneticPr fontId="24" type="noConversion"/>
  </si>
  <si>
    <t>contiguous_src_addr_l32</t>
    <phoneticPr fontId="24" type="noConversion"/>
  </si>
  <si>
    <t>length_shift</t>
    <phoneticPr fontId="24" type="noConversion"/>
  </si>
  <si>
    <t>index_list length shift</t>
    <phoneticPr fontId="24" type="noConversion"/>
  </si>
  <si>
    <t>dst addr [39:32], addr[44:40] base addr tag</t>
    <phoneticPr fontId="24" type="noConversion"/>
  </si>
  <si>
    <t>index addr [39:32], addr[44:40] base addr tag</t>
    <phoneticPr fontId="24" type="noConversion"/>
  </si>
  <si>
    <t>message_enable</t>
    <phoneticPr fontId="24" type="noConversion"/>
  </si>
  <si>
    <t>fill_constant_en</t>
    <phoneticPr fontId="24" type="noConversion"/>
  </si>
  <si>
    <t>dst_start_addr_ext_h10</t>
    <phoneticPr fontId="24" type="noConversion"/>
  </si>
  <si>
    <t>message_id</t>
    <phoneticPr fontId="24" type="noConversion"/>
  </si>
  <si>
    <t>nchw_copy(tie1)</t>
    <phoneticPr fontId="24" type="noConversion"/>
  </si>
  <si>
    <t>wcnt</t>
    <phoneticPr fontId="24" type="noConversion"/>
  </si>
  <si>
    <t>wcnt</t>
    <phoneticPr fontId="24" type="noConversion"/>
  </si>
  <si>
    <t>message id</t>
    <phoneticPr fontId="24" type="noConversion"/>
  </si>
  <si>
    <t>message wcnt</t>
    <phoneticPr fontId="24" type="noConversion"/>
  </si>
  <si>
    <t>destination blob start address[49:40]</t>
    <phoneticPr fontId="24" type="noConversion"/>
  </si>
  <si>
    <t>bit [7:0] means destination blob start address[39:32],bit [13:8] always 5'b0, means tag,(already trans to phy addr)</t>
    <phoneticPr fontId="24" type="noConversion"/>
  </si>
  <si>
    <t>10'b0</t>
    <phoneticPr fontId="24" type="noConversion"/>
  </si>
  <si>
    <t>6'd0</t>
    <phoneticPr fontId="24" type="noConversion"/>
  </si>
  <si>
    <t>source_start_addr_ext_h10</t>
    <phoneticPr fontId="24" type="noConversion"/>
  </si>
  <si>
    <t xml:space="preserve">addr eq addr[49:40] </t>
    <phoneticPr fontId="24" type="noConversion"/>
  </si>
  <si>
    <t>Source blob start address[44:32]:
addr[44:40] means tag
addr eq addr[39:0] + base_addr_region[addr[44:40]]</t>
    <phoneticPr fontId="24" type="noConversion"/>
  </si>
  <si>
    <r>
      <t xml:space="preserve">NCHW copy bit (need </t>
    </r>
    <r>
      <rPr>
        <b/>
        <sz val="10"/>
        <color rgb="FFFF0000"/>
        <rFont val="Microsoft YaHei UI"/>
        <family val="2"/>
        <charset val="134"/>
      </rPr>
      <t>tie1</t>
    </r>
    <r>
      <rPr>
        <b/>
        <sz val="10"/>
        <rFont val="Microsoft YaHei UI"/>
        <family val="2"/>
        <charset val="134"/>
      </rPr>
      <t>)
0: use separate src and dst NCHW value setting
1: reuse src NCHW value for dst NCHW value</t>
    </r>
    <phoneticPr fontId="24" type="noConversion"/>
  </si>
  <si>
    <t>dst_start_addr_etx_h10</t>
    <phoneticPr fontId="24" type="noConversion"/>
  </si>
  <si>
    <t>src_start_addr_etx_h10</t>
    <phoneticPr fontId="24" type="noConversion"/>
  </si>
  <si>
    <t xml:space="preserve">addr eq addr[49:40] </t>
    <phoneticPr fontId="24" type="noConversion"/>
  </si>
  <si>
    <t>删除P2P相关指令以及寄存器。新增DMA_gather/scatter指令描述。指令增加10bit地址拓展。send rcv指令新增128bit。 write指令支持msg_en。read write指令只支持nchw copy。 tcredit新增10bit地址</t>
    <phoneticPr fontId="24" type="noConversion"/>
  </si>
  <si>
    <t>read指令增加ARE相关opcode。gather指令新增ARE的opcode（psum_op）</t>
    <phoneticPr fontId="24" type="noConversion"/>
  </si>
  <si>
    <t>contiguous_src_addr_ext_h10</t>
    <phoneticPr fontId="24" type="noConversion"/>
  </si>
  <si>
    <t>mpu feature，需要配置为违法地址范围</t>
    <phoneticPr fontId="24" type="noConversion"/>
  </si>
  <si>
    <t>寄存器中的MPU相关寄存器修改为违法地址,scatter指令中新增src_data_format位域</t>
    <phoneticPr fontId="24" type="noConversion"/>
  </si>
  <si>
    <t>reg_mpu_end_addr_h8_regine6</t>
    <phoneticPr fontId="24" type="noConversion"/>
  </si>
  <si>
    <t>reg_mpu_start_addr_h8_regine1</t>
    <phoneticPr fontId="24" type="noConversion"/>
  </si>
  <si>
    <t>reg_mpu_end_addr_h8_regine14</t>
    <phoneticPr fontId="24" type="noConversion"/>
  </si>
  <si>
    <t>reg_mpu_entry_ctrl_chip</t>
    <phoneticPr fontId="24" type="noConversion"/>
  </si>
  <si>
    <t>reg_mpu_entry_ctrl_pc</t>
    <phoneticPr fontId="24" type="noConversion"/>
  </si>
  <si>
    <t>访问其他2260E的mpu 寄存器控制，16*2bit，2'b00:不使能保护地址区间；2'b01:保护地址区间不可读；2'b10:保护地址区间不可写；2'b11:保护地址区间不可读写。</t>
    <phoneticPr fontId="24" type="noConversion"/>
  </si>
  <si>
    <t>访问PC地址的mpu 寄存器控制，16*2bit，2'b00:不使能保护地址区间；2'b01:保护地址区间不可读；2'b10:保护地址区间不可写；2'b11:保护地址区间不可读写。</t>
    <phoneticPr fontId="24" type="noConversion"/>
  </si>
  <si>
    <t>CDMA_CSR_166</t>
    <phoneticPr fontId="24" type="noConversion"/>
  </si>
  <si>
    <r>
      <t>CDMA_CSR_166_Setting</t>
    </r>
    <r>
      <rPr>
        <sz val="11"/>
        <color theme="1"/>
        <rFont val="宋体"/>
        <family val="2"/>
        <charset val="134"/>
        <scheme val="minor"/>
      </rPr>
      <t/>
    </r>
    <phoneticPr fontId="24" type="noConversion"/>
  </si>
  <si>
    <t>CDMA_CSR_167</t>
    <phoneticPr fontId="24" type="noConversion"/>
  </si>
  <si>
    <r>
      <t>CDMA_CSR_167_Setting</t>
    </r>
    <r>
      <rPr>
        <sz val="11"/>
        <color theme="1"/>
        <rFont val="宋体"/>
        <family val="2"/>
        <charset val="134"/>
        <scheme val="minor"/>
      </rPr>
      <t/>
    </r>
    <phoneticPr fontId="24" type="noConversion"/>
  </si>
  <si>
    <t>Write 1 clear
0: No interrupt
1: Interrupt triggered</t>
    <phoneticPr fontId="24" type="noConversion"/>
  </si>
  <si>
    <t>intr_mpu_fetch_des_araddr_err</t>
    <phoneticPr fontId="24" type="noConversion"/>
  </si>
  <si>
    <t>intr_mpu_fetch_des_araddr_err_disable</t>
    <phoneticPr fontId="24" type="noConversion"/>
  </si>
  <si>
    <t>0: interrupt generation is enabled
1: interrupt is masked.
Disable intr_mpu_fetch_des_araddr_err interrupt generation</t>
    <phoneticPr fontId="24" type="noConversion"/>
  </si>
  <si>
    <r>
      <t>h</t>
    </r>
    <r>
      <rPr>
        <sz val="11"/>
        <color theme="1"/>
        <rFont val="宋体"/>
        <family val="3"/>
        <charset val="134"/>
        <scheme val="minor"/>
      </rPr>
      <t>0</t>
    </r>
    <phoneticPr fontId="24" type="noConversion"/>
  </si>
  <si>
    <r>
      <t>h</t>
    </r>
    <r>
      <rPr>
        <sz val="11"/>
        <color theme="1"/>
        <rFont val="宋体"/>
        <family val="3"/>
        <charset val="134"/>
        <scheme val="minor"/>
      </rPr>
      <t>0</t>
    </r>
    <r>
      <rPr>
        <sz val="11"/>
        <color theme="1"/>
        <rFont val="宋体"/>
        <family val="2"/>
        <charset val="134"/>
        <scheme val="minor"/>
      </rPr>
      <t/>
    </r>
  </si>
  <si>
    <t>Write 1 clear
0: No interrupt
2: Interrupt triggered</t>
  </si>
  <si>
    <t>Write 1 clear
0: No interrupt
3: Interrupt triggered</t>
  </si>
  <si>
    <t>intr_mpu_inst_data_araddr_err</t>
    <phoneticPr fontId="24" type="noConversion"/>
  </si>
  <si>
    <t>intr_mpu_inst_data_awaddr_err</t>
    <phoneticPr fontId="24" type="noConversion"/>
  </si>
  <si>
    <t>intr_mpu_pmu_log_awaddr_err</t>
    <phoneticPr fontId="24" type="noConversion"/>
  </si>
  <si>
    <t>intr_mpu_inst_data_araddr_err_disable</t>
    <phoneticPr fontId="24" type="noConversion"/>
  </si>
  <si>
    <t>intr_mpu_inst_data_awaddr_err_disable</t>
    <phoneticPr fontId="24" type="noConversion"/>
  </si>
  <si>
    <t>intr_mpu_pmu_log_awaddr_err_disable</t>
    <phoneticPr fontId="24" type="noConversion"/>
  </si>
  <si>
    <t>0: interrupt generation is enabled
2: interrupt is masked.
Disable intr_mpu_inst_data_araddr_err interrupt generation</t>
    <phoneticPr fontId="24" type="noConversion"/>
  </si>
  <si>
    <t>0: interrupt generation is enabled
3: interrupt is masked.
Disable intr_mpu_inst_data_awaddr_err interrupt generation</t>
    <phoneticPr fontId="24" type="noConversion"/>
  </si>
  <si>
    <t>0: interrupt generation is enabled
4: interrupt is masked.
Disable intr_mpu_pmu_log_awaddr_err interrupt generation</t>
    <phoneticPr fontId="24" type="noConversion"/>
  </si>
  <si>
    <t>0: interrupt generation is enabled
5: interrupt is masked.
Disable intr_mpu_rcv_tcd_araddr_err interrupt generation</t>
    <phoneticPr fontId="24" type="noConversion"/>
  </si>
  <si>
    <t>intr_mpu_rcv_tcd_awaddr_err_disable</t>
    <phoneticPr fontId="24" type="noConversion"/>
  </si>
  <si>
    <t>intr_mpu_rcv_tcd_awaddr_err</t>
    <phoneticPr fontId="24" type="noConversion"/>
  </si>
  <si>
    <t>reg_mpu_err_addr_enable</t>
    <phoneticPr fontId="24" type="noConversion"/>
  </si>
  <si>
    <t>1:mpu err_addr update
if mpu_err_addr was read out, need write 0</t>
    <phoneticPr fontId="24" type="noConversion"/>
  </si>
  <si>
    <t>CDMA_CSR_168</t>
    <phoneticPr fontId="24" type="noConversion"/>
  </si>
  <si>
    <r>
      <t>CDMA_CSR_168_Setting</t>
    </r>
    <r>
      <rPr>
        <sz val="11"/>
        <color theme="1"/>
        <rFont val="宋体"/>
        <family val="2"/>
        <charset val="134"/>
        <scheme val="minor"/>
      </rPr>
      <t/>
    </r>
    <phoneticPr fontId="24" type="noConversion"/>
  </si>
  <si>
    <t>reg_mpu_err_addr_l32</t>
    <phoneticPr fontId="24" type="noConversion"/>
  </si>
  <si>
    <t>CDMA_CSR_169</t>
    <phoneticPr fontId="24" type="noConversion"/>
  </si>
  <si>
    <r>
      <t>CDMA_CSR_169_Setting</t>
    </r>
    <r>
      <rPr>
        <sz val="11"/>
        <color theme="1"/>
        <rFont val="宋体"/>
        <family val="2"/>
        <charset val="134"/>
        <scheme val="minor"/>
      </rPr>
      <t/>
    </r>
    <phoneticPr fontId="24" type="noConversion"/>
  </si>
  <si>
    <t>reg_mpu_err_addr_h8</t>
    <phoneticPr fontId="24" type="noConversion"/>
  </si>
  <si>
    <t>reg_mpu_err_addr_ext_h10</t>
    <phoneticPr fontId="24" type="noConversion"/>
  </si>
  <si>
    <t>reg_mpu_err_addr_direction</t>
    <phoneticPr fontId="24" type="noConversion"/>
  </si>
  <si>
    <t>mark err addr direction, valid when reg_mpu_err_addr_enable is 1'b1
2'b00:ddr,read
2'b01:ddr,write
2'b10:pcie,read
2'b11:pcie,write</t>
    <phoneticPr fontId="24" type="noConversion"/>
  </si>
  <si>
    <t>rws</t>
    <phoneticPr fontId="24" type="noConversion"/>
  </si>
  <si>
    <t>0x0000:DMA_send;
0x0001:DMA_read;
0x0010:DMA_write;
0x0011:DMA_general;
0x0100:DMA_receive_tensor;
0x0101:DMA_lossy_compress;
0x0110:DMA_lossy_decompress;
0x0111:DMA_sys;
0x1000:DMA_tcp_send;
0x1001:DMA_tcp_receive;
0x1010:DMA_gather;
0x1011:DMA_scatter;
0x1100:DMA_remote_msgsend;
others:reserved</t>
    <phoneticPr fontId="24" type="noConversion"/>
  </si>
  <si>
    <t>addr eq addr[49:40] , bit[9:8] always be 2'b00, bit[7] means if this is send to PC(1'b1 means to pc, 1'b0)</t>
    <phoneticPr fontId="24" type="noConversion"/>
  </si>
  <si>
    <t>reg_pcie_cascade_mode</t>
    <phoneticPr fontId="24" type="noConversion"/>
  </si>
  <si>
    <t>2'b00:non-cascade
2'b01:two chips cascade
2'b10:four chips cascade
2'b11:reserved</t>
    <phoneticPr fontId="24" type="noConversion"/>
  </si>
  <si>
    <t>寄存器新增MPU相关控制寄存器，write指令和scatter指令新增ARE相关opcode。新增CDMA_remote_msg_send指令。gather和scatter指令以及其他指令将ext10标灰，避免引起误会。</t>
    <phoneticPr fontId="24" type="noConversion"/>
  </si>
  <si>
    <r>
      <t>h</t>
    </r>
    <r>
      <rPr>
        <sz val="11"/>
        <color theme="1"/>
        <rFont val="宋体"/>
        <family val="3"/>
        <charset val="134"/>
        <scheme val="minor"/>
      </rPr>
      <t>310</t>
    </r>
    <phoneticPr fontId="24" type="noConversion"/>
  </si>
  <si>
    <t>h310</t>
    <phoneticPr fontId="24" type="noConversion"/>
  </si>
  <si>
    <t>CDMA_CSR_170</t>
    <phoneticPr fontId="24" type="noConversion"/>
  </si>
  <si>
    <r>
      <t>CDMA_CSR_170_Setting</t>
    </r>
    <r>
      <rPr>
        <sz val="11"/>
        <color theme="1"/>
        <rFont val="宋体"/>
        <family val="2"/>
        <charset val="134"/>
        <scheme val="minor"/>
      </rPr>
      <t/>
    </r>
    <phoneticPr fontId="24" type="noConversion"/>
  </si>
  <si>
    <t>reg_message_addr_l32</t>
    <phoneticPr fontId="24" type="noConversion"/>
  </si>
  <si>
    <t>h0</t>
    <phoneticPr fontId="24" type="noConversion"/>
  </si>
  <si>
    <t>rw</t>
    <phoneticPr fontId="24" type="noConversion"/>
  </si>
  <si>
    <t>remote message trigger addr</t>
    <phoneticPr fontId="24" type="noConversion"/>
  </si>
  <si>
    <t>reg_message_addr_h8</t>
    <phoneticPr fontId="24" type="noConversion"/>
  </si>
  <si>
    <t>h6c</t>
    <phoneticPr fontId="24" type="noConversion"/>
  </si>
  <si>
    <t>h314</t>
    <phoneticPr fontId="24" type="noConversion"/>
  </si>
  <si>
    <t>CDMA_CSR_171</t>
    <phoneticPr fontId="24" type="noConversion"/>
  </si>
  <si>
    <r>
      <t>CDMA_CSR_171_Setting</t>
    </r>
    <r>
      <rPr>
        <sz val="11"/>
        <color theme="1"/>
        <rFont val="宋体"/>
        <family val="2"/>
        <charset val="134"/>
        <scheme val="minor"/>
      </rPr>
      <t/>
    </r>
    <phoneticPr fontId="24" type="noConversion"/>
  </si>
  <si>
    <t>valid when reg_mpu_err_addr_enable is 1'b1,mpu err addr ext high 10</t>
    <phoneticPr fontId="24" type="noConversion"/>
  </si>
  <si>
    <t>valid when reg_mpu_err_addr_enable is 1'b1,mpu err addr high 8bit</t>
    <phoneticPr fontId="24" type="noConversion"/>
  </si>
  <si>
    <t>valid when reg_mpu_err_addr_enable is 1'b1,mpu err addr low 32bit</t>
    <phoneticPr fontId="24" type="noConversion"/>
  </si>
  <si>
    <t>新增reg_message_addr 40bit寄存器。删除general指令</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</si>
</sst>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9">
    <font>
      <sz val="11"/>
      <color theme="1"/>
      <name val="宋体"/>
      <charset val="134"/>
      <scheme val="minor"/>
    </font>
    <font>
      <sz val="11"/>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sz val="12"/>
      <color theme="1"/>
      <name val="宋体"/>
      <family val="2"/>
      <charset val="134"/>
      <scheme val="minor"/>
    </font>
    <font>
      <b/>
      <sz val="11"/>
      <color theme="1"/>
      <name val="Microsoft YaHei UI"/>
      <family val="1"/>
    </font>
    <font>
      <i/>
      <sz val="11"/>
      <color theme="1"/>
      <name val="Microsoft YaHei UI"/>
      <family val="2"/>
      <charset val="134"/>
    </font>
    <font>
      <b/>
      <sz val="10"/>
      <name val="Microsoft YaHei UI"/>
      <family val="2"/>
      <charset val="134"/>
    </font>
    <font>
      <i/>
      <sz val="10"/>
      <name val="Microsoft YaHei UI"/>
      <family val="2"/>
      <charset val="134"/>
    </font>
    <font>
      <b/>
      <sz val="9.5"/>
      <color theme="1"/>
      <name val="Times New Roman"/>
      <family val="1"/>
    </font>
    <font>
      <i/>
      <sz val="9.5"/>
      <color theme="1"/>
      <name val="Times New Roman"/>
      <family val="1"/>
    </font>
    <font>
      <b/>
      <sz val="10.5"/>
      <color theme="1"/>
      <name val="Times New Roman"/>
      <family val="1"/>
    </font>
    <font>
      <b/>
      <sz val="10"/>
      <color theme="1"/>
      <name val="Microsoft YaHei UI"/>
      <family val="2"/>
      <charset val="134"/>
    </font>
    <font>
      <sz val="12"/>
      <color theme="1"/>
      <name val="宋体"/>
      <family val="3"/>
      <charset val="134"/>
      <scheme val="minor"/>
    </font>
    <font>
      <sz val="12"/>
      <color rgb="FF000000"/>
      <name val="宋体"/>
      <family val="3"/>
      <charset val="134"/>
      <scheme val="minor"/>
    </font>
    <font>
      <sz val="11"/>
      <color theme="1"/>
      <name val="Microsoft YaHei UI"/>
      <family val="2"/>
      <charset val="134"/>
    </font>
    <font>
      <sz val="9"/>
      <name val="宋体"/>
      <family val="3"/>
      <charset val="134"/>
      <scheme val="minor"/>
    </font>
    <font>
      <u/>
      <sz val="11"/>
      <color theme="10"/>
      <name val="宋体"/>
      <family val="3"/>
      <charset val="134"/>
      <scheme val="minor"/>
    </font>
    <font>
      <u/>
      <sz val="11"/>
      <color theme="11"/>
      <name val="宋体"/>
      <family val="3"/>
      <charset val="134"/>
      <scheme val="minor"/>
    </font>
    <font>
      <sz val="11"/>
      <color theme="1"/>
      <name val="宋体"/>
      <family val="3"/>
      <charset val="134"/>
      <scheme val="minor"/>
    </font>
    <font>
      <sz val="11"/>
      <color theme="1"/>
      <name val="SimSun"/>
      <family val="3"/>
      <charset val="134"/>
    </font>
    <font>
      <sz val="11"/>
      <color theme="1"/>
      <name val="Microsoft YaHei UI"/>
      <family val="3"/>
      <charset val="134"/>
    </font>
    <font>
      <sz val="11"/>
      <color theme="1"/>
      <name val="Cambria"/>
      <family val="1"/>
    </font>
    <font>
      <sz val="11"/>
      <color theme="1"/>
      <name val="Microsoft YaHei UI"/>
      <family val="1"/>
      <charset val="134"/>
    </font>
    <font>
      <sz val="11"/>
      <color theme="1"/>
      <name val="Microsoft YaHei UI"/>
      <family val="2"/>
      <charset val="134"/>
    </font>
    <font>
      <sz val="11"/>
      <color theme="1"/>
      <name val="Cambria"/>
      <family val="3"/>
      <charset val="134"/>
    </font>
    <font>
      <b/>
      <sz val="10"/>
      <name val="Microsoft YaHei UI"/>
      <family val="2"/>
      <charset val="134"/>
    </font>
    <font>
      <b/>
      <sz val="11"/>
      <color theme="1"/>
      <name val="Microsoft YaHei UI"/>
      <family val="2"/>
      <charset val="134"/>
    </font>
    <font>
      <b/>
      <sz val="10.5"/>
      <color theme="1"/>
      <name val="SimSun"/>
      <family val="3"/>
      <charset val="134"/>
    </font>
    <font>
      <sz val="12"/>
      <name val="Arial"/>
      <family val="2"/>
    </font>
    <font>
      <sz val="12"/>
      <color theme="4"/>
      <name val="Arial"/>
      <family val="2"/>
    </font>
    <font>
      <sz val="9"/>
      <name val="Arial"/>
      <family val="2"/>
    </font>
    <font>
      <b/>
      <sz val="12"/>
      <name val="Arial"/>
      <family val="2"/>
    </font>
    <font>
      <sz val="11"/>
      <color rgb="FF000000"/>
      <name val="宋体"/>
      <family val="3"/>
      <charset val="134"/>
      <scheme val="minor"/>
    </font>
    <font>
      <sz val="11"/>
      <color theme="1"/>
      <name val="宋体"/>
      <family val="3"/>
      <charset val="134"/>
    </font>
    <font>
      <i/>
      <sz val="12"/>
      <name val="Arial"/>
      <family val="2"/>
    </font>
    <font>
      <sz val="9"/>
      <name val="宋体"/>
      <family val="3"/>
      <charset val="134"/>
    </font>
    <font>
      <strike/>
      <sz val="12"/>
      <name val="Arial"/>
      <family val="2"/>
    </font>
    <font>
      <u val="double"/>
      <sz val="11"/>
      <color theme="1"/>
      <name val="宋体"/>
      <family val="3"/>
      <charset val="134"/>
      <scheme val="minor"/>
    </font>
    <font>
      <b/>
      <sz val="10"/>
      <color rgb="FFFF0000"/>
      <name val="Microsoft YaHei UI"/>
      <family val="2"/>
      <charset val="134"/>
    </font>
    <font>
      <sz val="11"/>
      <color rgb="FFFF0000"/>
      <name val="宋体"/>
      <family val="3"/>
      <charset val="134"/>
      <scheme val="minor"/>
    </font>
  </fonts>
  <fills count="21">
    <fill>
      <patternFill patternType="none"/>
    </fill>
    <fill>
      <patternFill patternType="gray125"/>
    </fill>
    <fill>
      <patternFill patternType="solid">
        <fgColor theme="4" tint="0.3999450666829432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B4C6E7"/>
        <bgColor rgb="FF000000"/>
      </patternFill>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C8386"/>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0.34998626667073579"/>
        <bgColor indexed="64"/>
      </patternFill>
    </fill>
    <fill>
      <patternFill patternType="solid">
        <fgColor rgb="FF00B050"/>
        <bgColor indexed="64"/>
      </patternFill>
    </fill>
  </fills>
  <borders count="4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ck">
        <color auto="1"/>
      </left>
      <right/>
      <top style="thick">
        <color auto="1"/>
      </top>
      <bottom style="thin">
        <color auto="1"/>
      </bottom>
      <diagonal/>
    </border>
    <border>
      <left style="medium">
        <color auto="1"/>
      </left>
      <right style="medium">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ck">
        <color auto="1"/>
      </left>
      <right style="medium">
        <color auto="1"/>
      </right>
      <top style="thin">
        <color auto="1"/>
      </top>
      <bottom/>
      <diagonal/>
    </border>
    <border>
      <left style="thick">
        <color auto="1"/>
      </left>
      <right style="medium">
        <color auto="1"/>
      </right>
      <top/>
      <bottom/>
      <diagonal/>
    </border>
    <border>
      <left style="thick">
        <color auto="1"/>
      </left>
      <right style="medium">
        <color auto="1"/>
      </right>
      <top/>
      <bottom style="thin">
        <color auto="1"/>
      </bottom>
      <diagonal/>
    </border>
    <border>
      <left/>
      <right style="thin">
        <color auto="1"/>
      </right>
      <top style="thin">
        <color auto="1"/>
      </top>
      <bottom style="thin">
        <color auto="1"/>
      </bottom>
      <diagonal/>
    </border>
    <border>
      <left style="thick">
        <color auto="1"/>
      </left>
      <right/>
      <top style="thin">
        <color auto="1"/>
      </top>
      <bottom style="thick">
        <color auto="1"/>
      </bottom>
      <diagonal/>
    </border>
    <border>
      <left style="medium">
        <color auto="1"/>
      </left>
      <right style="medium">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ck">
        <color auto="1"/>
      </top>
      <bottom style="thin">
        <color auto="1"/>
      </bottom>
      <diagonal/>
    </border>
    <border>
      <left/>
      <right style="medium">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thick">
        <color auto="1"/>
      </left>
      <right/>
      <top/>
      <bottom/>
      <diagonal/>
    </border>
    <border>
      <left style="thick">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diagonal/>
    </border>
    <border>
      <left style="thin">
        <color indexed="63"/>
      </left>
      <right/>
      <top style="thin">
        <color indexed="63"/>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4">
    <xf numFmtId="0" fontId="0" fillId="0" borderId="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lignment vertical="center"/>
    </xf>
  </cellStyleXfs>
  <cellXfs count="272">
    <xf numFmtId="0" fontId="0" fillId="0" borderId="0" xfId="0">
      <alignment vertical="center"/>
    </xf>
    <xf numFmtId="0" fontId="13" fillId="0" borderId="0" xfId="0" applyFont="1">
      <alignment vertical="center"/>
    </xf>
    <xf numFmtId="0" fontId="14" fillId="0" borderId="0" xfId="0" applyFont="1">
      <alignment vertical="center"/>
    </xf>
    <xf numFmtId="0" fontId="15" fillId="2" borderId="1" xfId="0" applyFont="1" applyFill="1" applyBorder="1">
      <alignment vertical="center"/>
    </xf>
    <xf numFmtId="0" fontId="15" fillId="2" borderId="2" xfId="0" applyFont="1" applyFill="1" applyBorder="1" applyAlignment="1">
      <alignment horizontal="center" vertical="center"/>
    </xf>
    <xf numFmtId="0" fontId="15" fillId="2" borderId="2" xfId="0" applyFont="1" applyFill="1" applyBorder="1">
      <alignment vertical="center"/>
    </xf>
    <xf numFmtId="0" fontId="15" fillId="3" borderId="3" xfId="0" applyFont="1" applyFill="1" applyBorder="1">
      <alignment vertical="center"/>
    </xf>
    <xf numFmtId="0" fontId="15" fillId="0" borderId="4" xfId="0" applyFont="1" applyBorder="1" applyAlignment="1">
      <alignment horizontal="center" vertical="center"/>
    </xf>
    <xf numFmtId="0" fontId="15" fillId="0" borderId="4" xfId="0" applyFont="1" applyBorder="1">
      <alignment vertical="center"/>
    </xf>
    <xf numFmtId="0" fontId="15" fillId="0" borderId="4" xfId="0" applyFont="1" applyBorder="1" applyAlignment="1">
      <alignment horizontal="left" vertical="center"/>
    </xf>
    <xf numFmtId="0" fontId="15" fillId="3" borderId="3" xfId="0" applyFont="1" applyFill="1" applyBorder="1" applyAlignment="1">
      <alignment vertical="center" wrapText="1"/>
    </xf>
    <xf numFmtId="0" fontId="16" fillId="3" borderId="3" xfId="0" applyFont="1" applyFill="1" applyBorder="1">
      <alignment vertical="center"/>
    </xf>
    <xf numFmtId="0" fontId="16" fillId="0" borderId="4" xfId="0" applyFont="1" applyBorder="1" applyAlignment="1">
      <alignment horizontal="center" vertical="center"/>
    </xf>
    <xf numFmtId="0" fontId="16" fillId="0" borderId="4" xfId="0" applyFont="1" applyBorder="1">
      <alignment vertical="center"/>
    </xf>
    <xf numFmtId="0" fontId="16" fillId="0" borderId="4" xfId="0" applyFont="1" applyBorder="1" applyAlignment="1">
      <alignment horizontal="left" vertical="center"/>
    </xf>
    <xf numFmtId="0" fontId="15" fillId="3" borderId="5" xfId="0" applyFont="1" applyFill="1" applyBorder="1">
      <alignment vertical="center"/>
    </xf>
    <xf numFmtId="0" fontId="15" fillId="0" borderId="6" xfId="0" applyFont="1" applyBorder="1" applyAlignment="1">
      <alignment horizontal="center" vertical="center"/>
    </xf>
    <xf numFmtId="0" fontId="15" fillId="0" borderId="6" xfId="0" applyFont="1" applyBorder="1">
      <alignment vertical="center"/>
    </xf>
    <xf numFmtId="0" fontId="15" fillId="0" borderId="6" xfId="0" applyFont="1" applyBorder="1" applyAlignment="1">
      <alignment horizontal="left" vertical="center"/>
    </xf>
    <xf numFmtId="0" fontId="15" fillId="2" borderId="7" xfId="0" applyFont="1" applyFill="1" applyBorder="1" applyAlignment="1">
      <alignment vertical="center" wrapText="1"/>
    </xf>
    <xf numFmtId="0" fontId="17" fillId="0" borderId="8" xfId="0" applyFont="1" applyBorder="1" applyAlignment="1">
      <alignment vertical="center" wrapText="1"/>
    </xf>
    <xf numFmtId="0" fontId="17" fillId="0" borderId="8" xfId="0" applyFont="1" applyBorder="1" applyAlignment="1">
      <alignment horizontal="justify" vertical="center" wrapText="1"/>
    </xf>
    <xf numFmtId="0" fontId="15" fillId="0" borderId="8" xfId="0" applyFont="1" applyBorder="1" applyAlignment="1">
      <alignment vertical="center" wrapText="1"/>
    </xf>
    <xf numFmtId="0" fontId="16" fillId="0" borderId="8" xfId="0" applyFont="1" applyBorder="1" applyAlignment="1">
      <alignment vertical="center" wrapText="1"/>
    </xf>
    <xf numFmtId="0" fontId="15" fillId="0" borderId="8" xfId="0" applyFont="1" applyBorder="1">
      <alignment vertical="center"/>
    </xf>
    <xf numFmtId="0" fontId="18" fillId="0" borderId="8" xfId="0" applyFont="1" applyBorder="1">
      <alignment vertical="center"/>
    </xf>
    <xf numFmtId="0" fontId="15" fillId="0" borderId="9" xfId="0" applyFont="1" applyBorder="1" applyAlignment="1">
      <alignment vertical="center" wrapText="1"/>
    </xf>
    <xf numFmtId="0" fontId="15" fillId="4" borderId="3" xfId="0" applyFont="1" applyFill="1" applyBorder="1">
      <alignment vertical="center"/>
    </xf>
    <xf numFmtId="0" fontId="19" fillId="5" borderId="0" xfId="0" applyFont="1" applyFill="1" applyAlignment="1">
      <alignment horizontal="justify" vertical="center"/>
    </xf>
    <xf numFmtId="0" fontId="13" fillId="0" borderId="0" xfId="0" applyFont="1" applyAlignment="1">
      <alignment horizontal="center" vertical="center"/>
    </xf>
    <xf numFmtId="0" fontId="20" fillId="0" borderId="0" xfId="0" applyFont="1">
      <alignment vertical="center"/>
    </xf>
    <xf numFmtId="0" fontId="13" fillId="0" borderId="0" xfId="0" applyFont="1" applyAlignment="1">
      <alignment vertical="center" wrapText="1"/>
    </xf>
    <xf numFmtId="0" fontId="0" fillId="0" borderId="0" xfId="0" applyAlignment="1"/>
    <xf numFmtId="0" fontId="21" fillId="6" borderId="10" xfId="0" applyFont="1" applyFill="1" applyBorder="1" applyAlignment="1"/>
    <xf numFmtId="0" fontId="21" fillId="7" borderId="11" xfId="0" applyFont="1" applyFill="1" applyBorder="1" applyAlignment="1"/>
    <xf numFmtId="0" fontId="21" fillId="6" borderId="14" xfId="0" applyFont="1" applyFill="1" applyBorder="1" applyAlignment="1"/>
    <xf numFmtId="0" fontId="21" fillId="7" borderId="15" xfId="0" applyFont="1" applyFill="1" applyBorder="1" applyAlignment="1"/>
    <xf numFmtId="0" fontId="21" fillId="8" borderId="3" xfId="0" applyFont="1" applyFill="1" applyBorder="1" applyAlignment="1"/>
    <xf numFmtId="0" fontId="21" fillId="8" borderId="4" xfId="0" applyFont="1" applyFill="1" applyBorder="1" applyAlignment="1"/>
    <xf numFmtId="0" fontId="21" fillId="8" borderId="16" xfId="0" applyFont="1" applyFill="1" applyBorder="1" applyAlignment="1"/>
    <xf numFmtId="0" fontId="22" fillId="9" borderId="16" xfId="0" applyFont="1" applyFill="1" applyBorder="1" applyAlignment="1"/>
    <xf numFmtId="0" fontId="21" fillId="6" borderId="21" xfId="0" applyFont="1" applyFill="1" applyBorder="1" applyAlignment="1"/>
    <xf numFmtId="0" fontId="21" fillId="7" borderId="22" xfId="0" applyFont="1" applyFill="1" applyBorder="1" applyAlignment="1"/>
    <xf numFmtId="0" fontId="21" fillId="8" borderId="23" xfId="0" applyFont="1" applyFill="1" applyBorder="1" applyAlignment="1"/>
    <xf numFmtId="0" fontId="21" fillId="8" borderId="24" xfId="0" applyFont="1" applyFill="1" applyBorder="1" applyAlignment="1"/>
    <xf numFmtId="0" fontId="21" fillId="7" borderId="4" xfId="0" applyFont="1" applyFill="1" applyBorder="1" applyAlignment="1"/>
    <xf numFmtId="0" fontId="21" fillId="7" borderId="8" xfId="0" applyFont="1" applyFill="1" applyBorder="1" applyAlignment="1"/>
    <xf numFmtId="0" fontId="21" fillId="6" borderId="20" xfId="0" applyFont="1" applyFill="1" applyBorder="1" applyAlignment="1"/>
    <xf numFmtId="0" fontId="21" fillId="6" borderId="4" xfId="0" applyFont="1" applyFill="1" applyBorder="1" applyAlignment="1"/>
    <xf numFmtId="0" fontId="21" fillId="7" borderId="23" xfId="0" applyFont="1" applyFill="1" applyBorder="1" applyAlignment="1"/>
    <xf numFmtId="0" fontId="21" fillId="7" borderId="28" xfId="0" applyFont="1" applyFill="1" applyBorder="1" applyAlignment="1"/>
    <xf numFmtId="0" fontId="21" fillId="6" borderId="29" xfId="0" applyFont="1" applyFill="1" applyBorder="1" applyAlignment="1"/>
    <xf numFmtId="0" fontId="21" fillId="6" borderId="23" xfId="0" applyFont="1" applyFill="1" applyBorder="1" applyAlignment="1"/>
    <xf numFmtId="0" fontId="21" fillId="0" borderId="0" xfId="0" applyFont="1" applyAlignment="1"/>
    <xf numFmtId="0" fontId="21" fillId="0" borderId="0" xfId="0" applyFont="1">
      <alignment vertical="center"/>
    </xf>
    <xf numFmtId="0" fontId="21" fillId="6" borderId="31" xfId="0" applyFont="1" applyFill="1" applyBorder="1" applyAlignment="1"/>
    <xf numFmtId="0" fontId="21" fillId="6" borderId="32" xfId="0" applyFont="1" applyFill="1" applyBorder="1" applyAlignment="1"/>
    <xf numFmtId="0" fontId="0" fillId="0" borderId="0" xfId="0" applyAlignment="1">
      <alignment horizontal="center" vertical="center"/>
    </xf>
    <xf numFmtId="0" fontId="20" fillId="4" borderId="3" xfId="0" applyFont="1" applyFill="1" applyBorder="1">
      <alignment vertical="center"/>
    </xf>
    <xf numFmtId="0" fontId="13" fillId="10" borderId="0" xfId="0" applyFont="1" applyFill="1">
      <alignment vertical="center"/>
    </xf>
    <xf numFmtId="0" fontId="15" fillId="11" borderId="3" xfId="0" applyFont="1" applyFill="1" applyBorder="1">
      <alignment vertical="center"/>
    </xf>
    <xf numFmtId="0" fontId="15" fillId="10" borderId="4" xfId="0" applyFont="1" applyFill="1" applyBorder="1" applyAlignment="1">
      <alignment horizontal="center" vertical="center"/>
    </xf>
    <xf numFmtId="0" fontId="16" fillId="11" borderId="3" xfId="0" applyFont="1" applyFill="1" applyBorder="1">
      <alignment vertical="center"/>
    </xf>
    <xf numFmtId="0" fontId="15" fillId="11" borderId="4" xfId="0" applyFont="1" applyFill="1" applyBorder="1">
      <alignment vertical="center"/>
    </xf>
    <xf numFmtId="0" fontId="15" fillId="10" borderId="33" xfId="0" applyFont="1" applyFill="1" applyBorder="1" applyAlignment="1">
      <alignment horizontal="center" vertical="center"/>
    </xf>
    <xf numFmtId="0" fontId="15" fillId="11" borderId="34" xfId="0" applyFont="1" applyFill="1" applyBorder="1">
      <alignment vertical="center"/>
    </xf>
    <xf numFmtId="0" fontId="15" fillId="10" borderId="4" xfId="0" applyFont="1" applyFill="1" applyBorder="1">
      <alignment vertical="center"/>
    </xf>
    <xf numFmtId="0" fontId="15" fillId="10" borderId="8" xfId="0" applyFont="1" applyFill="1" applyBorder="1" applyAlignment="1">
      <alignment vertical="center" wrapText="1"/>
    </xf>
    <xf numFmtId="0" fontId="15" fillId="10" borderId="33" xfId="0" applyFont="1" applyFill="1" applyBorder="1">
      <alignment vertical="center"/>
    </xf>
    <xf numFmtId="0" fontId="15" fillId="10" borderId="4" xfId="0" applyFont="1" applyFill="1" applyBorder="1" applyAlignment="1">
      <alignment vertical="center" wrapText="1"/>
    </xf>
    <xf numFmtId="0" fontId="15" fillId="10" borderId="35" xfId="0" applyFont="1" applyFill="1" applyBorder="1" applyAlignment="1">
      <alignment vertical="center" wrapText="1"/>
    </xf>
    <xf numFmtId="0" fontId="23" fillId="0" borderId="0" xfId="0" applyFont="1">
      <alignment vertical="center"/>
    </xf>
    <xf numFmtId="0" fontId="23" fillId="0" borderId="0" xfId="0" applyFont="1" applyAlignment="1">
      <alignment horizontal="left" vertical="center"/>
    </xf>
    <xf numFmtId="0" fontId="13" fillId="2" borderId="4" xfId="0" applyFont="1" applyFill="1" applyBorder="1" applyAlignment="1">
      <alignment horizontal="left" vertical="center"/>
    </xf>
    <xf numFmtId="0" fontId="13" fillId="2" borderId="4" xfId="0" applyFont="1" applyFill="1" applyBorder="1">
      <alignment vertical="center"/>
    </xf>
    <xf numFmtId="0" fontId="23" fillId="0" borderId="4" xfId="0" applyFont="1" applyBorder="1" applyAlignment="1">
      <alignment vertical="center" wrapText="1"/>
    </xf>
    <xf numFmtId="0" fontId="23" fillId="0" borderId="4" xfId="0" applyFont="1" applyBorder="1">
      <alignment vertical="center"/>
    </xf>
    <xf numFmtId="0" fontId="16" fillId="0" borderId="4" xfId="0" quotePrefix="1" applyFont="1" applyBorder="1">
      <alignment vertical="center"/>
    </xf>
    <xf numFmtId="0" fontId="12" fillId="7" borderId="15" xfId="0" applyFont="1" applyFill="1" applyBorder="1" applyAlignment="1"/>
    <xf numFmtId="0" fontId="11" fillId="7" borderId="15" xfId="0" applyFont="1" applyFill="1" applyBorder="1" applyAlignment="1"/>
    <xf numFmtId="0" fontId="10" fillId="8" borderId="3" xfId="0" applyFont="1" applyFill="1" applyBorder="1" applyAlignment="1"/>
    <xf numFmtId="0" fontId="10" fillId="7" borderId="15" xfId="0" applyFont="1" applyFill="1" applyBorder="1" applyAlignment="1"/>
    <xf numFmtId="0" fontId="10" fillId="8" borderId="4" xfId="0" applyFont="1" applyFill="1" applyBorder="1" applyAlignment="1"/>
    <xf numFmtId="0" fontId="21" fillId="13" borderId="4" xfId="0" applyFont="1" applyFill="1" applyBorder="1" applyAlignment="1"/>
    <xf numFmtId="0" fontId="9" fillId="7" borderId="3" xfId="0" applyFont="1" applyFill="1" applyBorder="1" applyAlignment="1"/>
    <xf numFmtId="0" fontId="8" fillId="6" borderId="20" xfId="0" applyFont="1" applyFill="1" applyBorder="1" applyAlignment="1"/>
    <xf numFmtId="0" fontId="8" fillId="7" borderId="15" xfId="0" applyFont="1" applyFill="1" applyBorder="1" applyAlignment="1"/>
    <xf numFmtId="0" fontId="10" fillId="7" borderId="3" xfId="0" applyFont="1" applyFill="1" applyBorder="1" applyAlignment="1">
      <alignment horizontal="right"/>
    </xf>
    <xf numFmtId="0" fontId="5" fillId="7" borderId="3" xfId="0" applyFont="1" applyFill="1" applyBorder="1" applyAlignment="1">
      <alignment horizontal="right"/>
    </xf>
    <xf numFmtId="0" fontId="21" fillId="7" borderId="3" xfId="0" applyFont="1" applyFill="1" applyBorder="1" applyAlignment="1">
      <alignment horizontal="right"/>
    </xf>
    <xf numFmtId="0" fontId="8" fillId="7" borderId="3" xfId="0" applyFont="1" applyFill="1" applyBorder="1" applyAlignment="1">
      <alignment horizontal="right"/>
    </xf>
    <xf numFmtId="0" fontId="12" fillId="7" borderId="3" xfId="0" applyFont="1" applyFill="1" applyBorder="1" applyAlignment="1">
      <alignment horizontal="right"/>
    </xf>
    <xf numFmtId="0" fontId="5" fillId="6" borderId="20" xfId="0" applyFont="1" applyFill="1" applyBorder="1" applyAlignment="1"/>
    <xf numFmtId="0" fontId="4" fillId="6" borderId="20" xfId="0" applyFont="1" applyFill="1" applyBorder="1" applyAlignment="1"/>
    <xf numFmtId="0" fontId="21" fillId="6" borderId="14" xfId="0" applyFont="1" applyFill="1" applyBorder="1" applyAlignment="1">
      <alignment horizontal="center" vertical="center"/>
    </xf>
    <xf numFmtId="0" fontId="21" fillId="6" borderId="40" xfId="0" applyFont="1" applyFill="1" applyBorder="1" applyAlignment="1">
      <alignment horizontal="center" vertical="center"/>
    </xf>
    <xf numFmtId="0" fontId="21" fillId="6" borderId="21" xfId="0" applyFont="1" applyFill="1" applyBorder="1" applyAlignment="1">
      <alignment horizontal="center" vertical="center"/>
    </xf>
    <xf numFmtId="0" fontId="4" fillId="7" borderId="3" xfId="0" applyFont="1" applyFill="1" applyBorder="1" applyAlignment="1">
      <alignment horizontal="right"/>
    </xf>
    <xf numFmtId="0" fontId="13" fillId="16" borderId="0" xfId="0" applyFont="1" applyFill="1">
      <alignment vertical="center"/>
    </xf>
    <xf numFmtId="0" fontId="13" fillId="0" borderId="0" xfId="0" applyFont="1" applyAlignment="1">
      <alignment horizontal="left" vertical="center"/>
    </xf>
    <xf numFmtId="0" fontId="13" fillId="15" borderId="41" xfId="0" applyFont="1" applyFill="1" applyBorder="1" applyAlignment="1">
      <alignment horizontal="left" vertical="center"/>
    </xf>
    <xf numFmtId="0" fontId="13" fillId="16" borderId="41" xfId="0" applyFont="1" applyFill="1" applyBorder="1" applyAlignment="1">
      <alignment horizontal="left" vertical="center"/>
    </xf>
    <xf numFmtId="0" fontId="13" fillId="15" borderId="41" xfId="0" applyFont="1" applyFill="1" applyBorder="1" applyAlignment="1">
      <alignment horizontal="left" vertical="center" wrapText="1"/>
    </xf>
    <xf numFmtId="0" fontId="15" fillId="0" borderId="4" xfId="0" applyFont="1" applyBorder="1" applyAlignment="1">
      <alignment horizontal="center" vertical="center" wrapText="1"/>
    </xf>
    <xf numFmtId="0" fontId="13" fillId="14" borderId="41" xfId="0" applyFont="1" applyFill="1" applyBorder="1" applyAlignment="1">
      <alignment horizontal="left" vertical="center"/>
    </xf>
    <xf numFmtId="0" fontId="3" fillId="7" borderId="15" xfId="0" applyFont="1" applyFill="1" applyBorder="1" applyAlignment="1"/>
    <xf numFmtId="0" fontId="8" fillId="0" borderId="39" xfId="0" applyFont="1" applyBorder="1" applyAlignment="1">
      <alignment vertical="center" wrapText="1"/>
    </xf>
    <xf numFmtId="0" fontId="3" fillId="7" borderId="4" xfId="0" applyFont="1" applyFill="1" applyBorder="1" applyAlignment="1"/>
    <xf numFmtId="0" fontId="3" fillId="7" borderId="8" xfId="0" applyFont="1" applyFill="1" applyBorder="1" applyAlignment="1"/>
    <xf numFmtId="0" fontId="15" fillId="4" borderId="3" xfId="0" applyFont="1" applyFill="1" applyBorder="1" applyAlignment="1">
      <alignment vertical="center" wrapText="1"/>
    </xf>
    <xf numFmtId="0" fontId="21" fillId="6" borderId="19" xfId="0" applyFont="1" applyFill="1" applyBorder="1" applyAlignment="1">
      <alignment horizontal="left" vertical="center"/>
    </xf>
    <xf numFmtId="0" fontId="2" fillId="7" borderId="15" xfId="0" applyFont="1" applyFill="1" applyBorder="1" applyAlignment="1"/>
    <xf numFmtId="0" fontId="29" fillId="0" borderId="4" xfId="0" applyFont="1" applyBorder="1" applyAlignment="1">
      <alignment vertical="center" wrapText="1"/>
    </xf>
    <xf numFmtId="0" fontId="31" fillId="0" borderId="4" xfId="0" applyFont="1" applyBorder="1" applyAlignment="1">
      <alignment vertical="center" wrapText="1"/>
    </xf>
    <xf numFmtId="0" fontId="32" fillId="0" borderId="4" xfId="0" applyFont="1" applyBorder="1" applyAlignment="1">
      <alignment vertical="center" wrapText="1"/>
    </xf>
    <xf numFmtId="0" fontId="30" fillId="0" borderId="4" xfId="0" applyFont="1" applyBorder="1" applyAlignment="1">
      <alignment vertical="center" wrapText="1"/>
    </xf>
    <xf numFmtId="0" fontId="33" fillId="0" borderId="4" xfId="0" applyFont="1" applyBorder="1" applyAlignment="1">
      <alignment vertical="center" wrapText="1"/>
    </xf>
    <xf numFmtId="0" fontId="15" fillId="11" borderId="20" xfId="0" applyFont="1" applyFill="1" applyBorder="1">
      <alignment vertical="center"/>
    </xf>
    <xf numFmtId="0" fontId="15" fillId="10" borderId="16" xfId="0" applyFont="1" applyFill="1" applyBorder="1" applyAlignment="1">
      <alignment vertical="center" wrapText="1"/>
    </xf>
    <xf numFmtId="14" fontId="23" fillId="0" borderId="4" xfId="0" applyNumberFormat="1" applyFont="1" applyBorder="1" applyAlignment="1">
      <alignment horizontal="left" vertical="center"/>
    </xf>
    <xf numFmtId="49" fontId="23" fillId="0" borderId="4" xfId="0" applyNumberFormat="1" applyFont="1" applyBorder="1" applyAlignment="1">
      <alignment horizontal="left" vertical="center"/>
    </xf>
    <xf numFmtId="49" fontId="32" fillId="0" borderId="4" xfId="0" applyNumberFormat="1" applyFont="1" applyBorder="1" applyAlignment="1">
      <alignment horizontal="left" vertical="center"/>
    </xf>
    <xf numFmtId="0" fontId="34" fillId="0" borderId="4" xfId="0" applyFont="1" applyBorder="1" applyAlignment="1">
      <alignment horizontal="center" vertical="center"/>
    </xf>
    <xf numFmtId="0" fontId="34" fillId="0" borderId="8" xfId="0" applyFont="1" applyBorder="1" applyAlignment="1">
      <alignment vertical="center" wrapText="1"/>
    </xf>
    <xf numFmtId="0" fontId="34" fillId="11" borderId="3" xfId="0" applyFont="1" applyFill="1" applyBorder="1">
      <alignment vertical="center"/>
    </xf>
    <xf numFmtId="0" fontId="34" fillId="0" borderId="4" xfId="0" applyFont="1" applyBorder="1">
      <alignment vertical="center"/>
    </xf>
    <xf numFmtId="0" fontId="28" fillId="0" borderId="4" xfId="0" applyFont="1" applyBorder="1" applyAlignment="1">
      <alignment vertical="center" wrapText="1"/>
    </xf>
    <xf numFmtId="0" fontId="27" fillId="0" borderId="0" xfId="0" applyFont="1">
      <alignment vertical="center"/>
    </xf>
    <xf numFmtId="0" fontId="15" fillId="0" borderId="4" xfId="0" quotePrefix="1" applyFont="1" applyBorder="1">
      <alignment vertical="center"/>
    </xf>
    <xf numFmtId="0" fontId="35" fillId="0" borderId="0" xfId="0" applyFont="1">
      <alignment vertical="center"/>
    </xf>
    <xf numFmtId="0" fontId="15" fillId="0" borderId="4" xfId="0" applyFont="1" applyBorder="1" applyAlignment="1">
      <alignment horizontal="left" vertical="center" wrapText="1"/>
    </xf>
    <xf numFmtId="0" fontId="37" fillId="3" borderId="4" xfId="0" applyFont="1" applyFill="1" applyBorder="1" applyAlignment="1"/>
    <xf numFmtId="0" fontId="38" fillId="3" borderId="4" xfId="0" applyFont="1" applyFill="1" applyBorder="1" applyAlignment="1">
      <alignment horizontal="left"/>
    </xf>
    <xf numFmtId="0" fontId="38" fillId="3" borderId="4" xfId="0" applyFont="1" applyFill="1" applyBorder="1" applyAlignment="1"/>
    <xf numFmtId="0" fontId="0" fillId="3" borderId="4" xfId="0" applyFill="1" applyBorder="1" applyAlignment="1"/>
    <xf numFmtId="0" fontId="37" fillId="0" borderId="0" xfId="0" applyFont="1" applyAlignment="1"/>
    <xf numFmtId="0" fontId="37" fillId="0" borderId="0" xfId="0" applyFont="1" applyAlignment="1">
      <alignment horizontal="left"/>
    </xf>
    <xf numFmtId="0" fontId="40" fillId="0" borderId="42" xfId="0" applyFont="1" applyBorder="1" applyAlignment="1">
      <alignment horizontal="center" vertical="center" wrapText="1"/>
    </xf>
    <xf numFmtId="0" fontId="40" fillId="0" borderId="43" xfId="0" applyFont="1" applyBorder="1" applyAlignment="1">
      <alignment horizontal="center" vertical="center" wrapText="1"/>
    </xf>
    <xf numFmtId="0" fontId="40" fillId="0" borderId="33" xfId="0" applyFont="1" applyBorder="1">
      <alignment vertical="center"/>
    </xf>
    <xf numFmtId="0" fontId="40" fillId="3" borderId="33" xfId="0" applyFont="1" applyFill="1" applyBorder="1" applyAlignment="1"/>
    <xf numFmtId="0" fontId="40" fillId="0" borderId="0" xfId="0" applyFont="1" applyAlignment="1"/>
    <xf numFmtId="0" fontId="39" fillId="0" borderId="0" xfId="0" applyFont="1" applyAlignment="1"/>
    <xf numFmtId="0" fontId="27" fillId="0" borderId="0" xfId="0" applyFont="1" applyAlignment="1"/>
    <xf numFmtId="0" fontId="27" fillId="0" borderId="0" xfId="0" applyFont="1" applyAlignment="1">
      <alignment wrapText="1"/>
    </xf>
    <xf numFmtId="0" fontId="41" fillId="0" borderId="0" xfId="0" applyFont="1" applyAlignment="1"/>
    <xf numFmtId="0" fontId="0" fillId="10" borderId="0" xfId="0" applyFill="1" applyAlignment="1"/>
    <xf numFmtId="0" fontId="27" fillId="10" borderId="0" xfId="0" applyFont="1" applyFill="1" applyAlignment="1">
      <alignment wrapText="1"/>
    </xf>
    <xf numFmtId="0" fontId="42" fillId="0" borderId="4" xfId="0" applyFont="1" applyBorder="1" applyAlignment="1">
      <alignment vertical="center" wrapText="1"/>
    </xf>
    <xf numFmtId="0" fontId="27" fillId="10" borderId="0" xfId="0" applyFont="1" applyFill="1" applyAlignment="1"/>
    <xf numFmtId="0" fontId="0" fillId="0" borderId="0" xfId="0" applyFont="1" applyAlignment="1"/>
    <xf numFmtId="0" fontId="43" fillId="0" borderId="0" xfId="0" applyFont="1" applyAlignment="1"/>
    <xf numFmtId="0" fontId="13" fillId="15" borderId="0" xfId="0" applyFont="1" applyFill="1" applyBorder="1" applyAlignment="1">
      <alignment horizontal="left" vertical="center"/>
    </xf>
    <xf numFmtId="0" fontId="37" fillId="3" borderId="46" xfId="0" applyFont="1" applyFill="1" applyBorder="1" applyAlignment="1"/>
    <xf numFmtId="0" fontId="38" fillId="3" borderId="46" xfId="0" applyFont="1" applyFill="1" applyBorder="1" applyAlignment="1">
      <alignment horizontal="left"/>
    </xf>
    <xf numFmtId="0" fontId="38" fillId="3" borderId="46" xfId="0" applyFont="1" applyFill="1" applyBorder="1" applyAlignment="1"/>
    <xf numFmtId="0" fontId="37" fillId="3" borderId="47" xfId="0" applyFont="1" applyFill="1" applyBorder="1" applyAlignment="1"/>
    <xf numFmtId="0" fontId="0" fillId="3" borderId="46" xfId="0" applyFill="1" applyBorder="1" applyAlignment="1"/>
    <xf numFmtId="0" fontId="37" fillId="3" borderId="0" xfId="0" applyFont="1" applyFill="1" applyBorder="1" applyAlignment="1"/>
    <xf numFmtId="0" fontId="37" fillId="0" borderId="46" xfId="0" applyFont="1" applyBorder="1" applyAlignment="1"/>
    <xf numFmtId="0" fontId="37" fillId="0" borderId="46" xfId="0" applyFont="1" applyBorder="1" applyAlignment="1">
      <alignment horizontal="left"/>
    </xf>
    <xf numFmtId="0" fontId="40" fillId="0" borderId="46" xfId="0" applyFont="1" applyFill="1" applyBorder="1" applyAlignment="1">
      <alignment horizontal="center" vertical="center" wrapText="1"/>
    </xf>
    <xf numFmtId="0" fontId="40" fillId="0" borderId="46" xfId="0" applyFont="1" applyFill="1" applyBorder="1" applyAlignment="1">
      <alignment vertical="center" wrapText="1"/>
    </xf>
    <xf numFmtId="0" fontId="40" fillId="0" borderId="46" xfId="0" applyFont="1" applyBorder="1" applyAlignment="1">
      <alignment vertical="center"/>
    </xf>
    <xf numFmtId="0" fontId="40" fillId="17" borderId="46" xfId="0" applyFont="1" applyFill="1" applyBorder="1" applyAlignment="1">
      <alignment vertical="center"/>
    </xf>
    <xf numFmtId="0" fontId="40" fillId="0" borderId="0" xfId="0" applyFont="1" applyAlignment="1">
      <alignment vertical="center"/>
    </xf>
    <xf numFmtId="0" fontId="45" fillId="0" borderId="46" xfId="0" applyFont="1" applyBorder="1" applyAlignment="1">
      <alignment horizontal="center" vertical="center"/>
    </xf>
    <xf numFmtId="0" fontId="45" fillId="0" borderId="46" xfId="0" applyFont="1" applyBorder="1" applyAlignment="1">
      <alignment horizontal="left" vertical="center"/>
    </xf>
    <xf numFmtId="0" fontId="45" fillId="0" borderId="46" xfId="0" applyFont="1" applyBorder="1" applyAlignment="1">
      <alignment horizontal="center" vertical="center" wrapText="1"/>
    </xf>
    <xf numFmtId="0" fontId="45" fillId="0" borderId="46" xfId="0" applyFont="1" applyBorder="1" applyAlignment="1">
      <alignment horizontal="left" vertical="center" wrapText="1"/>
    </xf>
    <xf numFmtId="0" fontId="45" fillId="0" borderId="46" xfId="0" applyFont="1" applyBorder="1" applyAlignment="1">
      <alignment vertical="center" wrapText="1"/>
    </xf>
    <xf numFmtId="0" fontId="45" fillId="0" borderId="46" xfId="0" applyFont="1" applyBorder="1" applyAlignment="1">
      <alignment vertical="center"/>
    </xf>
    <xf numFmtId="0" fontId="45" fillId="0" borderId="0" xfId="0" applyFont="1" applyAlignment="1">
      <alignment vertical="center"/>
    </xf>
    <xf numFmtId="0" fontId="37" fillId="3" borderId="46" xfId="0" applyFont="1" applyFill="1" applyBorder="1" applyAlignment="1">
      <alignment horizontal="center" vertical="center"/>
    </xf>
    <xf numFmtId="0" fontId="37" fillId="3" borderId="46" xfId="0" applyFont="1" applyFill="1" applyBorder="1" applyAlignment="1">
      <alignment horizontal="left" vertical="center"/>
    </xf>
    <xf numFmtId="0" fontId="37" fillId="3" borderId="46" xfId="0" applyFont="1" applyFill="1" applyBorder="1" applyAlignment="1">
      <alignment horizontal="center" vertical="center" wrapText="1"/>
    </xf>
    <xf numFmtId="0" fontId="37" fillId="3" borderId="46" xfId="0" applyFont="1" applyFill="1" applyBorder="1" applyAlignment="1">
      <alignment horizontal="left" vertical="center" wrapText="1"/>
    </xf>
    <xf numFmtId="0" fontId="37" fillId="3" borderId="46" xfId="0" applyFont="1" applyFill="1" applyBorder="1" applyAlignment="1">
      <alignment vertical="center" wrapText="1"/>
    </xf>
    <xf numFmtId="0" fontId="37" fillId="3" borderId="46" xfId="0" applyFont="1" applyFill="1" applyBorder="1" applyAlignment="1">
      <alignment vertical="center"/>
    </xf>
    <xf numFmtId="0" fontId="37" fillId="3" borderId="0" xfId="0" applyFont="1" applyFill="1" applyAlignment="1">
      <alignment vertical="center"/>
    </xf>
    <xf numFmtId="0" fontId="37" fillId="0" borderId="46" xfId="0" applyFont="1" applyBorder="1" applyAlignment="1">
      <alignment horizontal="center" vertical="center"/>
    </xf>
    <xf numFmtId="0" fontId="37" fillId="0" borderId="46" xfId="0" applyFont="1" applyBorder="1" applyAlignment="1">
      <alignment horizontal="left" vertical="center"/>
    </xf>
    <xf numFmtId="0" fontId="37" fillId="0" borderId="46" xfId="0" applyFont="1" applyBorder="1" applyAlignment="1">
      <alignment horizontal="center" vertical="center" wrapText="1"/>
    </xf>
    <xf numFmtId="0" fontId="37" fillId="0" borderId="46" xfId="0" applyFont="1" applyBorder="1" applyAlignment="1">
      <alignment horizontal="left" vertical="center" wrapText="1"/>
    </xf>
    <xf numFmtId="0" fontId="37" fillId="0" borderId="46" xfId="0" applyFont="1" applyBorder="1" applyAlignment="1">
      <alignment vertical="center" wrapText="1"/>
    </xf>
    <xf numFmtId="0" fontId="37" fillId="0" borderId="46" xfId="0" applyFont="1" applyBorder="1" applyAlignment="1">
      <alignment vertical="center"/>
    </xf>
    <xf numFmtId="0" fontId="37" fillId="0" borderId="0" xfId="0" applyFont="1" applyAlignment="1">
      <alignment vertical="center"/>
    </xf>
    <xf numFmtId="0" fontId="37" fillId="0" borderId="46" xfId="0" applyFont="1" applyFill="1" applyBorder="1" applyAlignment="1">
      <alignment horizontal="center" vertical="center" wrapText="1"/>
    </xf>
    <xf numFmtId="0" fontId="37" fillId="0" borderId="0" xfId="0" applyFont="1" applyAlignment="1">
      <alignment horizontal="left" vertical="center"/>
    </xf>
    <xf numFmtId="0" fontId="45" fillId="18" borderId="46" xfId="0" applyFont="1" applyFill="1" applyBorder="1" applyAlignment="1">
      <alignment horizontal="center" vertical="center"/>
    </xf>
    <xf numFmtId="0" fontId="45" fillId="18" borderId="46" xfId="0" applyFont="1" applyFill="1" applyBorder="1" applyAlignment="1">
      <alignment horizontal="left" vertical="center"/>
    </xf>
    <xf numFmtId="0" fontId="45" fillId="18" borderId="46" xfId="0" applyFont="1" applyFill="1" applyBorder="1" applyAlignment="1">
      <alignment horizontal="center" vertical="center" wrapText="1"/>
    </xf>
    <xf numFmtId="0" fontId="45" fillId="18" borderId="46" xfId="0" applyFont="1" applyFill="1" applyBorder="1" applyAlignment="1">
      <alignment horizontal="left" vertical="center" wrapText="1"/>
    </xf>
    <xf numFmtId="0" fontId="45" fillId="18" borderId="46" xfId="0" applyFont="1" applyFill="1" applyBorder="1" applyAlignment="1">
      <alignment vertical="center" wrapText="1"/>
    </xf>
    <xf numFmtId="0" fontId="45" fillId="18" borderId="46" xfId="0" applyFont="1" applyFill="1" applyBorder="1" applyAlignment="1">
      <alignment vertical="center"/>
    </xf>
    <xf numFmtId="0" fontId="45" fillId="18" borderId="0" xfId="0" applyFont="1" applyFill="1" applyAlignment="1">
      <alignment vertical="center"/>
    </xf>
    <xf numFmtId="0" fontId="45" fillId="18" borderId="46" xfId="0" applyFont="1" applyFill="1" applyBorder="1" applyAlignment="1"/>
    <xf numFmtId="0" fontId="45" fillId="18" borderId="0" xfId="0" applyFont="1" applyFill="1" applyAlignment="1"/>
    <xf numFmtId="0" fontId="37" fillId="3" borderId="0" xfId="0" applyFont="1" applyFill="1" applyAlignment="1"/>
    <xf numFmtId="0" fontId="37" fillId="3" borderId="45" xfId="0" applyFont="1" applyFill="1" applyBorder="1" applyAlignment="1">
      <alignment horizontal="center" vertical="center"/>
    </xf>
    <xf numFmtId="0" fontId="37" fillId="3" borderId="45" xfId="0" applyFont="1" applyFill="1" applyBorder="1" applyAlignment="1">
      <alignment horizontal="center" vertical="center" wrapText="1"/>
    </xf>
    <xf numFmtId="0" fontId="37" fillId="3" borderId="45" xfId="0" applyFont="1" applyFill="1" applyBorder="1" applyAlignment="1">
      <alignment horizontal="left" vertical="center"/>
    </xf>
    <xf numFmtId="14" fontId="23" fillId="0" borderId="0" xfId="0" applyNumberFormat="1" applyFont="1" applyAlignment="1">
      <alignment horizontal="left" vertical="center"/>
    </xf>
    <xf numFmtId="0" fontId="13" fillId="3" borderId="41" xfId="0" applyFont="1" applyFill="1" applyBorder="1" applyAlignment="1">
      <alignment horizontal="left" vertical="center"/>
    </xf>
    <xf numFmtId="0" fontId="13" fillId="3" borderId="0" xfId="0" applyFont="1" applyFill="1">
      <alignment vertical="center"/>
    </xf>
    <xf numFmtId="0" fontId="13" fillId="3" borderId="41" xfId="0" applyFont="1" applyFill="1" applyBorder="1" applyAlignment="1">
      <alignment horizontal="left" vertical="center" wrapText="1"/>
    </xf>
    <xf numFmtId="0" fontId="0" fillId="19" borderId="0" xfId="0" applyFill="1" applyAlignment="1"/>
    <xf numFmtId="0" fontId="27" fillId="19" borderId="0" xfId="0" applyFont="1" applyFill="1" applyAlignment="1"/>
    <xf numFmtId="0" fontId="27" fillId="19" borderId="0" xfId="0" applyFont="1" applyFill="1">
      <alignment vertical="center"/>
    </xf>
    <xf numFmtId="0" fontId="27" fillId="3" borderId="0" xfId="0" applyFont="1" applyFill="1">
      <alignment vertical="center"/>
    </xf>
    <xf numFmtId="0" fontId="27" fillId="3" borderId="0" xfId="0" applyFont="1" applyFill="1" applyAlignment="1"/>
    <xf numFmtId="0" fontId="27" fillId="16" borderId="0" xfId="0" applyFont="1" applyFill="1" applyAlignment="1"/>
    <xf numFmtId="0" fontId="27" fillId="16" borderId="0" xfId="0" applyFont="1" applyFill="1">
      <alignment vertical="center"/>
    </xf>
    <xf numFmtId="0" fontId="27" fillId="20" borderId="0" xfId="0" applyFont="1" applyFill="1" applyAlignment="1"/>
    <xf numFmtId="0" fontId="0" fillId="20" borderId="0" xfId="0" applyFill="1" applyAlignment="1"/>
    <xf numFmtId="0" fontId="27" fillId="0" borderId="0" xfId="0" applyFont="1" applyFill="1">
      <alignment vertical="center"/>
    </xf>
    <xf numFmtId="0" fontId="27" fillId="0" borderId="0" xfId="0" applyFont="1" applyFill="1" applyAlignment="1"/>
    <xf numFmtId="0" fontId="15" fillId="0" borderId="4" xfId="0" applyFont="1" applyFill="1" applyBorder="1" applyAlignment="1">
      <alignment horizontal="center" vertical="center"/>
    </xf>
    <xf numFmtId="0" fontId="15" fillId="0" borderId="8" xfId="0" applyFont="1" applyFill="1" applyBorder="1" applyAlignment="1">
      <alignment vertical="center" wrapText="1"/>
    </xf>
    <xf numFmtId="0" fontId="15" fillId="19" borderId="3" xfId="0" applyFont="1" applyFill="1" applyBorder="1">
      <alignment vertical="center"/>
    </xf>
    <xf numFmtId="0" fontId="15" fillId="0" borderId="4" xfId="0" applyFont="1" applyFill="1" applyBorder="1" applyAlignment="1">
      <alignment horizontal="left" vertical="center" wrapText="1"/>
    </xf>
    <xf numFmtId="0" fontId="15" fillId="16" borderId="3" xfId="0" applyFont="1" applyFill="1" applyBorder="1">
      <alignment vertical="center"/>
    </xf>
    <xf numFmtId="0" fontId="47" fillId="3" borderId="3" xfId="0" applyFont="1" applyFill="1" applyBorder="1">
      <alignment vertical="center"/>
    </xf>
    <xf numFmtId="0" fontId="13" fillId="0" borderId="0" xfId="0" applyFont="1" applyFill="1" applyAlignment="1">
      <alignment horizontal="center" vertical="center"/>
    </xf>
    <xf numFmtId="0" fontId="13" fillId="15" borderId="0" xfId="0" applyFont="1" applyFill="1" applyBorder="1" applyAlignment="1">
      <alignment horizontal="left" vertical="center" wrapText="1"/>
    </xf>
    <xf numFmtId="0" fontId="13" fillId="0" borderId="41" xfId="0" applyFont="1" applyFill="1" applyBorder="1" applyAlignment="1">
      <alignment horizontal="left" vertical="center" wrapText="1"/>
    </xf>
    <xf numFmtId="0" fontId="13" fillId="0" borderId="0" xfId="0" applyFont="1" applyFill="1">
      <alignment vertical="center"/>
    </xf>
    <xf numFmtId="0" fontId="13" fillId="0" borderId="41" xfId="0" applyFont="1" applyFill="1" applyBorder="1" applyAlignment="1">
      <alignment horizontal="left" vertical="center"/>
    </xf>
    <xf numFmtId="0" fontId="27" fillId="0" borderId="0" xfId="0" applyFont="1" applyAlignment="1">
      <alignment vertical="center" wrapText="1"/>
    </xf>
    <xf numFmtId="0" fontId="20" fillId="16" borderId="3" xfId="0" applyFont="1" applyFill="1" applyBorder="1">
      <alignment vertical="center"/>
    </xf>
    <xf numFmtId="0" fontId="15" fillId="3" borderId="8" xfId="0" applyFont="1" applyFill="1" applyBorder="1" applyAlignment="1">
      <alignment vertical="center" wrapText="1"/>
    </xf>
    <xf numFmtId="0" fontId="48" fillId="3" borderId="0" xfId="0" applyFont="1" applyFill="1" applyAlignment="1"/>
    <xf numFmtId="0" fontId="37" fillId="0" borderId="46" xfId="0" applyFont="1" applyBorder="1" applyAlignment="1">
      <alignment horizontal="center" vertical="center" wrapText="1"/>
    </xf>
    <xf numFmtId="0" fontId="37" fillId="0" borderId="46" xfId="0" applyFont="1" applyBorder="1" applyAlignment="1">
      <alignment horizontal="center" vertical="center"/>
    </xf>
    <xf numFmtId="0" fontId="37" fillId="0" borderId="46" xfId="0" applyFont="1" applyBorder="1" applyAlignment="1">
      <alignment horizontal="left" vertical="center"/>
    </xf>
    <xf numFmtId="0" fontId="37" fillId="3" borderId="48" xfId="0" applyFont="1" applyFill="1" applyBorder="1" applyAlignment="1">
      <alignment horizontal="center" vertical="center" wrapText="1"/>
    </xf>
    <xf numFmtId="0" fontId="37" fillId="3" borderId="45" xfId="0" applyFont="1" applyFill="1" applyBorder="1" applyAlignment="1">
      <alignment horizontal="center" vertical="center" wrapText="1"/>
    </xf>
    <xf numFmtId="0" fontId="37" fillId="3" borderId="48" xfId="0" applyFont="1" applyFill="1" applyBorder="1" applyAlignment="1">
      <alignment horizontal="center" vertical="center"/>
    </xf>
    <xf numFmtId="0" fontId="37" fillId="3" borderId="45" xfId="0" applyFont="1" applyFill="1" applyBorder="1" applyAlignment="1">
      <alignment horizontal="center" vertical="center"/>
    </xf>
    <xf numFmtId="0" fontId="37" fillId="3" borderId="44" xfId="0" applyFont="1" applyFill="1" applyBorder="1" applyAlignment="1">
      <alignment horizontal="center" vertical="center"/>
    </xf>
    <xf numFmtId="0" fontId="37" fillId="3" borderId="44" xfId="0" applyFont="1" applyFill="1" applyBorder="1" applyAlignment="1">
      <alignment horizontal="center" vertical="center" wrapText="1"/>
    </xf>
    <xf numFmtId="0" fontId="0" fillId="0" borderId="0" xfId="0" applyAlignment="1">
      <alignment horizontal="center" vertical="center"/>
    </xf>
    <xf numFmtId="0" fontId="27" fillId="0" borderId="0" xfId="0" applyFont="1" applyAlignment="1">
      <alignment horizontal="center" vertical="center"/>
    </xf>
    <xf numFmtId="0" fontId="27" fillId="3" borderId="0" xfId="0" applyFont="1" applyFill="1" applyAlignment="1">
      <alignment horizontal="center" vertical="center"/>
    </xf>
    <xf numFmtId="0" fontId="0" fillId="3" borderId="0" xfId="0" applyFill="1" applyAlignment="1">
      <alignment horizontal="center" vertical="center"/>
    </xf>
    <xf numFmtId="0" fontId="27" fillId="11" borderId="0" xfId="0" applyFont="1" applyFill="1" applyAlignment="1">
      <alignment horizontal="center" vertical="center"/>
    </xf>
    <xf numFmtId="0" fontId="0" fillId="11" borderId="0" xfId="0" applyFill="1" applyAlignment="1">
      <alignment horizontal="center" vertical="center"/>
    </xf>
    <xf numFmtId="0" fontId="21" fillId="6" borderId="17" xfId="0" applyFont="1" applyFill="1" applyBorder="1" applyAlignment="1">
      <alignment horizontal="left" vertical="center"/>
    </xf>
    <xf numFmtId="0" fontId="21" fillId="6" borderId="18" xfId="0" applyFont="1" applyFill="1" applyBorder="1" applyAlignment="1">
      <alignment horizontal="left" vertical="center"/>
    </xf>
    <xf numFmtId="0" fontId="21" fillId="6" borderId="19" xfId="0" applyFont="1" applyFill="1" applyBorder="1" applyAlignment="1">
      <alignment horizontal="left" vertical="center"/>
    </xf>
    <xf numFmtId="0" fontId="10"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21" fillId="8" borderId="12" xfId="0" applyFont="1" applyFill="1" applyBorder="1" applyAlignment="1">
      <alignment horizontal="center"/>
    </xf>
    <xf numFmtId="0" fontId="21" fillId="8" borderId="13" xfId="0" applyFont="1" applyFill="1" applyBorder="1" applyAlignment="1">
      <alignment horizontal="center"/>
    </xf>
    <xf numFmtId="0" fontId="21" fillId="7" borderId="25" xfId="0" applyFont="1" applyFill="1" applyBorder="1" applyAlignment="1">
      <alignment horizontal="center"/>
    </xf>
    <xf numFmtId="0" fontId="21" fillId="7" borderId="26" xfId="0" applyFont="1" applyFill="1" applyBorder="1" applyAlignment="1">
      <alignment horizontal="center"/>
    </xf>
    <xf numFmtId="0" fontId="7" fillId="6" borderId="27" xfId="0" applyFont="1" applyFill="1" applyBorder="1" applyAlignment="1">
      <alignment horizontal="center"/>
    </xf>
    <xf numFmtId="0" fontId="21" fillId="6" borderId="12" xfId="0" applyFont="1" applyFill="1" applyBorder="1" applyAlignment="1">
      <alignment horizontal="center"/>
    </xf>
    <xf numFmtId="0" fontId="21" fillId="6" borderId="30" xfId="0" applyFont="1" applyFill="1" applyBorder="1" applyAlignment="1">
      <alignment horizontal="center"/>
    </xf>
    <xf numFmtId="0" fontId="2" fillId="0" borderId="39" xfId="0" applyFont="1" applyBorder="1" applyAlignment="1">
      <alignment horizontal="center" vertical="top" wrapText="1"/>
    </xf>
    <xf numFmtId="0" fontId="3" fillId="0" borderId="39" xfId="0" applyFont="1" applyBorder="1" applyAlignment="1">
      <alignment horizontal="center" vertical="top" wrapText="1"/>
    </xf>
    <xf numFmtId="0" fontId="9" fillId="6" borderId="16" xfId="0" applyFont="1" applyFill="1" applyBorder="1" applyAlignment="1">
      <alignment horizontal="center"/>
    </xf>
    <xf numFmtId="0" fontId="10" fillId="6" borderId="36" xfId="0" applyFont="1" applyFill="1" applyBorder="1" applyAlignment="1">
      <alignment horizontal="center"/>
    </xf>
    <xf numFmtId="0" fontId="10" fillId="6" borderId="20" xfId="0" applyFont="1" applyFill="1" applyBorder="1" applyAlignment="1">
      <alignment horizontal="center"/>
    </xf>
    <xf numFmtId="0" fontId="6" fillId="12" borderId="37" xfId="0" applyFont="1" applyFill="1" applyBorder="1" applyAlignment="1">
      <alignment horizontal="center"/>
    </xf>
    <xf numFmtId="0" fontId="10" fillId="12" borderId="38" xfId="0" applyFont="1" applyFill="1" applyBorder="1" applyAlignment="1">
      <alignment horizontal="center"/>
    </xf>
    <xf numFmtId="0" fontId="21" fillId="6" borderId="14" xfId="0" applyFont="1" applyFill="1" applyBorder="1" applyAlignment="1">
      <alignment horizontal="center" vertical="center"/>
    </xf>
    <xf numFmtId="0" fontId="21" fillId="6" borderId="17" xfId="0" applyFont="1" applyFill="1" applyBorder="1" applyAlignment="1">
      <alignment horizontal="center" vertical="center"/>
    </xf>
    <xf numFmtId="0" fontId="21" fillId="6" borderId="18" xfId="0" applyFont="1" applyFill="1" applyBorder="1" applyAlignment="1">
      <alignment horizontal="center" vertical="center"/>
    </xf>
    <xf numFmtId="0" fontId="21" fillId="6" borderId="19" xfId="0" applyFont="1" applyFill="1" applyBorder="1" applyAlignment="1">
      <alignment horizontal="center" vertical="center"/>
    </xf>
    <xf numFmtId="0" fontId="21" fillId="6" borderId="40" xfId="0" applyFont="1" applyFill="1" applyBorder="1" applyAlignment="1">
      <alignment horizontal="center" vertical="center"/>
    </xf>
  </cellXfs>
  <cellStyles count="14">
    <cellStyle name="常规" xfId="0" builtinId="0"/>
    <cellStyle name="常规 2" xfId="13"/>
    <cellStyle name="超链接" xfId="1" builtinId="8" hidden="1"/>
    <cellStyle name="超链接" xfId="3" builtinId="8" hidden="1"/>
    <cellStyle name="超链接" xfId="5" builtinId="8" hidden="1"/>
    <cellStyle name="超链接" xfId="7" builtinId="8" hidden="1"/>
    <cellStyle name="超链接" xfId="9" builtinId="8" hidden="1"/>
    <cellStyle name="超链接" xfId="11" builtinId="8" hidden="1"/>
    <cellStyle name="已访问的超链接" xfId="2" builtinId="9" hidden="1"/>
    <cellStyle name="已访问的超链接" xfId="4" builtinId="9" hidden="1"/>
    <cellStyle name="已访问的超链接" xfId="6" builtinId="9" hidden="1"/>
    <cellStyle name="已访问的超链接" xfId="8" builtinId="9" hidden="1"/>
    <cellStyle name="已访问的超链接" xfId="10" builtinId="9" hidden="1"/>
    <cellStyle name="已访问的超链接" xfId="12" builtinId="9" hidden="1"/>
  </cellStyles>
  <dxfs count="0"/>
  <tableStyles count="0" defaultTableStyle="TableStyleMedium2" defaultPivotStyle="PivotStyleLight16"/>
  <colors>
    <mruColors>
      <color rgb="FFFC83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9</xdr:row>
      <xdr:rowOff>0</xdr:rowOff>
    </xdr:from>
    <xdr:to>
      <xdr:col>9</xdr:col>
      <xdr:colOff>304800</xdr:colOff>
      <xdr:row>10</xdr:row>
      <xdr:rowOff>133350</xdr:rowOff>
    </xdr:to>
    <xdr:sp macro="" textlink="">
      <xdr:nvSpPr>
        <xdr:cNvPr id="26626" name="AutoShape 2" descr="Clipboard - 2025年2月24日下午4点51分.png"/>
        <xdr:cNvSpPr>
          <a:spLocks noChangeAspect="1" noChangeArrowheads="1"/>
        </xdr:cNvSpPr>
      </xdr:nvSpPr>
      <xdr:spPr bwMode="auto">
        <a:xfrm>
          <a:off x="6172200"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10</xdr:row>
      <xdr:rowOff>0</xdr:rowOff>
    </xdr:from>
    <xdr:to>
      <xdr:col>6</xdr:col>
      <xdr:colOff>304800</xdr:colOff>
      <xdr:row>11</xdr:row>
      <xdr:rowOff>133350</xdr:rowOff>
    </xdr:to>
    <xdr:sp macro="" textlink="">
      <xdr:nvSpPr>
        <xdr:cNvPr id="26628" name="AutoShape 4" descr="Clipboard - 2025年2月24日下午4点51分.png"/>
        <xdr:cNvSpPr>
          <a:spLocks noChangeAspect="1" noChangeArrowheads="1"/>
        </xdr:cNvSpPr>
      </xdr:nvSpPr>
      <xdr:spPr bwMode="auto">
        <a:xfrm>
          <a:off x="41148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53"/>
  <sheetViews>
    <sheetView tabSelected="1" topLeftCell="A34" zoomScale="145" zoomScaleNormal="145" workbookViewId="0">
      <selection activeCell="D53" sqref="D53"/>
    </sheetView>
  </sheetViews>
  <sheetFormatPr defaultColWidth="9" defaultRowHeight="16.5"/>
  <cols>
    <col min="1" max="1" width="9" style="71"/>
    <col min="2" max="2" width="9.125" style="72" customWidth="1"/>
    <col min="3" max="3" width="12.125" style="72" customWidth="1"/>
    <col min="4" max="4" width="103.875" style="71" customWidth="1"/>
    <col min="5" max="16384" width="9" style="71"/>
  </cols>
  <sheetData>
    <row r="2" spans="2:4">
      <c r="B2" s="73" t="s">
        <v>0</v>
      </c>
      <c r="C2" s="73" t="s">
        <v>1</v>
      </c>
      <c r="D2" s="74" t="s">
        <v>2</v>
      </c>
    </row>
    <row r="3" spans="2:4">
      <c r="B3" s="120" t="s">
        <v>635</v>
      </c>
      <c r="C3" s="119">
        <v>45108</v>
      </c>
      <c r="D3" s="115" t="s">
        <v>408</v>
      </c>
    </row>
    <row r="4" spans="2:4" ht="45">
      <c r="B4" s="120" t="s">
        <v>634</v>
      </c>
      <c r="C4" s="119">
        <v>45148</v>
      </c>
      <c r="D4" s="116" t="s">
        <v>659</v>
      </c>
    </row>
    <row r="5" spans="2:4" ht="49.5">
      <c r="B5" s="120" t="s">
        <v>925</v>
      </c>
      <c r="C5" s="119">
        <v>45166</v>
      </c>
      <c r="D5" s="112" t="s">
        <v>927</v>
      </c>
    </row>
    <row r="6" spans="2:4">
      <c r="B6" s="120" t="s">
        <v>933</v>
      </c>
      <c r="C6" s="119">
        <v>45181</v>
      </c>
      <c r="D6" s="76" t="s">
        <v>934</v>
      </c>
    </row>
    <row r="7" spans="2:4" ht="40.5">
      <c r="B7" s="120" t="s">
        <v>937</v>
      </c>
      <c r="C7" s="119">
        <v>45181</v>
      </c>
      <c r="D7" s="126" t="s">
        <v>938</v>
      </c>
    </row>
    <row r="8" spans="2:4" ht="33">
      <c r="B8" s="120" t="s">
        <v>958</v>
      </c>
      <c r="C8" s="119">
        <v>45187</v>
      </c>
      <c r="D8" s="112" t="s">
        <v>959</v>
      </c>
    </row>
    <row r="9" spans="2:4">
      <c r="B9" s="120" t="s">
        <v>960</v>
      </c>
      <c r="C9" s="119">
        <v>45188</v>
      </c>
      <c r="D9" s="75" t="s">
        <v>961</v>
      </c>
    </row>
    <row r="10" spans="2:4">
      <c r="B10" s="121" t="s">
        <v>962</v>
      </c>
      <c r="C10" s="119">
        <v>45188</v>
      </c>
      <c r="D10" s="114" t="s">
        <v>963</v>
      </c>
    </row>
    <row r="11" spans="2:4">
      <c r="B11" s="120" t="s">
        <v>964</v>
      </c>
      <c r="C11" s="119">
        <v>45188</v>
      </c>
      <c r="D11" s="75" t="s">
        <v>965</v>
      </c>
    </row>
    <row r="12" spans="2:4" ht="67.5">
      <c r="B12" s="120" t="s">
        <v>1007</v>
      </c>
      <c r="C12" s="119">
        <v>45193</v>
      </c>
      <c r="D12" s="126" t="s">
        <v>1154</v>
      </c>
    </row>
    <row r="13" spans="2:4" ht="56.45" customHeight="1">
      <c r="B13" s="120" t="s">
        <v>1156</v>
      </c>
      <c r="C13" s="119">
        <v>45196</v>
      </c>
      <c r="D13" s="112" t="s">
        <v>1220</v>
      </c>
    </row>
    <row r="14" spans="2:4">
      <c r="B14" s="120" t="s">
        <v>1252</v>
      </c>
      <c r="C14" s="119">
        <v>45197</v>
      </c>
      <c r="D14" s="116" t="s">
        <v>1254</v>
      </c>
    </row>
    <row r="15" spans="2:4">
      <c r="B15" s="120" t="s">
        <v>1255</v>
      </c>
      <c r="C15" s="119">
        <v>45206</v>
      </c>
      <c r="D15" s="126" t="s">
        <v>1263</v>
      </c>
    </row>
    <row r="16" spans="2:4">
      <c r="B16" s="120" t="s">
        <v>1267</v>
      </c>
      <c r="C16" s="119">
        <v>45207</v>
      </c>
      <c r="D16" s="126" t="s">
        <v>1268</v>
      </c>
    </row>
    <row r="17" spans="2:4" ht="40.5">
      <c r="B17" s="120" t="s">
        <v>1269</v>
      </c>
      <c r="C17" s="119">
        <v>45208</v>
      </c>
      <c r="D17" s="126" t="s">
        <v>1271</v>
      </c>
    </row>
    <row r="18" spans="2:4">
      <c r="B18" s="120" t="s">
        <v>1272</v>
      </c>
      <c r="C18" s="119">
        <v>45208</v>
      </c>
      <c r="D18" s="113" t="s">
        <v>1273</v>
      </c>
    </row>
    <row r="19" spans="2:4">
      <c r="B19" s="120" t="s">
        <v>1274</v>
      </c>
      <c r="C19" s="119">
        <v>45208</v>
      </c>
      <c r="D19" s="113" t="s">
        <v>1275</v>
      </c>
    </row>
    <row r="20" spans="2:4" ht="175.5">
      <c r="B20" s="120" t="s">
        <v>1277</v>
      </c>
      <c r="C20" s="119">
        <v>45216</v>
      </c>
      <c r="D20" s="148" t="s">
        <v>1326</v>
      </c>
    </row>
    <row r="21" spans="2:4" ht="117.95" customHeight="1">
      <c r="B21" s="120" t="s">
        <v>1515</v>
      </c>
      <c r="C21" s="119">
        <v>45221</v>
      </c>
      <c r="D21" s="148" t="s">
        <v>1523</v>
      </c>
    </row>
    <row r="22" spans="2:4" ht="27.75">
      <c r="B22" s="120" t="s">
        <v>1540</v>
      </c>
      <c r="C22" s="119">
        <v>45226</v>
      </c>
      <c r="D22" s="116" t="s">
        <v>1541</v>
      </c>
    </row>
    <row r="23" spans="2:4" ht="68.25">
      <c r="B23" s="120" t="s">
        <v>1543</v>
      </c>
      <c r="C23" s="119">
        <v>45227</v>
      </c>
      <c r="D23" s="116" t="s">
        <v>1580</v>
      </c>
    </row>
    <row r="24" spans="2:4">
      <c r="B24" s="120" t="s">
        <v>1592</v>
      </c>
      <c r="C24" s="119">
        <v>45233</v>
      </c>
      <c r="D24" s="148" t="s">
        <v>1593</v>
      </c>
    </row>
    <row r="25" spans="2:4" ht="27">
      <c r="B25" s="120" t="s">
        <v>1608</v>
      </c>
      <c r="C25" s="119">
        <v>45237</v>
      </c>
      <c r="D25" s="148" t="s">
        <v>1609</v>
      </c>
    </row>
    <row r="26" spans="2:4" ht="54.75">
      <c r="B26" s="120" t="s">
        <v>1610</v>
      </c>
      <c r="C26" s="119">
        <v>45244</v>
      </c>
      <c r="D26" s="116" t="s">
        <v>1659</v>
      </c>
    </row>
    <row r="27" spans="2:4">
      <c r="B27" s="120" t="s">
        <v>1666</v>
      </c>
      <c r="C27" s="119">
        <v>45251</v>
      </c>
      <c r="D27" s="116" t="s">
        <v>1668</v>
      </c>
    </row>
    <row r="28" spans="2:4">
      <c r="B28" s="120" t="s">
        <v>1670</v>
      </c>
      <c r="C28" s="119">
        <v>45251</v>
      </c>
      <c r="D28" s="116" t="s">
        <v>1669</v>
      </c>
    </row>
    <row r="29" spans="2:4">
      <c r="B29" s="120" t="s">
        <v>1687</v>
      </c>
      <c r="C29" s="119">
        <v>45254</v>
      </c>
      <c r="D29" s="116" t="s">
        <v>1688</v>
      </c>
    </row>
    <row r="30" spans="2:4" ht="26.1" customHeight="1">
      <c r="B30" s="120" t="s">
        <v>1689</v>
      </c>
      <c r="C30" s="119">
        <v>45255</v>
      </c>
      <c r="D30" s="148" t="s">
        <v>1715</v>
      </c>
    </row>
    <row r="31" spans="2:4" ht="27">
      <c r="B31" s="120" t="s">
        <v>1720</v>
      </c>
      <c r="C31" s="119">
        <v>45257</v>
      </c>
      <c r="D31" s="148" t="s">
        <v>1721</v>
      </c>
    </row>
    <row r="32" spans="2:4">
      <c r="B32" s="120" t="s">
        <v>1726</v>
      </c>
      <c r="C32" s="119">
        <v>45258</v>
      </c>
      <c r="D32" s="148" t="s">
        <v>1735</v>
      </c>
    </row>
    <row r="33" spans="2:4">
      <c r="B33" s="120" t="s">
        <v>1736</v>
      </c>
      <c r="C33" s="119">
        <v>45261</v>
      </c>
      <c r="D33" s="148" t="s">
        <v>1737</v>
      </c>
    </row>
    <row r="34" spans="2:4">
      <c r="B34" s="120" t="s">
        <v>1742</v>
      </c>
      <c r="C34" s="119">
        <v>45261</v>
      </c>
      <c r="D34" s="148" t="s">
        <v>1745</v>
      </c>
    </row>
    <row r="35" spans="2:4">
      <c r="B35" s="120" t="s">
        <v>1761</v>
      </c>
      <c r="C35" s="119">
        <v>45264</v>
      </c>
      <c r="D35" s="148" t="s">
        <v>1760</v>
      </c>
    </row>
    <row r="36" spans="2:4">
      <c r="B36" s="120" t="s">
        <v>1775</v>
      </c>
      <c r="C36" s="119">
        <v>45264</v>
      </c>
      <c r="D36" s="148" t="s">
        <v>1776</v>
      </c>
    </row>
    <row r="37" spans="2:4" ht="27">
      <c r="B37" s="120" t="s">
        <v>1777</v>
      </c>
      <c r="C37" s="119">
        <v>45267</v>
      </c>
      <c r="D37" s="148" t="s">
        <v>1778</v>
      </c>
    </row>
    <row r="38" spans="2:4">
      <c r="B38" s="120" t="s">
        <v>1787</v>
      </c>
      <c r="C38" s="119">
        <v>45276</v>
      </c>
      <c r="D38" s="148" t="s">
        <v>1788</v>
      </c>
    </row>
    <row r="39" spans="2:4">
      <c r="B39" s="120" t="s">
        <v>1928</v>
      </c>
      <c r="C39" s="119">
        <v>45278</v>
      </c>
      <c r="D39" s="148" t="s">
        <v>1929</v>
      </c>
    </row>
    <row r="40" spans="2:4">
      <c r="B40" s="120" t="s">
        <v>1941</v>
      </c>
      <c r="C40" s="119">
        <v>45282</v>
      </c>
      <c r="D40" s="148" t="s">
        <v>1942</v>
      </c>
    </row>
    <row r="41" spans="2:4" ht="27">
      <c r="B41" s="120" t="s">
        <v>1957</v>
      </c>
      <c r="C41" s="119">
        <v>45286</v>
      </c>
      <c r="D41" s="148" t="s">
        <v>1970</v>
      </c>
    </row>
    <row r="42" spans="2:4">
      <c r="B42" s="120" t="s">
        <v>1978</v>
      </c>
      <c r="C42" s="119">
        <v>45289</v>
      </c>
      <c r="D42" s="148" t="s">
        <v>1979</v>
      </c>
    </row>
    <row r="43" spans="2:4">
      <c r="B43" s="120" t="s">
        <v>1980</v>
      </c>
      <c r="C43" s="119">
        <v>44936</v>
      </c>
      <c r="D43" s="148" t="s">
        <v>1981</v>
      </c>
    </row>
    <row r="44" spans="2:4" ht="27">
      <c r="B44" s="120" t="s">
        <v>1988</v>
      </c>
      <c r="C44" s="119">
        <v>44951</v>
      </c>
      <c r="D44" s="148" t="s">
        <v>1989</v>
      </c>
    </row>
    <row r="45" spans="2:4">
      <c r="B45" s="72">
        <v>4.8</v>
      </c>
      <c r="C45" s="202">
        <v>44952</v>
      </c>
      <c r="D45" s="71" t="s">
        <v>2321</v>
      </c>
    </row>
    <row r="46" spans="2:4">
      <c r="B46" s="72">
        <v>4.9000000000000004</v>
      </c>
      <c r="C46" s="202">
        <v>44963</v>
      </c>
      <c r="D46" s="71" t="s">
        <v>2332</v>
      </c>
    </row>
    <row r="47" spans="2:4">
      <c r="B47" s="72">
        <v>5</v>
      </c>
      <c r="C47" s="202">
        <v>44970</v>
      </c>
      <c r="D47" s="71" t="s">
        <v>2338</v>
      </c>
    </row>
    <row r="48" spans="2:4">
      <c r="B48" s="72">
        <v>5.0999999999999996</v>
      </c>
      <c r="C48" s="202">
        <v>44983</v>
      </c>
      <c r="D48" s="71" t="s">
        <v>2340</v>
      </c>
    </row>
    <row r="49" spans="2:4">
      <c r="B49" s="72">
        <v>6</v>
      </c>
      <c r="C49" s="202">
        <v>45712</v>
      </c>
      <c r="D49" s="71" t="s">
        <v>2394</v>
      </c>
    </row>
    <row r="50" spans="2:4">
      <c r="B50" s="72">
        <v>6.1</v>
      </c>
      <c r="C50" s="202">
        <v>45713</v>
      </c>
      <c r="D50" s="71" t="s">
        <v>2395</v>
      </c>
    </row>
    <row r="51" spans="2:4">
      <c r="B51" s="72">
        <v>6.2</v>
      </c>
      <c r="C51" s="202">
        <v>45719</v>
      </c>
      <c r="D51" s="71" t="s">
        <v>2398</v>
      </c>
    </row>
    <row r="52" spans="2:4">
      <c r="B52" s="72">
        <v>6.3</v>
      </c>
      <c r="C52" s="202">
        <v>45721</v>
      </c>
      <c r="D52" s="71" t="s">
        <v>2446</v>
      </c>
    </row>
    <row r="53" spans="2:4">
      <c r="B53" s="72">
        <v>6.4</v>
      </c>
      <c r="C53" s="202">
        <v>45726</v>
      </c>
      <c r="D53" s="71" t="s">
        <v>2463</v>
      </c>
    </row>
  </sheetData>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6"/>
  <sheetViews>
    <sheetView topLeftCell="B1" zoomScaleNormal="100" workbookViewId="0">
      <pane ySplit="1" topLeftCell="A2" activePane="bottomLeft" state="frozen"/>
      <selection pane="bottomLeft" activeCell="I6" sqref="I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29" customWidth="1"/>
    <col min="9" max="9" width="172.5" style="31" customWidth="1"/>
    <col min="10" max="16384" width="15.5" style="1"/>
  </cols>
  <sheetData>
    <row r="1" spans="1:10" ht="16.5">
      <c r="A1" s="3" t="s">
        <v>3</v>
      </c>
      <c r="B1" s="4" t="s">
        <v>4</v>
      </c>
      <c r="C1" s="4" t="s">
        <v>5</v>
      </c>
      <c r="D1" s="4" t="s">
        <v>6</v>
      </c>
      <c r="E1" s="4" t="s">
        <v>7</v>
      </c>
      <c r="F1" s="4" t="s">
        <v>8</v>
      </c>
      <c r="G1" s="4" t="s">
        <v>9</v>
      </c>
      <c r="H1" s="4" t="s">
        <v>10</v>
      </c>
      <c r="I1" s="19" t="s">
        <v>12</v>
      </c>
    </row>
    <row r="2" spans="1:10" ht="49.5">
      <c r="A2" s="6" t="s">
        <v>29</v>
      </c>
      <c r="B2" s="7">
        <v>1</v>
      </c>
      <c r="C2" s="7">
        <f t="shared" ref="C2:C31" si="0">D2+B2-1</f>
        <v>0</v>
      </c>
      <c r="D2" s="7">
        <v>0</v>
      </c>
      <c r="E2" s="7">
        <f t="shared" ref="E2:E31" si="1">ROUNDDOWN(C2/32,0)</f>
        <v>0</v>
      </c>
      <c r="F2" s="7">
        <f t="shared" ref="F2:F31" si="2">C2-E2*32</f>
        <v>0</v>
      </c>
      <c r="G2" s="7">
        <f t="shared" ref="G2:G31" si="3">D2-E2*32</f>
        <v>0</v>
      </c>
      <c r="H2" s="7" t="s">
        <v>10</v>
      </c>
      <c r="I2" s="22" t="s">
        <v>1940</v>
      </c>
    </row>
    <row r="3" spans="1:10" ht="49.5">
      <c r="A3" s="6" t="s">
        <v>31</v>
      </c>
      <c r="B3" s="7">
        <v>1</v>
      </c>
      <c r="C3" s="7">
        <f t="shared" ca="1" si="0"/>
        <v>1</v>
      </c>
      <c r="D3" s="7">
        <f t="shared" ref="D3:D31" ca="1" si="4">INDIRECT(ADDRESS(ROW()-1,COLUMN()-1))+1</f>
        <v>1</v>
      </c>
      <c r="E3" s="7">
        <f t="shared" ca="1" si="1"/>
        <v>0</v>
      </c>
      <c r="F3" s="7">
        <f t="shared" ca="1" si="2"/>
        <v>1</v>
      </c>
      <c r="G3" s="7">
        <f t="shared" ca="1" si="3"/>
        <v>1</v>
      </c>
      <c r="H3" s="7" t="s">
        <v>10</v>
      </c>
      <c r="I3" s="22" t="s">
        <v>32</v>
      </c>
    </row>
    <row r="4" spans="1:10" ht="49.5">
      <c r="A4" s="6" t="s">
        <v>127</v>
      </c>
      <c r="B4" s="7">
        <v>1</v>
      </c>
      <c r="C4" s="7">
        <f t="shared" ca="1" si="0"/>
        <v>2</v>
      </c>
      <c r="D4" s="7">
        <f t="shared" ca="1" si="4"/>
        <v>2</v>
      </c>
      <c r="E4" s="7">
        <f t="shared" ca="1" si="1"/>
        <v>0</v>
      </c>
      <c r="F4" s="7">
        <f t="shared" ca="1" si="2"/>
        <v>2</v>
      </c>
      <c r="G4" s="7">
        <f ca="1">D4-E4*32</f>
        <v>2</v>
      </c>
      <c r="H4" s="7" t="s">
        <v>10</v>
      </c>
      <c r="I4" s="22" t="s">
        <v>2390</v>
      </c>
    </row>
    <row r="5" spans="1:10" ht="16.5">
      <c r="A5" s="6" t="s">
        <v>206</v>
      </c>
      <c r="B5" s="7">
        <v>1</v>
      </c>
      <c r="C5" s="7">
        <f ca="1">D5+B5-1</f>
        <v>3</v>
      </c>
      <c r="D5" s="7">
        <f ca="1">INDIRECT(ADDRESS(ROW()-1,COLUMN()-1))+1</f>
        <v>3</v>
      </c>
      <c r="E5" s="7">
        <f ca="1">ROUNDDOWN(C5/32,0)</f>
        <v>0</v>
      </c>
      <c r="F5" s="7">
        <f ca="1">C5-E5*32</f>
        <v>3</v>
      </c>
      <c r="G5" s="7">
        <f ca="1">D5-E5*32</f>
        <v>3</v>
      </c>
      <c r="H5" s="7" t="s">
        <v>246</v>
      </c>
      <c r="I5" s="22" t="s">
        <v>206</v>
      </c>
    </row>
    <row r="6" spans="1:10" ht="231">
      <c r="A6" s="6" t="s">
        <v>128</v>
      </c>
      <c r="B6" s="7">
        <v>4</v>
      </c>
      <c r="C6" s="7">
        <f t="shared" ca="1" si="0"/>
        <v>7</v>
      </c>
      <c r="D6" s="7">
        <f t="shared" ca="1" si="4"/>
        <v>4</v>
      </c>
      <c r="E6" s="7">
        <f t="shared" ca="1" si="1"/>
        <v>0</v>
      </c>
      <c r="F6" s="7">
        <f t="shared" ca="1" si="2"/>
        <v>7</v>
      </c>
      <c r="G6" s="7">
        <f ca="1">D6-E6*32</f>
        <v>4</v>
      </c>
      <c r="H6" s="7" t="s">
        <v>10</v>
      </c>
      <c r="I6" s="22" t="s">
        <v>2442</v>
      </c>
    </row>
    <row r="7" spans="1:10" ht="33">
      <c r="A7" s="6" t="s">
        <v>129</v>
      </c>
      <c r="B7" s="7">
        <v>3</v>
      </c>
      <c r="C7" s="7">
        <f t="shared" ca="1" si="0"/>
        <v>10</v>
      </c>
      <c r="D7" s="7">
        <f t="shared" ca="1" si="4"/>
        <v>8</v>
      </c>
      <c r="E7" s="7">
        <f t="shared" ca="1" si="1"/>
        <v>0</v>
      </c>
      <c r="F7" s="7">
        <f t="shared" ca="1" si="2"/>
        <v>10</v>
      </c>
      <c r="G7" s="7">
        <f ca="1">D7-E7*32</f>
        <v>8</v>
      </c>
      <c r="H7" s="7" t="s">
        <v>10</v>
      </c>
      <c r="I7" s="22" t="s">
        <v>420</v>
      </c>
    </row>
    <row r="8" spans="1:10" ht="33">
      <c r="A8" s="6" t="s">
        <v>143</v>
      </c>
      <c r="B8" s="7">
        <v>1</v>
      </c>
      <c r="C8" s="7">
        <f t="shared" ca="1" si="0"/>
        <v>11</v>
      </c>
      <c r="D8" s="7">
        <f t="shared" ca="1" si="4"/>
        <v>11</v>
      </c>
      <c r="E8" s="7">
        <f t="shared" ca="1" si="1"/>
        <v>0</v>
      </c>
      <c r="F8" s="7">
        <f t="shared" ca="1" si="2"/>
        <v>11</v>
      </c>
      <c r="G8" s="7">
        <f ca="1">D8-E8*32</f>
        <v>11</v>
      </c>
      <c r="H8" s="7" t="s">
        <v>10</v>
      </c>
      <c r="I8" s="22" t="s">
        <v>268</v>
      </c>
      <c r="J8" s="100" t="s">
        <v>228</v>
      </c>
    </row>
    <row r="9" spans="1:10" ht="148.5">
      <c r="A9" s="6" t="s">
        <v>55</v>
      </c>
      <c r="B9" s="7">
        <v>4</v>
      </c>
      <c r="C9" s="7">
        <f t="shared" ref="C9:C12" ca="1" si="5">D9+B9-1</f>
        <v>15</v>
      </c>
      <c r="D9" s="7">
        <f ca="1">INDIRECT(ADDRESS(ROW()-1,COLUMN()-1))+1</f>
        <v>12</v>
      </c>
      <c r="E9" s="7">
        <f t="shared" ref="E9:E12" ca="1" si="6">ROUNDDOWN(C9/32,0)</f>
        <v>0</v>
      </c>
      <c r="F9" s="7">
        <f t="shared" ref="F9:F12" ca="1" si="7">C9-E9*32</f>
        <v>15</v>
      </c>
      <c r="G9" s="7">
        <f t="shared" ref="G9:G12" ca="1" si="8">D9-E9*32</f>
        <v>12</v>
      </c>
      <c r="H9" s="7" t="s">
        <v>10</v>
      </c>
      <c r="I9" s="22" t="s">
        <v>1539</v>
      </c>
    </row>
    <row r="10" spans="1:10" ht="49.5">
      <c r="A10" s="6" t="s">
        <v>563</v>
      </c>
      <c r="B10" s="7">
        <v>13</v>
      </c>
      <c r="C10" s="7">
        <f t="shared" ca="1" si="5"/>
        <v>28</v>
      </c>
      <c r="D10" s="7">
        <f t="shared" ca="1" si="4"/>
        <v>16</v>
      </c>
      <c r="E10" s="7">
        <f t="shared" ca="1" si="6"/>
        <v>0</v>
      </c>
      <c r="F10" s="7">
        <f t="shared" ca="1" si="7"/>
        <v>28</v>
      </c>
      <c r="G10" s="7">
        <f t="shared" ca="1" si="8"/>
        <v>16</v>
      </c>
      <c r="H10" s="7" t="s">
        <v>10</v>
      </c>
      <c r="I10" s="22" t="s">
        <v>564</v>
      </c>
    </row>
    <row r="11" spans="1:10" ht="16.5">
      <c r="A11" s="6" t="s">
        <v>206</v>
      </c>
      <c r="B11" s="7">
        <v>3</v>
      </c>
      <c r="C11" s="7">
        <f t="shared" ca="1" si="5"/>
        <v>31</v>
      </c>
      <c r="D11" s="7">
        <f ca="1">INDIRECT(ADDRESS(ROW()-1,COLUMN()-1))+1</f>
        <v>29</v>
      </c>
      <c r="E11" s="7">
        <f t="shared" ca="1" si="6"/>
        <v>0</v>
      </c>
      <c r="F11" s="7">
        <f t="shared" ca="1" si="7"/>
        <v>31</v>
      </c>
      <c r="G11" s="7">
        <f t="shared" ca="1" si="8"/>
        <v>29</v>
      </c>
      <c r="H11" s="7" t="s">
        <v>246</v>
      </c>
      <c r="I11" s="22" t="s">
        <v>206</v>
      </c>
    </row>
    <row r="12" spans="1:10" ht="49.5">
      <c r="A12" s="6" t="s">
        <v>561</v>
      </c>
      <c r="B12" s="7">
        <v>13</v>
      </c>
      <c r="C12" s="7">
        <f t="shared" ca="1" si="5"/>
        <v>44</v>
      </c>
      <c r="D12" s="7">
        <f t="shared" ca="1" si="4"/>
        <v>32</v>
      </c>
      <c r="E12" s="7">
        <f t="shared" ca="1" si="6"/>
        <v>1</v>
      </c>
      <c r="F12" s="7">
        <f t="shared" ca="1" si="7"/>
        <v>12</v>
      </c>
      <c r="G12" s="7">
        <f t="shared" ca="1" si="8"/>
        <v>0</v>
      </c>
      <c r="H12" s="7" t="s">
        <v>10</v>
      </c>
      <c r="I12" s="123" t="s">
        <v>565</v>
      </c>
    </row>
    <row r="13" spans="1:10" ht="16.5">
      <c r="A13" s="6" t="s">
        <v>206</v>
      </c>
      <c r="B13" s="7">
        <v>19</v>
      </c>
      <c r="C13" s="7">
        <f t="shared" ref="C13" ca="1" si="9">D13+B13-1</f>
        <v>63</v>
      </c>
      <c r="D13" s="7">
        <f t="shared" ca="1" si="4"/>
        <v>45</v>
      </c>
      <c r="E13" s="7">
        <f t="shared" ref="E13" ca="1" si="10">ROUNDDOWN(C13/32,0)</f>
        <v>1</v>
      </c>
      <c r="F13" s="7">
        <f t="shared" ref="F13" ca="1" si="11">C13-E13*32</f>
        <v>31</v>
      </c>
      <c r="G13" s="7">
        <f t="shared" ref="G13" ca="1" si="12">D13-E13*32</f>
        <v>13</v>
      </c>
      <c r="H13" s="7" t="s">
        <v>10</v>
      </c>
      <c r="I13" s="22" t="s">
        <v>206</v>
      </c>
    </row>
    <row r="14" spans="1:10" ht="16.5">
      <c r="A14" s="6" t="s">
        <v>549</v>
      </c>
      <c r="B14" s="7">
        <v>32</v>
      </c>
      <c r="C14" s="7">
        <f t="shared" ca="1" si="0"/>
        <v>95</v>
      </c>
      <c r="D14" s="7">
        <f t="shared" ca="1" si="4"/>
        <v>64</v>
      </c>
      <c r="E14" s="7">
        <f t="shared" ca="1" si="1"/>
        <v>2</v>
      </c>
      <c r="F14" s="7">
        <f t="shared" ca="1" si="2"/>
        <v>31</v>
      </c>
      <c r="G14" s="7">
        <f t="shared" ca="1" si="3"/>
        <v>0</v>
      </c>
      <c r="H14" s="7" t="s">
        <v>10</v>
      </c>
      <c r="I14" s="22" t="s">
        <v>550</v>
      </c>
    </row>
    <row r="15" spans="1:10" ht="16.5">
      <c r="A15" s="6" t="s">
        <v>71</v>
      </c>
      <c r="B15" s="7">
        <v>32</v>
      </c>
      <c r="C15" s="7">
        <f t="shared" ca="1" si="0"/>
        <v>127</v>
      </c>
      <c r="D15" s="7">
        <f t="shared" ca="1" si="4"/>
        <v>96</v>
      </c>
      <c r="E15" s="7">
        <f t="shared" ca="1" si="1"/>
        <v>3</v>
      </c>
      <c r="F15" s="7">
        <f t="shared" ca="1" si="2"/>
        <v>31</v>
      </c>
      <c r="G15" s="7">
        <f t="shared" ca="1" si="3"/>
        <v>0</v>
      </c>
      <c r="H15" s="7" t="s">
        <v>10</v>
      </c>
      <c r="I15" s="22" t="s">
        <v>130</v>
      </c>
    </row>
    <row r="16" spans="1:10" ht="16.5">
      <c r="A16" s="6" t="s">
        <v>73</v>
      </c>
      <c r="B16" s="7">
        <v>32</v>
      </c>
      <c r="C16" s="7">
        <f t="shared" ca="1" si="0"/>
        <v>159</v>
      </c>
      <c r="D16" s="7">
        <f t="shared" ca="1" si="4"/>
        <v>128</v>
      </c>
      <c r="E16" s="7">
        <f t="shared" ca="1" si="1"/>
        <v>4</v>
      </c>
      <c r="F16" s="7">
        <f t="shared" ca="1" si="2"/>
        <v>31</v>
      </c>
      <c r="G16" s="7">
        <f t="shared" ca="1" si="3"/>
        <v>0</v>
      </c>
      <c r="H16" s="7" t="s">
        <v>10</v>
      </c>
      <c r="I16" s="22" t="s">
        <v>131</v>
      </c>
    </row>
    <row r="17" spans="1:9" ht="16.5">
      <c r="A17" s="6" t="s">
        <v>77</v>
      </c>
      <c r="B17" s="7">
        <v>32</v>
      </c>
      <c r="C17" s="7">
        <f t="shared" ca="1" si="0"/>
        <v>191</v>
      </c>
      <c r="D17" s="7">
        <f t="shared" ca="1" si="4"/>
        <v>160</v>
      </c>
      <c r="E17" s="7">
        <f t="shared" ca="1" si="1"/>
        <v>5</v>
      </c>
      <c r="F17" s="7">
        <f t="shared" ca="1" si="2"/>
        <v>31</v>
      </c>
      <c r="G17" s="7">
        <f t="shared" ca="1" si="3"/>
        <v>0</v>
      </c>
      <c r="H17" s="7" t="s">
        <v>10</v>
      </c>
      <c r="I17" s="22" t="s">
        <v>409</v>
      </c>
    </row>
    <row r="18" spans="1:9" ht="16.5">
      <c r="A18" s="6" t="s">
        <v>78</v>
      </c>
      <c r="B18" s="7">
        <v>32</v>
      </c>
      <c r="C18" s="7">
        <f t="shared" ca="1" si="0"/>
        <v>223</v>
      </c>
      <c r="D18" s="7">
        <f t="shared" ca="1" si="4"/>
        <v>192</v>
      </c>
      <c r="E18" s="7">
        <f t="shared" ca="1" si="1"/>
        <v>6</v>
      </c>
      <c r="F18" s="7">
        <f t="shared" ca="1" si="2"/>
        <v>31</v>
      </c>
      <c r="G18" s="7">
        <f t="shared" ca="1" si="3"/>
        <v>0</v>
      </c>
      <c r="H18" s="7" t="s">
        <v>10</v>
      </c>
      <c r="I18" s="22" t="s">
        <v>132</v>
      </c>
    </row>
    <row r="19" spans="1:9" ht="16.5">
      <c r="A19" s="6" t="s">
        <v>80</v>
      </c>
      <c r="B19" s="7">
        <v>32</v>
      </c>
      <c r="C19" s="7">
        <f t="shared" ca="1" si="0"/>
        <v>255</v>
      </c>
      <c r="D19" s="7">
        <f t="shared" ca="1" si="4"/>
        <v>224</v>
      </c>
      <c r="E19" s="7">
        <f t="shared" ca="1" si="1"/>
        <v>7</v>
      </c>
      <c r="F19" s="7">
        <f t="shared" ca="1" si="2"/>
        <v>31</v>
      </c>
      <c r="G19" s="7">
        <f t="shared" ca="1" si="3"/>
        <v>0</v>
      </c>
      <c r="H19" s="7" t="s">
        <v>10</v>
      </c>
      <c r="I19" s="22" t="s">
        <v>133</v>
      </c>
    </row>
    <row r="20" spans="1:9" ht="16.5">
      <c r="A20" s="6" t="s">
        <v>84</v>
      </c>
      <c r="B20" s="7">
        <v>16</v>
      </c>
      <c r="C20" s="7">
        <f t="shared" ca="1" si="0"/>
        <v>271</v>
      </c>
      <c r="D20" s="7">
        <f t="shared" ca="1" si="4"/>
        <v>256</v>
      </c>
      <c r="E20" s="7">
        <f t="shared" ca="1" si="1"/>
        <v>8</v>
      </c>
      <c r="F20" s="7">
        <f t="shared" ca="1" si="2"/>
        <v>15</v>
      </c>
      <c r="G20" s="7">
        <f t="shared" ca="1" si="3"/>
        <v>0</v>
      </c>
      <c r="H20" s="7" t="s">
        <v>10</v>
      </c>
      <c r="I20" s="22" t="s">
        <v>134</v>
      </c>
    </row>
    <row r="21" spans="1:9" ht="16.5">
      <c r="A21" s="6" t="s">
        <v>87</v>
      </c>
      <c r="B21" s="7">
        <v>16</v>
      </c>
      <c r="C21" s="7">
        <f t="shared" ca="1" si="0"/>
        <v>287</v>
      </c>
      <c r="D21" s="7">
        <f t="shared" ca="1" si="4"/>
        <v>272</v>
      </c>
      <c r="E21" s="7">
        <f t="shared" ca="1" si="1"/>
        <v>8</v>
      </c>
      <c r="F21" s="7">
        <f t="shared" ca="1" si="2"/>
        <v>31</v>
      </c>
      <c r="G21" s="7">
        <f t="shared" ca="1" si="3"/>
        <v>16</v>
      </c>
      <c r="H21" s="7" t="s">
        <v>10</v>
      </c>
      <c r="I21" s="22" t="s">
        <v>135</v>
      </c>
    </row>
    <row r="22" spans="1:9" ht="16.5">
      <c r="A22" s="6" t="s">
        <v>89</v>
      </c>
      <c r="B22" s="7">
        <v>32</v>
      </c>
      <c r="C22" s="7">
        <f t="shared" ca="1" si="0"/>
        <v>319</v>
      </c>
      <c r="D22" s="7">
        <f t="shared" ca="1" si="4"/>
        <v>288</v>
      </c>
      <c r="E22" s="7">
        <f t="shared" ca="1" si="1"/>
        <v>9</v>
      </c>
      <c r="F22" s="7">
        <f t="shared" ca="1" si="2"/>
        <v>31</v>
      </c>
      <c r="G22" s="7">
        <f t="shared" ca="1" si="3"/>
        <v>0</v>
      </c>
      <c r="H22" s="7" t="s">
        <v>10</v>
      </c>
      <c r="I22" s="22" t="s">
        <v>136</v>
      </c>
    </row>
    <row r="23" spans="1:9" ht="16.5">
      <c r="A23" s="6" t="s">
        <v>91</v>
      </c>
      <c r="B23" s="7">
        <v>32</v>
      </c>
      <c r="C23" s="7">
        <f t="shared" ca="1" si="0"/>
        <v>351</v>
      </c>
      <c r="D23" s="7">
        <f t="shared" ca="1" si="4"/>
        <v>320</v>
      </c>
      <c r="E23" s="7">
        <f t="shared" ca="1" si="1"/>
        <v>10</v>
      </c>
      <c r="F23" s="7">
        <f t="shared" ca="1" si="2"/>
        <v>31</v>
      </c>
      <c r="G23" s="7">
        <f t="shared" ca="1" si="3"/>
        <v>0</v>
      </c>
      <c r="H23" s="7" t="s">
        <v>10</v>
      </c>
      <c r="I23" s="22" t="s">
        <v>137</v>
      </c>
    </row>
    <row r="24" spans="1:9" ht="16.5">
      <c r="A24" s="6" t="s">
        <v>93</v>
      </c>
      <c r="B24" s="7">
        <v>16</v>
      </c>
      <c r="C24" s="7">
        <f t="shared" ca="1" si="0"/>
        <v>367</v>
      </c>
      <c r="D24" s="7">
        <f t="shared" ca="1" si="4"/>
        <v>352</v>
      </c>
      <c r="E24" s="7">
        <f t="shared" ca="1" si="1"/>
        <v>11</v>
      </c>
      <c r="F24" s="7">
        <f t="shared" ca="1" si="2"/>
        <v>15</v>
      </c>
      <c r="G24" s="7">
        <f t="shared" ca="1" si="3"/>
        <v>0</v>
      </c>
      <c r="H24" s="7" t="s">
        <v>10</v>
      </c>
      <c r="I24" s="22" t="s">
        <v>138</v>
      </c>
    </row>
    <row r="25" spans="1:9" ht="16.5">
      <c r="A25" s="6" t="s">
        <v>95</v>
      </c>
      <c r="B25" s="7">
        <v>16</v>
      </c>
      <c r="C25" s="7">
        <f t="shared" ca="1" si="0"/>
        <v>383</v>
      </c>
      <c r="D25" s="7">
        <f t="shared" ca="1" si="4"/>
        <v>368</v>
      </c>
      <c r="E25" s="7">
        <f t="shared" ca="1" si="1"/>
        <v>11</v>
      </c>
      <c r="F25" s="7">
        <f t="shared" ca="1" si="2"/>
        <v>31</v>
      </c>
      <c r="G25" s="7">
        <f t="shared" ca="1" si="3"/>
        <v>16</v>
      </c>
      <c r="H25" s="7" t="s">
        <v>10</v>
      </c>
      <c r="I25" s="22" t="s">
        <v>139</v>
      </c>
    </row>
    <row r="26" spans="1:9" ht="16.5">
      <c r="A26" s="6" t="s">
        <v>97</v>
      </c>
      <c r="B26" s="7">
        <v>32</v>
      </c>
      <c r="C26" s="7">
        <f t="shared" ca="1" si="0"/>
        <v>415</v>
      </c>
      <c r="D26" s="7">
        <f t="shared" ca="1" si="4"/>
        <v>384</v>
      </c>
      <c r="E26" s="7">
        <f t="shared" ca="1" si="1"/>
        <v>12</v>
      </c>
      <c r="F26" s="7">
        <f t="shared" ca="1" si="2"/>
        <v>31</v>
      </c>
      <c r="G26" s="7">
        <f t="shared" ca="1" si="3"/>
        <v>0</v>
      </c>
      <c r="H26" s="7" t="s">
        <v>10</v>
      </c>
      <c r="I26" s="22" t="s">
        <v>140</v>
      </c>
    </row>
    <row r="27" spans="1:9" ht="16.5">
      <c r="A27" s="6" t="s">
        <v>99</v>
      </c>
      <c r="B27" s="7">
        <v>32</v>
      </c>
      <c r="C27" s="7">
        <f t="shared" ca="1" si="0"/>
        <v>447</v>
      </c>
      <c r="D27" s="7">
        <f t="shared" ca="1" si="4"/>
        <v>416</v>
      </c>
      <c r="E27" s="7">
        <f t="shared" ca="1" si="1"/>
        <v>13</v>
      </c>
      <c r="F27" s="7">
        <f t="shared" ca="1" si="2"/>
        <v>31</v>
      </c>
      <c r="G27" s="7">
        <f t="shared" ca="1" si="3"/>
        <v>0</v>
      </c>
      <c r="H27" s="7" t="s">
        <v>10</v>
      </c>
      <c r="I27" s="22" t="s">
        <v>141</v>
      </c>
    </row>
    <row r="28" spans="1:9" ht="16.5">
      <c r="A28" s="6" t="s">
        <v>247</v>
      </c>
      <c r="B28" s="7">
        <v>32</v>
      </c>
      <c r="C28" s="7">
        <f t="shared" ca="1" si="0"/>
        <v>479</v>
      </c>
      <c r="D28" s="7">
        <f t="shared" ca="1" si="4"/>
        <v>448</v>
      </c>
      <c r="E28" s="7">
        <f t="shared" ca="1" si="1"/>
        <v>14</v>
      </c>
      <c r="F28" s="7">
        <f t="shared" ca="1" si="2"/>
        <v>31</v>
      </c>
      <c r="G28" s="7">
        <f t="shared" ca="1" si="3"/>
        <v>0</v>
      </c>
      <c r="H28" s="7" t="s">
        <v>10</v>
      </c>
      <c r="I28" s="123" t="s">
        <v>252</v>
      </c>
    </row>
    <row r="29" spans="1:9" ht="16.5">
      <c r="A29" s="6" t="s">
        <v>249</v>
      </c>
      <c r="B29" s="7">
        <v>32</v>
      </c>
      <c r="C29" s="7">
        <f t="shared" ref="C29:C30" ca="1" si="13">D29+B29-1</f>
        <v>511</v>
      </c>
      <c r="D29" s="7">
        <f t="shared" ca="1" si="4"/>
        <v>480</v>
      </c>
      <c r="E29" s="7">
        <f t="shared" ref="E29:E30" ca="1" si="14">ROUNDDOWN(C29/32,0)</f>
        <v>15</v>
      </c>
      <c r="F29" s="7">
        <f t="shared" ref="F29:F30" ca="1" si="15">C29-E29*32</f>
        <v>31</v>
      </c>
      <c r="G29" s="7">
        <f t="shared" ref="G29:G30" ca="1" si="16">D29-E29*32</f>
        <v>0</v>
      </c>
      <c r="H29" s="7" t="s">
        <v>10</v>
      </c>
      <c r="I29" s="24" t="s">
        <v>253</v>
      </c>
    </row>
    <row r="30" spans="1:9" ht="16.5">
      <c r="A30" s="6" t="s">
        <v>2392</v>
      </c>
      <c r="B30" s="7">
        <v>10</v>
      </c>
      <c r="C30" s="7">
        <f t="shared" ca="1" si="13"/>
        <v>521</v>
      </c>
      <c r="D30" s="7">
        <f t="shared" ca="1" si="4"/>
        <v>512</v>
      </c>
      <c r="E30" s="7">
        <f t="shared" ca="1" si="14"/>
        <v>16</v>
      </c>
      <c r="F30" s="7">
        <f t="shared" ca="1" si="15"/>
        <v>9</v>
      </c>
      <c r="G30" s="7">
        <f t="shared" ca="1" si="16"/>
        <v>0</v>
      </c>
      <c r="H30" s="7" t="s">
        <v>10</v>
      </c>
      <c r="I30" s="24" t="s">
        <v>2393</v>
      </c>
    </row>
    <row r="31" spans="1:9" ht="16.5">
      <c r="A31" s="6" t="s">
        <v>2391</v>
      </c>
      <c r="B31" s="7">
        <v>10</v>
      </c>
      <c r="C31" s="7">
        <f t="shared" ca="1" si="0"/>
        <v>531</v>
      </c>
      <c r="D31" s="7">
        <f t="shared" ca="1" si="4"/>
        <v>522</v>
      </c>
      <c r="E31" s="7">
        <f t="shared" ca="1" si="1"/>
        <v>16</v>
      </c>
      <c r="F31" s="7">
        <f t="shared" ca="1" si="2"/>
        <v>19</v>
      </c>
      <c r="G31" s="7">
        <f t="shared" ca="1" si="3"/>
        <v>10</v>
      </c>
      <c r="H31" s="7" t="s">
        <v>10</v>
      </c>
      <c r="I31" s="24" t="s">
        <v>2393</v>
      </c>
    </row>
    <row r="32" spans="1:9">
      <c r="A32" s="28" t="s">
        <v>122</v>
      </c>
    </row>
    <row r="33" spans="1:1">
      <c r="A33" s="28" t="s">
        <v>123</v>
      </c>
    </row>
    <row r="34" spans="1:1">
      <c r="A34" s="28" t="s">
        <v>124</v>
      </c>
    </row>
    <row r="35" spans="1:1">
      <c r="A35" s="28" t="s">
        <v>125</v>
      </c>
    </row>
    <row r="36" spans="1:1">
      <c r="A36" s="28" t="s">
        <v>126</v>
      </c>
    </row>
  </sheetData>
  <phoneticPr fontId="24" type="noConversion"/>
  <pageMargins left="0.25" right="0.25" top="0.75" bottom="0.75" header="0.3" footer="0.3"/>
  <pageSetup paperSize="9"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
  <sheetViews>
    <sheetView workbookViewId="0">
      <selection activeCell="G52" sqref="G52"/>
    </sheetView>
  </sheetViews>
  <sheetFormatPr defaultRowHeight="13.5"/>
  <cols>
    <col min="7" max="7" width="17.5" customWidth="1"/>
    <col min="12" max="12" width="13.25" customWidth="1"/>
    <col min="13" max="13" width="35.125" customWidth="1"/>
  </cols>
  <sheetData>
    <row r="1" spans="1:24" ht="15">
      <c r="A1" s="131" t="s">
        <v>660</v>
      </c>
      <c r="B1" s="132" t="s">
        <v>895</v>
      </c>
      <c r="C1" s="132"/>
      <c r="D1" s="132"/>
      <c r="E1" s="133"/>
      <c r="F1" s="133"/>
      <c r="G1" s="131"/>
      <c r="H1" s="131"/>
      <c r="I1" s="131"/>
      <c r="J1" s="131"/>
      <c r="K1" s="131"/>
      <c r="L1" s="131"/>
      <c r="M1" s="131"/>
      <c r="N1" s="131"/>
      <c r="O1" s="131"/>
      <c r="P1" s="131"/>
      <c r="Q1" s="131"/>
      <c r="R1" s="131"/>
      <c r="S1" s="131"/>
      <c r="T1" s="131"/>
      <c r="U1" s="131"/>
      <c r="V1" s="131"/>
      <c r="W1" s="131"/>
      <c r="X1" s="131"/>
    </row>
    <row r="2" spans="1:24" ht="15">
      <c r="A2" s="131" t="s">
        <v>661</v>
      </c>
      <c r="B2" s="132" t="s">
        <v>896</v>
      </c>
      <c r="C2" s="132"/>
      <c r="D2" s="132"/>
      <c r="E2" s="133"/>
      <c r="F2" s="133"/>
      <c r="G2" s="131"/>
      <c r="H2" s="131"/>
      <c r="I2" s="131"/>
      <c r="J2" s="131"/>
      <c r="K2" s="131"/>
      <c r="L2" s="131"/>
      <c r="M2" s="131"/>
      <c r="N2" s="131"/>
      <c r="O2" s="131"/>
      <c r="P2" s="131"/>
      <c r="Q2" s="131"/>
      <c r="R2" s="131"/>
      <c r="S2" s="131"/>
      <c r="T2" s="131"/>
      <c r="U2" s="131"/>
      <c r="V2" s="131"/>
      <c r="W2" s="131"/>
      <c r="X2" s="131"/>
    </row>
    <row r="3" spans="1:24" ht="15">
      <c r="A3" s="131" t="s">
        <v>662</v>
      </c>
      <c r="B3" s="132" t="s">
        <v>897</v>
      </c>
      <c r="C3" s="132"/>
      <c r="D3" s="132"/>
      <c r="E3" s="133"/>
      <c r="F3" s="133"/>
      <c r="G3" s="131"/>
      <c r="H3" s="131"/>
      <c r="I3" s="134"/>
      <c r="J3" s="134"/>
      <c r="K3" s="134"/>
      <c r="L3" s="131"/>
      <c r="M3" s="131"/>
      <c r="N3" s="131"/>
      <c r="O3" s="134"/>
      <c r="P3" s="131"/>
      <c r="Q3" s="131"/>
      <c r="R3" s="131"/>
      <c r="S3" s="131"/>
      <c r="T3" s="131"/>
      <c r="U3" s="131"/>
      <c r="V3" s="131"/>
      <c r="W3" s="131"/>
      <c r="X3" s="131"/>
    </row>
    <row r="4" spans="1:24" ht="15">
      <c r="A4" s="131" t="s">
        <v>898</v>
      </c>
      <c r="B4" s="132">
        <v>40</v>
      </c>
      <c r="C4" s="132"/>
      <c r="D4" s="132"/>
      <c r="E4" s="133"/>
      <c r="F4" s="133"/>
      <c r="G4" s="131"/>
      <c r="H4" s="131"/>
      <c r="I4" s="134"/>
      <c r="J4" s="134"/>
      <c r="K4" s="134"/>
      <c r="L4" s="131"/>
      <c r="M4" s="131"/>
      <c r="N4" s="131"/>
      <c r="O4" s="134"/>
      <c r="P4" s="131"/>
      <c r="Q4" s="131"/>
      <c r="R4" s="131"/>
      <c r="S4" s="131"/>
      <c r="T4" s="131"/>
      <c r="U4" s="131"/>
      <c r="V4" s="131"/>
      <c r="W4" s="131"/>
      <c r="X4" s="131"/>
    </row>
    <row r="5" spans="1:24" ht="15">
      <c r="A5" s="131" t="s">
        <v>663</v>
      </c>
      <c r="B5" s="132" t="s">
        <v>899</v>
      </c>
      <c r="C5" s="132"/>
      <c r="D5" s="132"/>
      <c r="E5" s="133"/>
      <c r="F5" s="133"/>
      <c r="G5" s="131"/>
      <c r="H5" s="131"/>
      <c r="I5" s="134"/>
      <c r="J5" s="134"/>
      <c r="K5" s="134"/>
      <c r="L5" s="131"/>
      <c r="M5" s="131"/>
      <c r="N5" s="131"/>
      <c r="O5" s="134"/>
      <c r="P5" s="131"/>
      <c r="Q5" s="131"/>
      <c r="R5" s="131"/>
      <c r="S5" s="131"/>
      <c r="T5" s="131"/>
      <c r="U5" s="131"/>
      <c r="V5" s="131"/>
      <c r="W5" s="131"/>
      <c r="X5" s="131"/>
    </row>
    <row r="6" spans="1:24" ht="15">
      <c r="A6" s="131" t="s">
        <v>664</v>
      </c>
      <c r="B6" s="132" t="s">
        <v>696</v>
      </c>
      <c r="C6" s="132"/>
      <c r="D6" s="132"/>
      <c r="E6" s="133"/>
      <c r="F6" s="133"/>
      <c r="G6" s="131"/>
      <c r="H6" s="131"/>
      <c r="I6" s="134"/>
      <c r="J6" s="134"/>
      <c r="K6" s="134"/>
      <c r="L6" s="131"/>
      <c r="M6" s="131"/>
      <c r="N6" s="131"/>
      <c r="O6" s="134"/>
      <c r="P6" s="131"/>
      <c r="Q6" s="131"/>
      <c r="R6" s="131"/>
      <c r="S6" s="131"/>
      <c r="T6" s="131"/>
      <c r="U6" s="131"/>
      <c r="V6" s="131"/>
      <c r="W6" s="131"/>
      <c r="X6" s="131"/>
    </row>
    <row r="7" spans="1:24" ht="15">
      <c r="A7" s="131" t="s">
        <v>665</v>
      </c>
      <c r="B7" s="132" t="s">
        <v>666</v>
      </c>
      <c r="C7" s="132"/>
      <c r="D7" s="132"/>
      <c r="E7" s="133"/>
      <c r="F7" s="133"/>
      <c r="G7" s="131"/>
      <c r="H7" s="131"/>
      <c r="I7" s="134"/>
      <c r="J7" s="134"/>
      <c r="K7" s="134"/>
      <c r="L7" s="131"/>
      <c r="M7" s="131"/>
      <c r="N7" s="131"/>
      <c r="O7" s="134"/>
      <c r="P7" s="131"/>
      <c r="Q7" s="131"/>
      <c r="R7" s="131"/>
      <c r="S7" s="131"/>
      <c r="T7" s="131"/>
      <c r="U7" s="131"/>
      <c r="V7" s="131"/>
      <c r="W7" s="131"/>
      <c r="X7" s="131"/>
    </row>
    <row r="8" spans="1:24" ht="15">
      <c r="A8" s="131" t="s">
        <v>667</v>
      </c>
      <c r="B8" s="132" t="s">
        <v>900</v>
      </c>
      <c r="C8" s="132"/>
      <c r="D8" s="132"/>
      <c r="E8" s="133"/>
      <c r="F8" s="133"/>
      <c r="G8" s="131"/>
      <c r="H8" s="131"/>
      <c r="I8" s="134"/>
      <c r="J8" s="134"/>
      <c r="K8" s="134"/>
      <c r="L8" s="131"/>
      <c r="M8" s="131"/>
      <c r="N8" s="131"/>
      <c r="O8" s="134"/>
      <c r="P8" s="131"/>
      <c r="Q8" s="131"/>
      <c r="R8" s="131"/>
      <c r="S8" s="131"/>
      <c r="T8" s="131"/>
      <c r="U8" s="131"/>
      <c r="V8" s="131"/>
      <c r="W8" s="131"/>
      <c r="X8" s="131"/>
    </row>
    <row r="9" spans="1:24" ht="15">
      <c r="A9" s="131" t="s">
        <v>901</v>
      </c>
      <c r="B9" s="132">
        <v>1</v>
      </c>
      <c r="C9" s="132"/>
      <c r="D9" s="132"/>
      <c r="E9" s="133"/>
      <c r="F9" s="133"/>
      <c r="G9" s="131"/>
      <c r="H9" s="131"/>
      <c r="I9" s="134"/>
      <c r="J9" s="134"/>
      <c r="K9" s="134"/>
      <c r="L9" s="131"/>
      <c r="M9" s="131"/>
      <c r="N9" s="131"/>
      <c r="O9" s="134"/>
      <c r="P9" s="131"/>
      <c r="Q9" s="131"/>
      <c r="R9" s="131"/>
      <c r="S9" s="131"/>
      <c r="T9" s="131"/>
      <c r="U9" s="131"/>
      <c r="V9" s="131"/>
      <c r="W9" s="131"/>
      <c r="X9" s="131"/>
    </row>
    <row r="10" spans="1:24" ht="15">
      <c r="A10" s="131" t="s">
        <v>668</v>
      </c>
      <c r="B10" s="132" t="s">
        <v>902</v>
      </c>
      <c r="C10" s="132"/>
      <c r="D10" s="132"/>
      <c r="E10" s="132"/>
      <c r="F10" s="133"/>
      <c r="G10" s="131"/>
      <c r="H10" s="131"/>
      <c r="I10" s="131"/>
      <c r="J10" s="131"/>
      <c r="K10" s="131"/>
      <c r="L10" s="131"/>
      <c r="M10" s="131"/>
      <c r="N10" s="131"/>
      <c r="O10" s="131"/>
      <c r="P10" s="131"/>
      <c r="Q10" s="131"/>
      <c r="R10" s="131"/>
      <c r="S10" s="131"/>
      <c r="T10" s="131"/>
      <c r="U10" s="131"/>
      <c r="V10" s="131"/>
      <c r="W10" s="131"/>
      <c r="X10" s="131"/>
    </row>
    <row r="11" spans="1:24" ht="15">
      <c r="A11" s="135" t="s">
        <v>669</v>
      </c>
      <c r="B11" s="135"/>
      <c r="C11" s="136"/>
      <c r="D11" s="136"/>
      <c r="E11" s="135"/>
      <c r="F11" s="135"/>
      <c r="G11" s="135"/>
      <c r="H11" s="135"/>
      <c r="I11" s="135"/>
      <c r="J11" s="135"/>
      <c r="K11" s="135"/>
      <c r="L11" s="135"/>
      <c r="M11" s="135"/>
      <c r="N11" s="135"/>
      <c r="O11" s="135"/>
      <c r="P11" s="135"/>
      <c r="Q11" s="135"/>
      <c r="R11" s="135"/>
      <c r="S11" s="135"/>
      <c r="T11" s="135"/>
      <c r="U11" s="135"/>
      <c r="V11" s="135"/>
      <c r="W11" s="135"/>
      <c r="X11" s="135"/>
    </row>
    <row r="12" spans="1:24" ht="15">
      <c r="A12" s="135" t="s">
        <v>670</v>
      </c>
      <c r="B12" s="135"/>
      <c r="C12" s="135"/>
      <c r="D12" s="135"/>
      <c r="E12" s="135"/>
      <c r="F12" s="135"/>
      <c r="G12" s="135"/>
      <c r="H12" s="135"/>
      <c r="I12" s="135"/>
      <c r="J12" s="135"/>
      <c r="K12" s="135"/>
      <c r="L12" s="135"/>
      <c r="M12" s="135"/>
      <c r="N12" s="135"/>
      <c r="O12" s="135"/>
      <c r="P12" s="135"/>
      <c r="Q12" s="135"/>
      <c r="R12" s="135"/>
      <c r="S12" s="135"/>
      <c r="T12" s="135"/>
      <c r="U12" s="135"/>
      <c r="V12" s="135"/>
      <c r="W12" s="135"/>
      <c r="X12" s="135"/>
    </row>
    <row r="13" spans="1:24" ht="47.25">
      <c r="A13" s="137" t="s">
        <v>671</v>
      </c>
      <c r="B13" s="137" t="s">
        <v>672</v>
      </c>
      <c r="C13" s="137" t="s">
        <v>673</v>
      </c>
      <c r="D13" s="137" t="s">
        <v>674</v>
      </c>
      <c r="E13" s="137" t="s">
        <v>675</v>
      </c>
      <c r="F13" s="137" t="s">
        <v>676</v>
      </c>
      <c r="G13" s="137" t="s">
        <v>677</v>
      </c>
      <c r="H13" s="137" t="s">
        <v>678</v>
      </c>
      <c r="I13" s="137" t="s">
        <v>679</v>
      </c>
      <c r="J13" s="137" t="s">
        <v>680</v>
      </c>
      <c r="K13" s="137" t="s">
        <v>681</v>
      </c>
      <c r="L13" s="137" t="s">
        <v>682</v>
      </c>
      <c r="M13" s="137" t="s">
        <v>683</v>
      </c>
      <c r="N13" s="137" t="s">
        <v>684</v>
      </c>
      <c r="O13" s="137" t="s">
        <v>685</v>
      </c>
      <c r="P13" s="137" t="s">
        <v>686</v>
      </c>
      <c r="Q13" s="137" t="s">
        <v>687</v>
      </c>
      <c r="R13" s="137" t="s">
        <v>688</v>
      </c>
      <c r="S13" s="137" t="s">
        <v>689</v>
      </c>
      <c r="T13" s="138" t="s">
        <v>690</v>
      </c>
      <c r="U13" s="139" t="s">
        <v>691</v>
      </c>
      <c r="V13" s="140" t="s">
        <v>692</v>
      </c>
      <c r="W13" s="141"/>
      <c r="X13" s="141"/>
    </row>
    <row r="14" spans="1:24">
      <c r="A14" s="32" t="s">
        <v>693</v>
      </c>
      <c r="B14" s="32" t="s">
        <v>693</v>
      </c>
      <c r="C14" s="32" t="s">
        <v>694</v>
      </c>
      <c r="D14" s="32" t="s">
        <v>695</v>
      </c>
      <c r="E14" s="32"/>
      <c r="F14" s="32" t="s">
        <v>696</v>
      </c>
      <c r="G14" s="143" t="s">
        <v>1328</v>
      </c>
      <c r="H14" s="32">
        <v>0</v>
      </c>
      <c r="I14" s="32">
        <v>0</v>
      </c>
      <c r="J14" s="32">
        <v>1</v>
      </c>
      <c r="K14" s="32" t="s">
        <v>693</v>
      </c>
      <c r="L14" s="32" t="s">
        <v>697</v>
      </c>
      <c r="M14" s="144" t="s">
        <v>1327</v>
      </c>
      <c r="N14" s="32"/>
      <c r="O14" s="32"/>
      <c r="P14" s="32"/>
      <c r="Q14" s="32"/>
      <c r="R14" s="32"/>
      <c r="S14" s="32"/>
      <c r="T14" s="32"/>
      <c r="U14" s="32"/>
      <c r="V14" s="32"/>
      <c r="W14" s="32"/>
      <c r="X14" s="32"/>
    </row>
    <row r="15" spans="1:24">
      <c r="A15" s="32"/>
      <c r="B15" s="32"/>
      <c r="C15" s="32"/>
      <c r="D15" s="32"/>
      <c r="E15" s="32"/>
      <c r="F15" s="32"/>
      <c r="G15" s="32"/>
      <c r="H15" s="32"/>
      <c r="I15" s="32"/>
      <c r="J15" s="32"/>
      <c r="K15" s="32"/>
      <c r="L15" s="32"/>
      <c r="M15" s="144"/>
      <c r="N15" s="32"/>
      <c r="O15" s="32"/>
      <c r="P15" s="32"/>
      <c r="Q15" s="32"/>
      <c r="R15" s="32"/>
      <c r="S15" s="32"/>
      <c r="T15" s="32"/>
      <c r="U15" s="32"/>
      <c r="V15" s="32"/>
      <c r="W15" s="32"/>
      <c r="X15" s="32"/>
    </row>
    <row r="16" spans="1:24">
      <c r="A16" s="32"/>
      <c r="B16" s="32"/>
      <c r="C16" s="32"/>
      <c r="D16" s="32"/>
      <c r="E16" s="32"/>
      <c r="F16" s="32"/>
      <c r="G16" s="32"/>
      <c r="H16" s="32"/>
      <c r="I16" s="32"/>
      <c r="J16" s="32"/>
      <c r="K16" s="32"/>
      <c r="L16" s="32"/>
      <c r="M16" s="144"/>
      <c r="N16" s="32"/>
      <c r="O16" s="32"/>
      <c r="P16" s="32"/>
      <c r="Q16" s="32"/>
      <c r="R16" s="32"/>
      <c r="S16" s="32"/>
      <c r="T16" s="32"/>
      <c r="U16" s="32"/>
      <c r="V16" s="32"/>
      <c r="W16" s="32"/>
      <c r="X16" s="32"/>
    </row>
    <row r="17" spans="1:24">
      <c r="A17" s="32"/>
      <c r="B17" s="32"/>
      <c r="C17" s="32"/>
      <c r="D17" s="32"/>
      <c r="E17" s="32"/>
      <c r="F17" s="32"/>
      <c r="G17" s="32"/>
      <c r="H17" s="32"/>
      <c r="I17" s="32"/>
      <c r="J17" s="32"/>
      <c r="K17" s="32"/>
      <c r="L17" s="32"/>
      <c r="M17" s="144"/>
      <c r="N17" s="32"/>
      <c r="O17" s="32"/>
      <c r="P17" s="32"/>
      <c r="Q17" s="32"/>
      <c r="R17" s="32"/>
      <c r="S17" s="32"/>
      <c r="T17" s="32"/>
      <c r="U17" s="32"/>
      <c r="V17" s="32"/>
      <c r="W17" s="32"/>
      <c r="X17" s="32"/>
    </row>
    <row r="18" spans="1:24">
      <c r="A18" s="32"/>
      <c r="B18" s="32"/>
      <c r="C18" s="32"/>
      <c r="D18" s="32"/>
      <c r="E18" s="32"/>
      <c r="F18" s="32"/>
      <c r="G18" s="143"/>
      <c r="H18" s="32"/>
      <c r="I18" s="32"/>
      <c r="J18" s="32"/>
      <c r="K18" s="32"/>
      <c r="L18" s="32"/>
      <c r="M18" s="144"/>
      <c r="N18" s="32"/>
      <c r="O18" s="32"/>
      <c r="P18" s="32"/>
      <c r="Q18" s="32"/>
      <c r="R18" s="32"/>
      <c r="S18" s="32"/>
      <c r="T18" s="32"/>
      <c r="U18" s="32"/>
      <c r="V18" s="32"/>
      <c r="W18" s="32"/>
      <c r="X18" s="32"/>
    </row>
    <row r="19" spans="1:24">
      <c r="A19" s="32"/>
      <c r="B19" s="32"/>
      <c r="C19" s="32"/>
      <c r="D19" s="32"/>
      <c r="E19" s="32"/>
      <c r="F19" s="32"/>
      <c r="G19" s="143"/>
      <c r="H19" s="32"/>
      <c r="I19" s="32"/>
      <c r="J19" s="32"/>
      <c r="K19" s="32"/>
      <c r="L19" s="32"/>
      <c r="M19" s="144"/>
      <c r="N19" s="32"/>
      <c r="O19" s="32"/>
      <c r="P19" s="32"/>
      <c r="Q19" s="32"/>
      <c r="R19" s="32"/>
      <c r="S19" s="32"/>
      <c r="T19" s="32"/>
      <c r="U19" s="32"/>
      <c r="V19" s="32"/>
      <c r="W19" s="32"/>
      <c r="X19" s="32"/>
    </row>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5"/>
  <sheetViews>
    <sheetView topLeftCell="A70" zoomScale="115" zoomScaleNormal="115" workbookViewId="0">
      <selection activeCell="G36" sqref="G36:M36"/>
    </sheetView>
  </sheetViews>
  <sheetFormatPr defaultColWidth="6.5" defaultRowHeight="15"/>
  <cols>
    <col min="1" max="1" width="18.125" style="135" bestFit="1" customWidth="1"/>
    <col min="2" max="2" width="16" style="135" customWidth="1"/>
    <col min="3" max="3" width="23" style="135" customWidth="1"/>
    <col min="4" max="4" width="24.5" style="135" customWidth="1"/>
    <col min="5" max="5" width="18.625" style="135" customWidth="1"/>
    <col min="6" max="6" width="7.625" style="135" customWidth="1"/>
    <col min="7" max="7" width="23.375" style="135" customWidth="1"/>
    <col min="8" max="8" width="4.625" style="135" bestFit="1" customWidth="1"/>
    <col min="9" max="9" width="3.875" style="135" bestFit="1" customWidth="1"/>
    <col min="10" max="10" width="4.625" style="135" bestFit="1" customWidth="1"/>
    <col min="11" max="11" width="8.25" style="135" customWidth="1"/>
    <col min="12" max="12" width="7.5" style="135" customWidth="1"/>
    <col min="13" max="13" width="67.75" style="135" customWidth="1"/>
    <col min="14" max="14" width="6.75" style="135" customWidth="1"/>
    <col min="15" max="15" width="7.625" style="135" bestFit="1" customWidth="1"/>
    <col min="16" max="16" width="8.75" style="135" customWidth="1"/>
    <col min="17" max="17" width="11.375" style="135" customWidth="1"/>
    <col min="18" max="18" width="15.125" style="135" customWidth="1"/>
    <col min="19" max="19" width="7.625" style="135" bestFit="1" customWidth="1"/>
    <col min="20" max="20" width="11" style="135" bestFit="1" customWidth="1"/>
    <col min="21" max="27" width="6.5" style="135"/>
    <col min="28" max="28" width="12.5" style="135" customWidth="1"/>
    <col min="29" max="256" width="6.5" style="135"/>
    <col min="257" max="257" width="18.125" style="135" bestFit="1" customWidth="1"/>
    <col min="258" max="258" width="16" style="135" customWidth="1"/>
    <col min="259" max="259" width="23" style="135" customWidth="1"/>
    <col min="260" max="260" width="24.5" style="135" customWidth="1"/>
    <col min="261" max="261" width="18.625" style="135" customWidth="1"/>
    <col min="262" max="262" width="7.625" style="135" customWidth="1"/>
    <col min="263" max="263" width="23.375" style="135" customWidth="1"/>
    <col min="264" max="264" width="4.625" style="135" bestFit="1" customWidth="1"/>
    <col min="265" max="265" width="3.875" style="135" bestFit="1" customWidth="1"/>
    <col min="266" max="266" width="4.625" style="135" bestFit="1" customWidth="1"/>
    <col min="267" max="267" width="8.25" style="135" customWidth="1"/>
    <col min="268" max="268" width="7.5" style="135" customWidth="1"/>
    <col min="269" max="269" width="67.75" style="135" customWidth="1"/>
    <col min="270" max="270" width="6.75" style="135" customWidth="1"/>
    <col min="271" max="271" width="7.625" style="135" bestFit="1" customWidth="1"/>
    <col min="272" max="272" width="8.75" style="135" customWidth="1"/>
    <col min="273" max="273" width="11.375" style="135" customWidth="1"/>
    <col min="274" max="274" width="15.125" style="135" customWidth="1"/>
    <col min="275" max="275" width="7.625" style="135" bestFit="1" customWidth="1"/>
    <col min="276" max="276" width="11" style="135" bestFit="1" customWidth="1"/>
    <col min="277" max="283" width="6.5" style="135"/>
    <col min="284" max="284" width="12.5" style="135" customWidth="1"/>
    <col min="285" max="512" width="6.5" style="135"/>
    <col min="513" max="513" width="18.125" style="135" bestFit="1" customWidth="1"/>
    <col min="514" max="514" width="16" style="135" customWidth="1"/>
    <col min="515" max="515" width="23" style="135" customWidth="1"/>
    <col min="516" max="516" width="24.5" style="135" customWidth="1"/>
    <col min="517" max="517" width="18.625" style="135" customWidth="1"/>
    <col min="518" max="518" width="7.625" style="135" customWidth="1"/>
    <col min="519" max="519" width="23.375" style="135" customWidth="1"/>
    <col min="520" max="520" width="4.625" style="135" bestFit="1" customWidth="1"/>
    <col min="521" max="521" width="3.875" style="135" bestFit="1" customWidth="1"/>
    <col min="522" max="522" width="4.625" style="135" bestFit="1" customWidth="1"/>
    <col min="523" max="523" width="8.25" style="135" customWidth="1"/>
    <col min="524" max="524" width="7.5" style="135" customWidth="1"/>
    <col min="525" max="525" width="67.75" style="135" customWidth="1"/>
    <col min="526" max="526" width="6.75" style="135" customWidth="1"/>
    <col min="527" max="527" width="7.625" style="135" bestFit="1" customWidth="1"/>
    <col min="528" max="528" width="8.75" style="135" customWidth="1"/>
    <col min="529" max="529" width="11.375" style="135" customWidth="1"/>
    <col min="530" max="530" width="15.125" style="135" customWidth="1"/>
    <col min="531" max="531" width="7.625" style="135" bestFit="1" customWidth="1"/>
    <col min="532" max="532" width="11" style="135" bestFit="1" customWidth="1"/>
    <col min="533" max="539" width="6.5" style="135"/>
    <col min="540" max="540" width="12.5" style="135" customWidth="1"/>
    <col min="541" max="768" width="6.5" style="135"/>
    <col min="769" max="769" width="18.125" style="135" bestFit="1" customWidth="1"/>
    <col min="770" max="770" width="16" style="135" customWidth="1"/>
    <col min="771" max="771" width="23" style="135" customWidth="1"/>
    <col min="772" max="772" width="24.5" style="135" customWidth="1"/>
    <col min="773" max="773" width="18.625" style="135" customWidth="1"/>
    <col min="774" max="774" width="7.625" style="135" customWidth="1"/>
    <col min="775" max="775" width="23.375" style="135" customWidth="1"/>
    <col min="776" max="776" width="4.625" style="135" bestFit="1" customWidth="1"/>
    <col min="777" max="777" width="3.875" style="135" bestFit="1" customWidth="1"/>
    <col min="778" max="778" width="4.625" style="135" bestFit="1" customWidth="1"/>
    <col min="779" max="779" width="8.25" style="135" customWidth="1"/>
    <col min="780" max="780" width="7.5" style="135" customWidth="1"/>
    <col min="781" max="781" width="67.75" style="135" customWidth="1"/>
    <col min="782" max="782" width="6.75" style="135" customWidth="1"/>
    <col min="783" max="783" width="7.625" style="135" bestFit="1" customWidth="1"/>
    <col min="784" max="784" width="8.75" style="135" customWidth="1"/>
    <col min="785" max="785" width="11.375" style="135" customWidth="1"/>
    <col min="786" max="786" width="15.125" style="135" customWidth="1"/>
    <col min="787" max="787" width="7.625" style="135" bestFit="1" customWidth="1"/>
    <col min="788" max="788" width="11" style="135" bestFit="1" customWidth="1"/>
    <col min="789" max="795" width="6.5" style="135"/>
    <col min="796" max="796" width="12.5" style="135" customWidth="1"/>
    <col min="797" max="1024" width="6.5" style="135"/>
    <col min="1025" max="1025" width="18.125" style="135" bestFit="1" customWidth="1"/>
    <col min="1026" max="1026" width="16" style="135" customWidth="1"/>
    <col min="1027" max="1027" width="23" style="135" customWidth="1"/>
    <col min="1028" max="1028" width="24.5" style="135" customWidth="1"/>
    <col min="1029" max="1029" width="18.625" style="135" customWidth="1"/>
    <col min="1030" max="1030" width="7.625" style="135" customWidth="1"/>
    <col min="1031" max="1031" width="23.375" style="135" customWidth="1"/>
    <col min="1032" max="1032" width="4.625" style="135" bestFit="1" customWidth="1"/>
    <col min="1033" max="1033" width="3.875" style="135" bestFit="1" customWidth="1"/>
    <col min="1034" max="1034" width="4.625" style="135" bestFit="1" customWidth="1"/>
    <col min="1035" max="1035" width="8.25" style="135" customWidth="1"/>
    <col min="1036" max="1036" width="7.5" style="135" customWidth="1"/>
    <col min="1037" max="1037" width="67.75" style="135" customWidth="1"/>
    <col min="1038" max="1038" width="6.75" style="135" customWidth="1"/>
    <col min="1039" max="1039" width="7.625" style="135" bestFit="1" customWidth="1"/>
    <col min="1040" max="1040" width="8.75" style="135" customWidth="1"/>
    <col min="1041" max="1041" width="11.375" style="135" customWidth="1"/>
    <col min="1042" max="1042" width="15.125" style="135" customWidth="1"/>
    <col min="1043" max="1043" width="7.625" style="135" bestFit="1" customWidth="1"/>
    <col min="1044" max="1044" width="11" style="135" bestFit="1" customWidth="1"/>
    <col min="1045" max="1051" width="6.5" style="135"/>
    <col min="1052" max="1052" width="12.5" style="135" customWidth="1"/>
    <col min="1053" max="1280" width="6.5" style="135"/>
    <col min="1281" max="1281" width="18.125" style="135" bestFit="1" customWidth="1"/>
    <col min="1282" max="1282" width="16" style="135" customWidth="1"/>
    <col min="1283" max="1283" width="23" style="135" customWidth="1"/>
    <col min="1284" max="1284" width="24.5" style="135" customWidth="1"/>
    <col min="1285" max="1285" width="18.625" style="135" customWidth="1"/>
    <col min="1286" max="1286" width="7.625" style="135" customWidth="1"/>
    <col min="1287" max="1287" width="23.375" style="135" customWidth="1"/>
    <col min="1288" max="1288" width="4.625" style="135" bestFit="1" customWidth="1"/>
    <col min="1289" max="1289" width="3.875" style="135" bestFit="1" customWidth="1"/>
    <col min="1290" max="1290" width="4.625" style="135" bestFit="1" customWidth="1"/>
    <col min="1291" max="1291" width="8.25" style="135" customWidth="1"/>
    <col min="1292" max="1292" width="7.5" style="135" customWidth="1"/>
    <col min="1293" max="1293" width="67.75" style="135" customWidth="1"/>
    <col min="1294" max="1294" width="6.75" style="135" customWidth="1"/>
    <col min="1295" max="1295" width="7.625" style="135" bestFit="1" customWidth="1"/>
    <col min="1296" max="1296" width="8.75" style="135" customWidth="1"/>
    <col min="1297" max="1297" width="11.375" style="135" customWidth="1"/>
    <col min="1298" max="1298" width="15.125" style="135" customWidth="1"/>
    <col min="1299" max="1299" width="7.625" style="135" bestFit="1" customWidth="1"/>
    <col min="1300" max="1300" width="11" style="135" bestFit="1" customWidth="1"/>
    <col min="1301" max="1307" width="6.5" style="135"/>
    <col min="1308" max="1308" width="12.5" style="135" customWidth="1"/>
    <col min="1309" max="1536" width="6.5" style="135"/>
    <col min="1537" max="1537" width="18.125" style="135" bestFit="1" customWidth="1"/>
    <col min="1538" max="1538" width="16" style="135" customWidth="1"/>
    <col min="1539" max="1539" width="23" style="135" customWidth="1"/>
    <col min="1540" max="1540" width="24.5" style="135" customWidth="1"/>
    <col min="1541" max="1541" width="18.625" style="135" customWidth="1"/>
    <col min="1542" max="1542" width="7.625" style="135" customWidth="1"/>
    <col min="1543" max="1543" width="23.375" style="135" customWidth="1"/>
    <col min="1544" max="1544" width="4.625" style="135" bestFit="1" customWidth="1"/>
    <col min="1545" max="1545" width="3.875" style="135" bestFit="1" customWidth="1"/>
    <col min="1546" max="1546" width="4.625" style="135" bestFit="1" customWidth="1"/>
    <col min="1547" max="1547" width="8.25" style="135" customWidth="1"/>
    <col min="1548" max="1548" width="7.5" style="135" customWidth="1"/>
    <col min="1549" max="1549" width="67.75" style="135" customWidth="1"/>
    <col min="1550" max="1550" width="6.75" style="135" customWidth="1"/>
    <col min="1551" max="1551" width="7.625" style="135" bestFit="1" customWidth="1"/>
    <col min="1552" max="1552" width="8.75" style="135" customWidth="1"/>
    <col min="1553" max="1553" width="11.375" style="135" customWidth="1"/>
    <col min="1554" max="1554" width="15.125" style="135" customWidth="1"/>
    <col min="1555" max="1555" width="7.625" style="135" bestFit="1" customWidth="1"/>
    <col min="1556" max="1556" width="11" style="135" bestFit="1" customWidth="1"/>
    <col min="1557" max="1563" width="6.5" style="135"/>
    <col min="1564" max="1564" width="12.5" style="135" customWidth="1"/>
    <col min="1565" max="1792" width="6.5" style="135"/>
    <col min="1793" max="1793" width="18.125" style="135" bestFit="1" customWidth="1"/>
    <col min="1794" max="1794" width="16" style="135" customWidth="1"/>
    <col min="1795" max="1795" width="23" style="135" customWidth="1"/>
    <col min="1796" max="1796" width="24.5" style="135" customWidth="1"/>
    <col min="1797" max="1797" width="18.625" style="135" customWidth="1"/>
    <col min="1798" max="1798" width="7.625" style="135" customWidth="1"/>
    <col min="1799" max="1799" width="23.375" style="135" customWidth="1"/>
    <col min="1800" max="1800" width="4.625" style="135" bestFit="1" customWidth="1"/>
    <col min="1801" max="1801" width="3.875" style="135" bestFit="1" customWidth="1"/>
    <col min="1802" max="1802" width="4.625" style="135" bestFit="1" customWidth="1"/>
    <col min="1803" max="1803" width="8.25" style="135" customWidth="1"/>
    <col min="1804" max="1804" width="7.5" style="135" customWidth="1"/>
    <col min="1805" max="1805" width="67.75" style="135" customWidth="1"/>
    <col min="1806" max="1806" width="6.75" style="135" customWidth="1"/>
    <col min="1807" max="1807" width="7.625" style="135" bestFit="1" customWidth="1"/>
    <col min="1808" max="1808" width="8.75" style="135" customWidth="1"/>
    <col min="1809" max="1809" width="11.375" style="135" customWidth="1"/>
    <col min="1810" max="1810" width="15.125" style="135" customWidth="1"/>
    <col min="1811" max="1811" width="7.625" style="135" bestFit="1" customWidth="1"/>
    <col min="1812" max="1812" width="11" style="135" bestFit="1" customWidth="1"/>
    <col min="1813" max="1819" width="6.5" style="135"/>
    <col min="1820" max="1820" width="12.5" style="135" customWidth="1"/>
    <col min="1821" max="2048" width="6.5" style="135"/>
    <col min="2049" max="2049" width="18.125" style="135" bestFit="1" customWidth="1"/>
    <col min="2050" max="2050" width="16" style="135" customWidth="1"/>
    <col min="2051" max="2051" width="23" style="135" customWidth="1"/>
    <col min="2052" max="2052" width="24.5" style="135" customWidth="1"/>
    <col min="2053" max="2053" width="18.625" style="135" customWidth="1"/>
    <col min="2054" max="2054" width="7.625" style="135" customWidth="1"/>
    <col min="2055" max="2055" width="23.375" style="135" customWidth="1"/>
    <col min="2056" max="2056" width="4.625" style="135" bestFit="1" customWidth="1"/>
    <col min="2057" max="2057" width="3.875" style="135" bestFit="1" customWidth="1"/>
    <col min="2058" max="2058" width="4.625" style="135" bestFit="1" customWidth="1"/>
    <col min="2059" max="2059" width="8.25" style="135" customWidth="1"/>
    <col min="2060" max="2060" width="7.5" style="135" customWidth="1"/>
    <col min="2061" max="2061" width="67.75" style="135" customWidth="1"/>
    <col min="2062" max="2062" width="6.75" style="135" customWidth="1"/>
    <col min="2063" max="2063" width="7.625" style="135" bestFit="1" customWidth="1"/>
    <col min="2064" max="2064" width="8.75" style="135" customWidth="1"/>
    <col min="2065" max="2065" width="11.375" style="135" customWidth="1"/>
    <col min="2066" max="2066" width="15.125" style="135" customWidth="1"/>
    <col min="2067" max="2067" width="7.625" style="135" bestFit="1" customWidth="1"/>
    <col min="2068" max="2068" width="11" style="135" bestFit="1" customWidth="1"/>
    <col min="2069" max="2075" width="6.5" style="135"/>
    <col min="2076" max="2076" width="12.5" style="135" customWidth="1"/>
    <col min="2077" max="2304" width="6.5" style="135"/>
    <col min="2305" max="2305" width="18.125" style="135" bestFit="1" customWidth="1"/>
    <col min="2306" max="2306" width="16" style="135" customWidth="1"/>
    <col min="2307" max="2307" width="23" style="135" customWidth="1"/>
    <col min="2308" max="2308" width="24.5" style="135" customWidth="1"/>
    <col min="2309" max="2309" width="18.625" style="135" customWidth="1"/>
    <col min="2310" max="2310" width="7.625" style="135" customWidth="1"/>
    <col min="2311" max="2311" width="23.375" style="135" customWidth="1"/>
    <col min="2312" max="2312" width="4.625" style="135" bestFit="1" customWidth="1"/>
    <col min="2313" max="2313" width="3.875" style="135" bestFit="1" customWidth="1"/>
    <col min="2314" max="2314" width="4.625" style="135" bestFit="1" customWidth="1"/>
    <col min="2315" max="2315" width="8.25" style="135" customWidth="1"/>
    <col min="2316" max="2316" width="7.5" style="135" customWidth="1"/>
    <col min="2317" max="2317" width="67.75" style="135" customWidth="1"/>
    <col min="2318" max="2318" width="6.75" style="135" customWidth="1"/>
    <col min="2319" max="2319" width="7.625" style="135" bestFit="1" customWidth="1"/>
    <col min="2320" max="2320" width="8.75" style="135" customWidth="1"/>
    <col min="2321" max="2321" width="11.375" style="135" customWidth="1"/>
    <col min="2322" max="2322" width="15.125" style="135" customWidth="1"/>
    <col min="2323" max="2323" width="7.625" style="135" bestFit="1" customWidth="1"/>
    <col min="2324" max="2324" width="11" style="135" bestFit="1" customWidth="1"/>
    <col min="2325" max="2331" width="6.5" style="135"/>
    <col min="2332" max="2332" width="12.5" style="135" customWidth="1"/>
    <col min="2333" max="2560" width="6.5" style="135"/>
    <col min="2561" max="2561" width="18.125" style="135" bestFit="1" customWidth="1"/>
    <col min="2562" max="2562" width="16" style="135" customWidth="1"/>
    <col min="2563" max="2563" width="23" style="135" customWidth="1"/>
    <col min="2564" max="2564" width="24.5" style="135" customWidth="1"/>
    <col min="2565" max="2565" width="18.625" style="135" customWidth="1"/>
    <col min="2566" max="2566" width="7.625" style="135" customWidth="1"/>
    <col min="2567" max="2567" width="23.375" style="135" customWidth="1"/>
    <col min="2568" max="2568" width="4.625" style="135" bestFit="1" customWidth="1"/>
    <col min="2569" max="2569" width="3.875" style="135" bestFit="1" customWidth="1"/>
    <col min="2570" max="2570" width="4.625" style="135" bestFit="1" customWidth="1"/>
    <col min="2571" max="2571" width="8.25" style="135" customWidth="1"/>
    <col min="2572" max="2572" width="7.5" style="135" customWidth="1"/>
    <col min="2573" max="2573" width="67.75" style="135" customWidth="1"/>
    <col min="2574" max="2574" width="6.75" style="135" customWidth="1"/>
    <col min="2575" max="2575" width="7.625" style="135" bestFit="1" customWidth="1"/>
    <col min="2576" max="2576" width="8.75" style="135" customWidth="1"/>
    <col min="2577" max="2577" width="11.375" style="135" customWidth="1"/>
    <col min="2578" max="2578" width="15.125" style="135" customWidth="1"/>
    <col min="2579" max="2579" width="7.625" style="135" bestFit="1" customWidth="1"/>
    <col min="2580" max="2580" width="11" style="135" bestFit="1" customWidth="1"/>
    <col min="2581" max="2587" width="6.5" style="135"/>
    <col min="2588" max="2588" width="12.5" style="135" customWidth="1"/>
    <col min="2589" max="2816" width="6.5" style="135"/>
    <col min="2817" max="2817" width="18.125" style="135" bestFit="1" customWidth="1"/>
    <col min="2818" max="2818" width="16" style="135" customWidth="1"/>
    <col min="2819" max="2819" width="23" style="135" customWidth="1"/>
    <col min="2820" max="2820" width="24.5" style="135" customWidth="1"/>
    <col min="2821" max="2821" width="18.625" style="135" customWidth="1"/>
    <col min="2822" max="2822" width="7.625" style="135" customWidth="1"/>
    <col min="2823" max="2823" width="23.375" style="135" customWidth="1"/>
    <col min="2824" max="2824" width="4.625" style="135" bestFit="1" customWidth="1"/>
    <col min="2825" max="2825" width="3.875" style="135" bestFit="1" customWidth="1"/>
    <col min="2826" max="2826" width="4.625" style="135" bestFit="1" customWidth="1"/>
    <col min="2827" max="2827" width="8.25" style="135" customWidth="1"/>
    <col min="2828" max="2828" width="7.5" style="135" customWidth="1"/>
    <col min="2829" max="2829" width="67.75" style="135" customWidth="1"/>
    <col min="2830" max="2830" width="6.75" style="135" customWidth="1"/>
    <col min="2831" max="2831" width="7.625" style="135" bestFit="1" customWidth="1"/>
    <col min="2832" max="2832" width="8.75" style="135" customWidth="1"/>
    <col min="2833" max="2833" width="11.375" style="135" customWidth="1"/>
    <col min="2834" max="2834" width="15.125" style="135" customWidth="1"/>
    <col min="2835" max="2835" width="7.625" style="135" bestFit="1" customWidth="1"/>
    <col min="2836" max="2836" width="11" style="135" bestFit="1" customWidth="1"/>
    <col min="2837" max="2843" width="6.5" style="135"/>
    <col min="2844" max="2844" width="12.5" style="135" customWidth="1"/>
    <col min="2845" max="3072" width="6.5" style="135"/>
    <col min="3073" max="3073" width="18.125" style="135" bestFit="1" customWidth="1"/>
    <col min="3074" max="3074" width="16" style="135" customWidth="1"/>
    <col min="3075" max="3075" width="23" style="135" customWidth="1"/>
    <col min="3076" max="3076" width="24.5" style="135" customWidth="1"/>
    <col min="3077" max="3077" width="18.625" style="135" customWidth="1"/>
    <col min="3078" max="3078" width="7.625" style="135" customWidth="1"/>
    <col min="3079" max="3079" width="23.375" style="135" customWidth="1"/>
    <col min="3080" max="3080" width="4.625" style="135" bestFit="1" customWidth="1"/>
    <col min="3081" max="3081" width="3.875" style="135" bestFit="1" customWidth="1"/>
    <col min="3082" max="3082" width="4.625" style="135" bestFit="1" customWidth="1"/>
    <col min="3083" max="3083" width="8.25" style="135" customWidth="1"/>
    <col min="3084" max="3084" width="7.5" style="135" customWidth="1"/>
    <col min="3085" max="3085" width="67.75" style="135" customWidth="1"/>
    <col min="3086" max="3086" width="6.75" style="135" customWidth="1"/>
    <col min="3087" max="3087" width="7.625" style="135" bestFit="1" customWidth="1"/>
    <col min="3088" max="3088" width="8.75" style="135" customWidth="1"/>
    <col min="3089" max="3089" width="11.375" style="135" customWidth="1"/>
    <col min="3090" max="3090" width="15.125" style="135" customWidth="1"/>
    <col min="3091" max="3091" width="7.625" style="135" bestFit="1" customWidth="1"/>
    <col min="3092" max="3092" width="11" style="135" bestFit="1" customWidth="1"/>
    <col min="3093" max="3099" width="6.5" style="135"/>
    <col min="3100" max="3100" width="12.5" style="135" customWidth="1"/>
    <col min="3101" max="3328" width="6.5" style="135"/>
    <col min="3329" max="3329" width="18.125" style="135" bestFit="1" customWidth="1"/>
    <col min="3330" max="3330" width="16" style="135" customWidth="1"/>
    <col min="3331" max="3331" width="23" style="135" customWidth="1"/>
    <col min="3332" max="3332" width="24.5" style="135" customWidth="1"/>
    <col min="3333" max="3333" width="18.625" style="135" customWidth="1"/>
    <col min="3334" max="3334" width="7.625" style="135" customWidth="1"/>
    <col min="3335" max="3335" width="23.375" style="135" customWidth="1"/>
    <col min="3336" max="3336" width="4.625" style="135" bestFit="1" customWidth="1"/>
    <col min="3337" max="3337" width="3.875" style="135" bestFit="1" customWidth="1"/>
    <col min="3338" max="3338" width="4.625" style="135" bestFit="1" customWidth="1"/>
    <col min="3339" max="3339" width="8.25" style="135" customWidth="1"/>
    <col min="3340" max="3340" width="7.5" style="135" customWidth="1"/>
    <col min="3341" max="3341" width="67.75" style="135" customWidth="1"/>
    <col min="3342" max="3342" width="6.75" style="135" customWidth="1"/>
    <col min="3343" max="3343" width="7.625" style="135" bestFit="1" customWidth="1"/>
    <col min="3344" max="3344" width="8.75" style="135" customWidth="1"/>
    <col min="3345" max="3345" width="11.375" style="135" customWidth="1"/>
    <col min="3346" max="3346" width="15.125" style="135" customWidth="1"/>
    <col min="3347" max="3347" width="7.625" style="135" bestFit="1" customWidth="1"/>
    <col min="3348" max="3348" width="11" style="135" bestFit="1" customWidth="1"/>
    <col min="3349" max="3355" width="6.5" style="135"/>
    <col min="3356" max="3356" width="12.5" style="135" customWidth="1"/>
    <col min="3357" max="3584" width="6.5" style="135"/>
    <col min="3585" max="3585" width="18.125" style="135" bestFit="1" customWidth="1"/>
    <col min="3586" max="3586" width="16" style="135" customWidth="1"/>
    <col min="3587" max="3587" width="23" style="135" customWidth="1"/>
    <col min="3588" max="3588" width="24.5" style="135" customWidth="1"/>
    <col min="3589" max="3589" width="18.625" style="135" customWidth="1"/>
    <col min="3590" max="3590" width="7.625" style="135" customWidth="1"/>
    <col min="3591" max="3591" width="23.375" style="135" customWidth="1"/>
    <col min="3592" max="3592" width="4.625" style="135" bestFit="1" customWidth="1"/>
    <col min="3593" max="3593" width="3.875" style="135" bestFit="1" customWidth="1"/>
    <col min="3594" max="3594" width="4.625" style="135" bestFit="1" customWidth="1"/>
    <col min="3595" max="3595" width="8.25" style="135" customWidth="1"/>
    <col min="3596" max="3596" width="7.5" style="135" customWidth="1"/>
    <col min="3597" max="3597" width="67.75" style="135" customWidth="1"/>
    <col min="3598" max="3598" width="6.75" style="135" customWidth="1"/>
    <col min="3599" max="3599" width="7.625" style="135" bestFit="1" customWidth="1"/>
    <col min="3600" max="3600" width="8.75" style="135" customWidth="1"/>
    <col min="3601" max="3601" width="11.375" style="135" customWidth="1"/>
    <col min="3602" max="3602" width="15.125" style="135" customWidth="1"/>
    <col min="3603" max="3603" width="7.625" style="135" bestFit="1" customWidth="1"/>
    <col min="3604" max="3604" width="11" style="135" bestFit="1" customWidth="1"/>
    <col min="3605" max="3611" width="6.5" style="135"/>
    <col min="3612" max="3612" width="12.5" style="135" customWidth="1"/>
    <col min="3613" max="3840" width="6.5" style="135"/>
    <col min="3841" max="3841" width="18.125" style="135" bestFit="1" customWidth="1"/>
    <col min="3842" max="3842" width="16" style="135" customWidth="1"/>
    <col min="3843" max="3843" width="23" style="135" customWidth="1"/>
    <col min="3844" max="3844" width="24.5" style="135" customWidth="1"/>
    <col min="3845" max="3845" width="18.625" style="135" customWidth="1"/>
    <col min="3846" max="3846" width="7.625" style="135" customWidth="1"/>
    <col min="3847" max="3847" width="23.375" style="135" customWidth="1"/>
    <col min="3848" max="3848" width="4.625" style="135" bestFit="1" customWidth="1"/>
    <col min="3849" max="3849" width="3.875" style="135" bestFit="1" customWidth="1"/>
    <col min="3850" max="3850" width="4.625" style="135" bestFit="1" customWidth="1"/>
    <col min="3851" max="3851" width="8.25" style="135" customWidth="1"/>
    <col min="3852" max="3852" width="7.5" style="135" customWidth="1"/>
    <col min="3853" max="3853" width="67.75" style="135" customWidth="1"/>
    <col min="3854" max="3854" width="6.75" style="135" customWidth="1"/>
    <col min="3855" max="3855" width="7.625" style="135" bestFit="1" customWidth="1"/>
    <col min="3856" max="3856" width="8.75" style="135" customWidth="1"/>
    <col min="3857" max="3857" width="11.375" style="135" customWidth="1"/>
    <col min="3858" max="3858" width="15.125" style="135" customWidth="1"/>
    <col min="3859" max="3859" width="7.625" style="135" bestFit="1" customWidth="1"/>
    <col min="3860" max="3860" width="11" style="135" bestFit="1" customWidth="1"/>
    <col min="3861" max="3867" width="6.5" style="135"/>
    <col min="3868" max="3868" width="12.5" style="135" customWidth="1"/>
    <col min="3869" max="4096" width="6.5" style="135"/>
    <col min="4097" max="4097" width="18.125" style="135" bestFit="1" customWidth="1"/>
    <col min="4098" max="4098" width="16" style="135" customWidth="1"/>
    <col min="4099" max="4099" width="23" style="135" customWidth="1"/>
    <col min="4100" max="4100" width="24.5" style="135" customWidth="1"/>
    <col min="4101" max="4101" width="18.625" style="135" customWidth="1"/>
    <col min="4102" max="4102" width="7.625" style="135" customWidth="1"/>
    <col min="4103" max="4103" width="23.375" style="135" customWidth="1"/>
    <col min="4104" max="4104" width="4.625" style="135" bestFit="1" customWidth="1"/>
    <col min="4105" max="4105" width="3.875" style="135" bestFit="1" customWidth="1"/>
    <col min="4106" max="4106" width="4.625" style="135" bestFit="1" customWidth="1"/>
    <col min="4107" max="4107" width="8.25" style="135" customWidth="1"/>
    <col min="4108" max="4108" width="7.5" style="135" customWidth="1"/>
    <col min="4109" max="4109" width="67.75" style="135" customWidth="1"/>
    <col min="4110" max="4110" width="6.75" style="135" customWidth="1"/>
    <col min="4111" max="4111" width="7.625" style="135" bestFit="1" customWidth="1"/>
    <col min="4112" max="4112" width="8.75" style="135" customWidth="1"/>
    <col min="4113" max="4113" width="11.375" style="135" customWidth="1"/>
    <col min="4114" max="4114" width="15.125" style="135" customWidth="1"/>
    <col min="4115" max="4115" width="7.625" style="135" bestFit="1" customWidth="1"/>
    <col min="4116" max="4116" width="11" style="135" bestFit="1" customWidth="1"/>
    <col min="4117" max="4123" width="6.5" style="135"/>
    <col min="4124" max="4124" width="12.5" style="135" customWidth="1"/>
    <col min="4125" max="4352" width="6.5" style="135"/>
    <col min="4353" max="4353" width="18.125" style="135" bestFit="1" customWidth="1"/>
    <col min="4354" max="4354" width="16" style="135" customWidth="1"/>
    <col min="4355" max="4355" width="23" style="135" customWidth="1"/>
    <col min="4356" max="4356" width="24.5" style="135" customWidth="1"/>
    <col min="4357" max="4357" width="18.625" style="135" customWidth="1"/>
    <col min="4358" max="4358" width="7.625" style="135" customWidth="1"/>
    <col min="4359" max="4359" width="23.375" style="135" customWidth="1"/>
    <col min="4360" max="4360" width="4.625" style="135" bestFit="1" customWidth="1"/>
    <col min="4361" max="4361" width="3.875" style="135" bestFit="1" customWidth="1"/>
    <col min="4362" max="4362" width="4.625" style="135" bestFit="1" customWidth="1"/>
    <col min="4363" max="4363" width="8.25" style="135" customWidth="1"/>
    <col min="4364" max="4364" width="7.5" style="135" customWidth="1"/>
    <col min="4365" max="4365" width="67.75" style="135" customWidth="1"/>
    <col min="4366" max="4366" width="6.75" style="135" customWidth="1"/>
    <col min="4367" max="4367" width="7.625" style="135" bestFit="1" customWidth="1"/>
    <col min="4368" max="4368" width="8.75" style="135" customWidth="1"/>
    <col min="4369" max="4369" width="11.375" style="135" customWidth="1"/>
    <col min="4370" max="4370" width="15.125" style="135" customWidth="1"/>
    <col min="4371" max="4371" width="7.625" style="135" bestFit="1" customWidth="1"/>
    <col min="4372" max="4372" width="11" style="135" bestFit="1" customWidth="1"/>
    <col min="4373" max="4379" width="6.5" style="135"/>
    <col min="4380" max="4380" width="12.5" style="135" customWidth="1"/>
    <col min="4381" max="4608" width="6.5" style="135"/>
    <col min="4609" max="4609" width="18.125" style="135" bestFit="1" customWidth="1"/>
    <col min="4610" max="4610" width="16" style="135" customWidth="1"/>
    <col min="4611" max="4611" width="23" style="135" customWidth="1"/>
    <col min="4612" max="4612" width="24.5" style="135" customWidth="1"/>
    <col min="4613" max="4613" width="18.625" style="135" customWidth="1"/>
    <col min="4614" max="4614" width="7.625" style="135" customWidth="1"/>
    <col min="4615" max="4615" width="23.375" style="135" customWidth="1"/>
    <col min="4616" max="4616" width="4.625" style="135" bestFit="1" customWidth="1"/>
    <col min="4617" max="4617" width="3.875" style="135" bestFit="1" customWidth="1"/>
    <col min="4618" max="4618" width="4.625" style="135" bestFit="1" customWidth="1"/>
    <col min="4619" max="4619" width="8.25" style="135" customWidth="1"/>
    <col min="4620" max="4620" width="7.5" style="135" customWidth="1"/>
    <col min="4621" max="4621" width="67.75" style="135" customWidth="1"/>
    <col min="4622" max="4622" width="6.75" style="135" customWidth="1"/>
    <col min="4623" max="4623" width="7.625" style="135" bestFit="1" customWidth="1"/>
    <col min="4624" max="4624" width="8.75" style="135" customWidth="1"/>
    <col min="4625" max="4625" width="11.375" style="135" customWidth="1"/>
    <col min="4626" max="4626" width="15.125" style="135" customWidth="1"/>
    <col min="4627" max="4627" width="7.625" style="135" bestFit="1" customWidth="1"/>
    <col min="4628" max="4628" width="11" style="135" bestFit="1" customWidth="1"/>
    <col min="4629" max="4635" width="6.5" style="135"/>
    <col min="4636" max="4636" width="12.5" style="135" customWidth="1"/>
    <col min="4637" max="4864" width="6.5" style="135"/>
    <col min="4865" max="4865" width="18.125" style="135" bestFit="1" customWidth="1"/>
    <col min="4866" max="4866" width="16" style="135" customWidth="1"/>
    <col min="4867" max="4867" width="23" style="135" customWidth="1"/>
    <col min="4868" max="4868" width="24.5" style="135" customWidth="1"/>
    <col min="4869" max="4869" width="18.625" style="135" customWidth="1"/>
    <col min="4870" max="4870" width="7.625" style="135" customWidth="1"/>
    <col min="4871" max="4871" width="23.375" style="135" customWidth="1"/>
    <col min="4872" max="4872" width="4.625" style="135" bestFit="1" customWidth="1"/>
    <col min="4873" max="4873" width="3.875" style="135" bestFit="1" customWidth="1"/>
    <col min="4874" max="4874" width="4.625" style="135" bestFit="1" customWidth="1"/>
    <col min="4875" max="4875" width="8.25" style="135" customWidth="1"/>
    <col min="4876" max="4876" width="7.5" style="135" customWidth="1"/>
    <col min="4877" max="4877" width="67.75" style="135" customWidth="1"/>
    <col min="4878" max="4878" width="6.75" style="135" customWidth="1"/>
    <col min="4879" max="4879" width="7.625" style="135" bestFit="1" customWidth="1"/>
    <col min="4880" max="4880" width="8.75" style="135" customWidth="1"/>
    <col min="4881" max="4881" width="11.375" style="135" customWidth="1"/>
    <col min="4882" max="4882" width="15.125" style="135" customWidth="1"/>
    <col min="4883" max="4883" width="7.625" style="135" bestFit="1" customWidth="1"/>
    <col min="4884" max="4884" width="11" style="135" bestFit="1" customWidth="1"/>
    <col min="4885" max="4891" width="6.5" style="135"/>
    <col min="4892" max="4892" width="12.5" style="135" customWidth="1"/>
    <col min="4893" max="5120" width="6.5" style="135"/>
    <col min="5121" max="5121" width="18.125" style="135" bestFit="1" customWidth="1"/>
    <col min="5122" max="5122" width="16" style="135" customWidth="1"/>
    <col min="5123" max="5123" width="23" style="135" customWidth="1"/>
    <col min="5124" max="5124" width="24.5" style="135" customWidth="1"/>
    <col min="5125" max="5125" width="18.625" style="135" customWidth="1"/>
    <col min="5126" max="5126" width="7.625" style="135" customWidth="1"/>
    <col min="5127" max="5127" width="23.375" style="135" customWidth="1"/>
    <col min="5128" max="5128" width="4.625" style="135" bestFit="1" customWidth="1"/>
    <col min="5129" max="5129" width="3.875" style="135" bestFit="1" customWidth="1"/>
    <col min="5130" max="5130" width="4.625" style="135" bestFit="1" customWidth="1"/>
    <col min="5131" max="5131" width="8.25" style="135" customWidth="1"/>
    <col min="5132" max="5132" width="7.5" style="135" customWidth="1"/>
    <col min="5133" max="5133" width="67.75" style="135" customWidth="1"/>
    <col min="5134" max="5134" width="6.75" style="135" customWidth="1"/>
    <col min="5135" max="5135" width="7.625" style="135" bestFit="1" customWidth="1"/>
    <col min="5136" max="5136" width="8.75" style="135" customWidth="1"/>
    <col min="5137" max="5137" width="11.375" style="135" customWidth="1"/>
    <col min="5138" max="5138" width="15.125" style="135" customWidth="1"/>
    <col min="5139" max="5139" width="7.625" style="135" bestFit="1" customWidth="1"/>
    <col min="5140" max="5140" width="11" style="135" bestFit="1" customWidth="1"/>
    <col min="5141" max="5147" width="6.5" style="135"/>
    <col min="5148" max="5148" width="12.5" style="135" customWidth="1"/>
    <col min="5149" max="5376" width="6.5" style="135"/>
    <col min="5377" max="5377" width="18.125" style="135" bestFit="1" customWidth="1"/>
    <col min="5378" max="5378" width="16" style="135" customWidth="1"/>
    <col min="5379" max="5379" width="23" style="135" customWidth="1"/>
    <col min="5380" max="5380" width="24.5" style="135" customWidth="1"/>
    <col min="5381" max="5381" width="18.625" style="135" customWidth="1"/>
    <col min="5382" max="5382" width="7.625" style="135" customWidth="1"/>
    <col min="5383" max="5383" width="23.375" style="135" customWidth="1"/>
    <col min="5384" max="5384" width="4.625" style="135" bestFit="1" customWidth="1"/>
    <col min="5385" max="5385" width="3.875" style="135" bestFit="1" customWidth="1"/>
    <col min="5386" max="5386" width="4.625" style="135" bestFit="1" customWidth="1"/>
    <col min="5387" max="5387" width="8.25" style="135" customWidth="1"/>
    <col min="5388" max="5388" width="7.5" style="135" customWidth="1"/>
    <col min="5389" max="5389" width="67.75" style="135" customWidth="1"/>
    <col min="5390" max="5390" width="6.75" style="135" customWidth="1"/>
    <col min="5391" max="5391" width="7.625" style="135" bestFit="1" customWidth="1"/>
    <col min="5392" max="5392" width="8.75" style="135" customWidth="1"/>
    <col min="5393" max="5393" width="11.375" style="135" customWidth="1"/>
    <col min="5394" max="5394" width="15.125" style="135" customWidth="1"/>
    <col min="5395" max="5395" width="7.625" style="135" bestFit="1" customWidth="1"/>
    <col min="5396" max="5396" width="11" style="135" bestFit="1" customWidth="1"/>
    <col min="5397" max="5403" width="6.5" style="135"/>
    <col min="5404" max="5404" width="12.5" style="135" customWidth="1"/>
    <col min="5405" max="5632" width="6.5" style="135"/>
    <col min="5633" max="5633" width="18.125" style="135" bestFit="1" customWidth="1"/>
    <col min="5634" max="5634" width="16" style="135" customWidth="1"/>
    <col min="5635" max="5635" width="23" style="135" customWidth="1"/>
    <col min="5636" max="5636" width="24.5" style="135" customWidth="1"/>
    <col min="5637" max="5637" width="18.625" style="135" customWidth="1"/>
    <col min="5638" max="5638" width="7.625" style="135" customWidth="1"/>
    <col min="5639" max="5639" width="23.375" style="135" customWidth="1"/>
    <col min="5640" max="5640" width="4.625" style="135" bestFit="1" customWidth="1"/>
    <col min="5641" max="5641" width="3.875" style="135" bestFit="1" customWidth="1"/>
    <col min="5642" max="5642" width="4.625" style="135" bestFit="1" customWidth="1"/>
    <col min="5643" max="5643" width="8.25" style="135" customWidth="1"/>
    <col min="5644" max="5644" width="7.5" style="135" customWidth="1"/>
    <col min="5645" max="5645" width="67.75" style="135" customWidth="1"/>
    <col min="5646" max="5646" width="6.75" style="135" customWidth="1"/>
    <col min="5647" max="5647" width="7.625" style="135" bestFit="1" customWidth="1"/>
    <col min="5648" max="5648" width="8.75" style="135" customWidth="1"/>
    <col min="5649" max="5649" width="11.375" style="135" customWidth="1"/>
    <col min="5650" max="5650" width="15.125" style="135" customWidth="1"/>
    <col min="5651" max="5651" width="7.625" style="135" bestFit="1" customWidth="1"/>
    <col min="5652" max="5652" width="11" style="135" bestFit="1" customWidth="1"/>
    <col min="5653" max="5659" width="6.5" style="135"/>
    <col min="5660" max="5660" width="12.5" style="135" customWidth="1"/>
    <col min="5661" max="5888" width="6.5" style="135"/>
    <col min="5889" max="5889" width="18.125" style="135" bestFit="1" customWidth="1"/>
    <col min="5890" max="5890" width="16" style="135" customWidth="1"/>
    <col min="5891" max="5891" width="23" style="135" customWidth="1"/>
    <col min="5892" max="5892" width="24.5" style="135" customWidth="1"/>
    <col min="5893" max="5893" width="18.625" style="135" customWidth="1"/>
    <col min="5894" max="5894" width="7.625" style="135" customWidth="1"/>
    <col min="5895" max="5895" width="23.375" style="135" customWidth="1"/>
    <col min="5896" max="5896" width="4.625" style="135" bestFit="1" customWidth="1"/>
    <col min="5897" max="5897" width="3.875" style="135" bestFit="1" customWidth="1"/>
    <col min="5898" max="5898" width="4.625" style="135" bestFit="1" customWidth="1"/>
    <col min="5899" max="5899" width="8.25" style="135" customWidth="1"/>
    <col min="5900" max="5900" width="7.5" style="135" customWidth="1"/>
    <col min="5901" max="5901" width="67.75" style="135" customWidth="1"/>
    <col min="5902" max="5902" width="6.75" style="135" customWidth="1"/>
    <col min="5903" max="5903" width="7.625" style="135" bestFit="1" customWidth="1"/>
    <col min="5904" max="5904" width="8.75" style="135" customWidth="1"/>
    <col min="5905" max="5905" width="11.375" style="135" customWidth="1"/>
    <col min="5906" max="5906" width="15.125" style="135" customWidth="1"/>
    <col min="5907" max="5907" width="7.625" style="135" bestFit="1" customWidth="1"/>
    <col min="5908" max="5908" width="11" style="135" bestFit="1" customWidth="1"/>
    <col min="5909" max="5915" width="6.5" style="135"/>
    <col min="5916" max="5916" width="12.5" style="135" customWidth="1"/>
    <col min="5917" max="6144" width="6.5" style="135"/>
    <col min="6145" max="6145" width="18.125" style="135" bestFit="1" customWidth="1"/>
    <col min="6146" max="6146" width="16" style="135" customWidth="1"/>
    <col min="6147" max="6147" width="23" style="135" customWidth="1"/>
    <col min="6148" max="6148" width="24.5" style="135" customWidth="1"/>
    <col min="6149" max="6149" width="18.625" style="135" customWidth="1"/>
    <col min="6150" max="6150" width="7.625" style="135" customWidth="1"/>
    <col min="6151" max="6151" width="23.375" style="135" customWidth="1"/>
    <col min="6152" max="6152" width="4.625" style="135" bestFit="1" customWidth="1"/>
    <col min="6153" max="6153" width="3.875" style="135" bestFit="1" customWidth="1"/>
    <col min="6154" max="6154" width="4.625" style="135" bestFit="1" customWidth="1"/>
    <col min="6155" max="6155" width="8.25" style="135" customWidth="1"/>
    <col min="6156" max="6156" width="7.5" style="135" customWidth="1"/>
    <col min="6157" max="6157" width="67.75" style="135" customWidth="1"/>
    <col min="6158" max="6158" width="6.75" style="135" customWidth="1"/>
    <col min="6159" max="6159" width="7.625" style="135" bestFit="1" customWidth="1"/>
    <col min="6160" max="6160" width="8.75" style="135" customWidth="1"/>
    <col min="6161" max="6161" width="11.375" style="135" customWidth="1"/>
    <col min="6162" max="6162" width="15.125" style="135" customWidth="1"/>
    <col min="6163" max="6163" width="7.625" style="135" bestFit="1" customWidth="1"/>
    <col min="6164" max="6164" width="11" style="135" bestFit="1" customWidth="1"/>
    <col min="6165" max="6171" width="6.5" style="135"/>
    <col min="6172" max="6172" width="12.5" style="135" customWidth="1"/>
    <col min="6173" max="6400" width="6.5" style="135"/>
    <col min="6401" max="6401" width="18.125" style="135" bestFit="1" customWidth="1"/>
    <col min="6402" max="6402" width="16" style="135" customWidth="1"/>
    <col min="6403" max="6403" width="23" style="135" customWidth="1"/>
    <col min="6404" max="6404" width="24.5" style="135" customWidth="1"/>
    <col min="6405" max="6405" width="18.625" style="135" customWidth="1"/>
    <col min="6406" max="6406" width="7.625" style="135" customWidth="1"/>
    <col min="6407" max="6407" width="23.375" style="135" customWidth="1"/>
    <col min="6408" max="6408" width="4.625" style="135" bestFit="1" customWidth="1"/>
    <col min="6409" max="6409" width="3.875" style="135" bestFit="1" customWidth="1"/>
    <col min="6410" max="6410" width="4.625" style="135" bestFit="1" customWidth="1"/>
    <col min="6411" max="6411" width="8.25" style="135" customWidth="1"/>
    <col min="6412" max="6412" width="7.5" style="135" customWidth="1"/>
    <col min="6413" max="6413" width="67.75" style="135" customWidth="1"/>
    <col min="6414" max="6414" width="6.75" style="135" customWidth="1"/>
    <col min="6415" max="6415" width="7.625" style="135" bestFit="1" customWidth="1"/>
    <col min="6416" max="6416" width="8.75" style="135" customWidth="1"/>
    <col min="6417" max="6417" width="11.375" style="135" customWidth="1"/>
    <col min="6418" max="6418" width="15.125" style="135" customWidth="1"/>
    <col min="6419" max="6419" width="7.625" style="135" bestFit="1" customWidth="1"/>
    <col min="6420" max="6420" width="11" style="135" bestFit="1" customWidth="1"/>
    <col min="6421" max="6427" width="6.5" style="135"/>
    <col min="6428" max="6428" width="12.5" style="135" customWidth="1"/>
    <col min="6429" max="6656" width="6.5" style="135"/>
    <col min="6657" max="6657" width="18.125" style="135" bestFit="1" customWidth="1"/>
    <col min="6658" max="6658" width="16" style="135" customWidth="1"/>
    <col min="6659" max="6659" width="23" style="135" customWidth="1"/>
    <col min="6660" max="6660" width="24.5" style="135" customWidth="1"/>
    <col min="6661" max="6661" width="18.625" style="135" customWidth="1"/>
    <col min="6662" max="6662" width="7.625" style="135" customWidth="1"/>
    <col min="6663" max="6663" width="23.375" style="135" customWidth="1"/>
    <col min="6664" max="6664" width="4.625" style="135" bestFit="1" customWidth="1"/>
    <col min="6665" max="6665" width="3.875" style="135" bestFit="1" customWidth="1"/>
    <col min="6666" max="6666" width="4.625" style="135" bestFit="1" customWidth="1"/>
    <col min="6667" max="6667" width="8.25" style="135" customWidth="1"/>
    <col min="6668" max="6668" width="7.5" style="135" customWidth="1"/>
    <col min="6669" max="6669" width="67.75" style="135" customWidth="1"/>
    <col min="6670" max="6670" width="6.75" style="135" customWidth="1"/>
    <col min="6671" max="6671" width="7.625" style="135" bestFit="1" customWidth="1"/>
    <col min="6672" max="6672" width="8.75" style="135" customWidth="1"/>
    <col min="6673" max="6673" width="11.375" style="135" customWidth="1"/>
    <col min="6674" max="6674" width="15.125" style="135" customWidth="1"/>
    <col min="6675" max="6675" width="7.625" style="135" bestFit="1" customWidth="1"/>
    <col min="6676" max="6676" width="11" style="135" bestFit="1" customWidth="1"/>
    <col min="6677" max="6683" width="6.5" style="135"/>
    <col min="6684" max="6684" width="12.5" style="135" customWidth="1"/>
    <col min="6685" max="6912" width="6.5" style="135"/>
    <col min="6913" max="6913" width="18.125" style="135" bestFit="1" customWidth="1"/>
    <col min="6914" max="6914" width="16" style="135" customWidth="1"/>
    <col min="6915" max="6915" width="23" style="135" customWidth="1"/>
    <col min="6916" max="6916" width="24.5" style="135" customWidth="1"/>
    <col min="6917" max="6917" width="18.625" style="135" customWidth="1"/>
    <col min="6918" max="6918" width="7.625" style="135" customWidth="1"/>
    <col min="6919" max="6919" width="23.375" style="135" customWidth="1"/>
    <col min="6920" max="6920" width="4.625" style="135" bestFit="1" customWidth="1"/>
    <col min="6921" max="6921" width="3.875" style="135" bestFit="1" customWidth="1"/>
    <col min="6922" max="6922" width="4.625" style="135" bestFit="1" customWidth="1"/>
    <col min="6923" max="6923" width="8.25" style="135" customWidth="1"/>
    <col min="6924" max="6924" width="7.5" style="135" customWidth="1"/>
    <col min="6925" max="6925" width="67.75" style="135" customWidth="1"/>
    <col min="6926" max="6926" width="6.75" style="135" customWidth="1"/>
    <col min="6927" max="6927" width="7.625" style="135" bestFit="1" customWidth="1"/>
    <col min="6928" max="6928" width="8.75" style="135" customWidth="1"/>
    <col min="6929" max="6929" width="11.375" style="135" customWidth="1"/>
    <col min="6930" max="6930" width="15.125" style="135" customWidth="1"/>
    <col min="6931" max="6931" width="7.625" style="135" bestFit="1" customWidth="1"/>
    <col min="6932" max="6932" width="11" style="135" bestFit="1" customWidth="1"/>
    <col min="6933" max="6939" width="6.5" style="135"/>
    <col min="6940" max="6940" width="12.5" style="135" customWidth="1"/>
    <col min="6941" max="7168" width="6.5" style="135"/>
    <col min="7169" max="7169" width="18.125" style="135" bestFit="1" customWidth="1"/>
    <col min="7170" max="7170" width="16" style="135" customWidth="1"/>
    <col min="7171" max="7171" width="23" style="135" customWidth="1"/>
    <col min="7172" max="7172" width="24.5" style="135" customWidth="1"/>
    <col min="7173" max="7173" width="18.625" style="135" customWidth="1"/>
    <col min="7174" max="7174" width="7.625" style="135" customWidth="1"/>
    <col min="7175" max="7175" width="23.375" style="135" customWidth="1"/>
    <col min="7176" max="7176" width="4.625" style="135" bestFit="1" customWidth="1"/>
    <col min="7177" max="7177" width="3.875" style="135" bestFit="1" customWidth="1"/>
    <col min="7178" max="7178" width="4.625" style="135" bestFit="1" customWidth="1"/>
    <col min="7179" max="7179" width="8.25" style="135" customWidth="1"/>
    <col min="7180" max="7180" width="7.5" style="135" customWidth="1"/>
    <col min="7181" max="7181" width="67.75" style="135" customWidth="1"/>
    <col min="7182" max="7182" width="6.75" style="135" customWidth="1"/>
    <col min="7183" max="7183" width="7.625" style="135" bestFit="1" customWidth="1"/>
    <col min="7184" max="7184" width="8.75" style="135" customWidth="1"/>
    <col min="7185" max="7185" width="11.375" style="135" customWidth="1"/>
    <col min="7186" max="7186" width="15.125" style="135" customWidth="1"/>
    <col min="7187" max="7187" width="7.625" style="135" bestFit="1" customWidth="1"/>
    <col min="7188" max="7188" width="11" style="135" bestFit="1" customWidth="1"/>
    <col min="7189" max="7195" width="6.5" style="135"/>
    <col min="7196" max="7196" width="12.5" style="135" customWidth="1"/>
    <col min="7197" max="7424" width="6.5" style="135"/>
    <col min="7425" max="7425" width="18.125" style="135" bestFit="1" customWidth="1"/>
    <col min="7426" max="7426" width="16" style="135" customWidth="1"/>
    <col min="7427" max="7427" width="23" style="135" customWidth="1"/>
    <col min="7428" max="7428" width="24.5" style="135" customWidth="1"/>
    <col min="7429" max="7429" width="18.625" style="135" customWidth="1"/>
    <col min="7430" max="7430" width="7.625" style="135" customWidth="1"/>
    <col min="7431" max="7431" width="23.375" style="135" customWidth="1"/>
    <col min="7432" max="7432" width="4.625" style="135" bestFit="1" customWidth="1"/>
    <col min="7433" max="7433" width="3.875" style="135" bestFit="1" customWidth="1"/>
    <col min="7434" max="7434" width="4.625" style="135" bestFit="1" customWidth="1"/>
    <col min="7435" max="7435" width="8.25" style="135" customWidth="1"/>
    <col min="7436" max="7436" width="7.5" style="135" customWidth="1"/>
    <col min="7437" max="7437" width="67.75" style="135" customWidth="1"/>
    <col min="7438" max="7438" width="6.75" style="135" customWidth="1"/>
    <col min="7439" max="7439" width="7.625" style="135" bestFit="1" customWidth="1"/>
    <col min="7440" max="7440" width="8.75" style="135" customWidth="1"/>
    <col min="7441" max="7441" width="11.375" style="135" customWidth="1"/>
    <col min="7442" max="7442" width="15.125" style="135" customWidth="1"/>
    <col min="7443" max="7443" width="7.625" style="135" bestFit="1" customWidth="1"/>
    <col min="7444" max="7444" width="11" style="135" bestFit="1" customWidth="1"/>
    <col min="7445" max="7451" width="6.5" style="135"/>
    <col min="7452" max="7452" width="12.5" style="135" customWidth="1"/>
    <col min="7453" max="7680" width="6.5" style="135"/>
    <col min="7681" max="7681" width="18.125" style="135" bestFit="1" customWidth="1"/>
    <col min="7682" max="7682" width="16" style="135" customWidth="1"/>
    <col min="7683" max="7683" width="23" style="135" customWidth="1"/>
    <col min="7684" max="7684" width="24.5" style="135" customWidth="1"/>
    <col min="7685" max="7685" width="18.625" style="135" customWidth="1"/>
    <col min="7686" max="7686" width="7.625" style="135" customWidth="1"/>
    <col min="7687" max="7687" width="23.375" style="135" customWidth="1"/>
    <col min="7688" max="7688" width="4.625" style="135" bestFit="1" customWidth="1"/>
    <col min="7689" max="7689" width="3.875" style="135" bestFit="1" customWidth="1"/>
    <col min="7690" max="7690" width="4.625" style="135" bestFit="1" customWidth="1"/>
    <col min="7691" max="7691" width="8.25" style="135" customWidth="1"/>
    <col min="7692" max="7692" width="7.5" style="135" customWidth="1"/>
    <col min="7693" max="7693" width="67.75" style="135" customWidth="1"/>
    <col min="7694" max="7694" width="6.75" style="135" customWidth="1"/>
    <col min="7695" max="7695" width="7.625" style="135" bestFit="1" customWidth="1"/>
    <col min="7696" max="7696" width="8.75" style="135" customWidth="1"/>
    <col min="7697" max="7697" width="11.375" style="135" customWidth="1"/>
    <col min="7698" max="7698" width="15.125" style="135" customWidth="1"/>
    <col min="7699" max="7699" width="7.625" style="135" bestFit="1" customWidth="1"/>
    <col min="7700" max="7700" width="11" style="135" bestFit="1" customWidth="1"/>
    <col min="7701" max="7707" width="6.5" style="135"/>
    <col min="7708" max="7708" width="12.5" style="135" customWidth="1"/>
    <col min="7709" max="7936" width="6.5" style="135"/>
    <col min="7937" max="7937" width="18.125" style="135" bestFit="1" customWidth="1"/>
    <col min="7938" max="7938" width="16" style="135" customWidth="1"/>
    <col min="7939" max="7939" width="23" style="135" customWidth="1"/>
    <col min="7940" max="7940" width="24.5" style="135" customWidth="1"/>
    <col min="7941" max="7941" width="18.625" style="135" customWidth="1"/>
    <col min="7942" max="7942" width="7.625" style="135" customWidth="1"/>
    <col min="7943" max="7943" width="23.375" style="135" customWidth="1"/>
    <col min="7944" max="7944" width="4.625" style="135" bestFit="1" customWidth="1"/>
    <col min="7945" max="7945" width="3.875" style="135" bestFit="1" customWidth="1"/>
    <col min="7946" max="7946" width="4.625" style="135" bestFit="1" customWidth="1"/>
    <col min="7947" max="7947" width="8.25" style="135" customWidth="1"/>
    <col min="7948" max="7948" width="7.5" style="135" customWidth="1"/>
    <col min="7949" max="7949" width="67.75" style="135" customWidth="1"/>
    <col min="7950" max="7950" width="6.75" style="135" customWidth="1"/>
    <col min="7951" max="7951" width="7.625" style="135" bestFit="1" customWidth="1"/>
    <col min="7952" max="7952" width="8.75" style="135" customWidth="1"/>
    <col min="7953" max="7953" width="11.375" style="135" customWidth="1"/>
    <col min="7954" max="7954" width="15.125" style="135" customWidth="1"/>
    <col min="7955" max="7955" width="7.625" style="135" bestFit="1" customWidth="1"/>
    <col min="7956" max="7956" width="11" style="135" bestFit="1" customWidth="1"/>
    <col min="7957" max="7963" width="6.5" style="135"/>
    <col min="7964" max="7964" width="12.5" style="135" customWidth="1"/>
    <col min="7965" max="8192" width="6.5" style="135"/>
    <col min="8193" max="8193" width="18.125" style="135" bestFit="1" customWidth="1"/>
    <col min="8194" max="8194" width="16" style="135" customWidth="1"/>
    <col min="8195" max="8195" width="23" style="135" customWidth="1"/>
    <col min="8196" max="8196" width="24.5" style="135" customWidth="1"/>
    <col min="8197" max="8197" width="18.625" style="135" customWidth="1"/>
    <col min="8198" max="8198" width="7.625" style="135" customWidth="1"/>
    <col min="8199" max="8199" width="23.375" style="135" customWidth="1"/>
    <col min="8200" max="8200" width="4.625" style="135" bestFit="1" customWidth="1"/>
    <col min="8201" max="8201" width="3.875" style="135" bestFit="1" customWidth="1"/>
    <col min="8202" max="8202" width="4.625" style="135" bestFit="1" customWidth="1"/>
    <col min="8203" max="8203" width="8.25" style="135" customWidth="1"/>
    <col min="8204" max="8204" width="7.5" style="135" customWidth="1"/>
    <col min="8205" max="8205" width="67.75" style="135" customWidth="1"/>
    <col min="8206" max="8206" width="6.75" style="135" customWidth="1"/>
    <col min="8207" max="8207" width="7.625" style="135" bestFit="1" customWidth="1"/>
    <col min="8208" max="8208" width="8.75" style="135" customWidth="1"/>
    <col min="8209" max="8209" width="11.375" style="135" customWidth="1"/>
    <col min="8210" max="8210" width="15.125" style="135" customWidth="1"/>
    <col min="8211" max="8211" width="7.625" style="135" bestFit="1" customWidth="1"/>
    <col min="8212" max="8212" width="11" style="135" bestFit="1" customWidth="1"/>
    <col min="8213" max="8219" width="6.5" style="135"/>
    <col min="8220" max="8220" width="12.5" style="135" customWidth="1"/>
    <col min="8221" max="8448" width="6.5" style="135"/>
    <col min="8449" max="8449" width="18.125" style="135" bestFit="1" customWidth="1"/>
    <col min="8450" max="8450" width="16" style="135" customWidth="1"/>
    <col min="8451" max="8451" width="23" style="135" customWidth="1"/>
    <col min="8452" max="8452" width="24.5" style="135" customWidth="1"/>
    <col min="8453" max="8453" width="18.625" style="135" customWidth="1"/>
    <col min="8454" max="8454" width="7.625" style="135" customWidth="1"/>
    <col min="8455" max="8455" width="23.375" style="135" customWidth="1"/>
    <col min="8456" max="8456" width="4.625" style="135" bestFit="1" customWidth="1"/>
    <col min="8457" max="8457" width="3.875" style="135" bestFit="1" customWidth="1"/>
    <col min="8458" max="8458" width="4.625" style="135" bestFit="1" customWidth="1"/>
    <col min="8459" max="8459" width="8.25" style="135" customWidth="1"/>
    <col min="8460" max="8460" width="7.5" style="135" customWidth="1"/>
    <col min="8461" max="8461" width="67.75" style="135" customWidth="1"/>
    <col min="8462" max="8462" width="6.75" style="135" customWidth="1"/>
    <col min="8463" max="8463" width="7.625" style="135" bestFit="1" customWidth="1"/>
    <col min="8464" max="8464" width="8.75" style="135" customWidth="1"/>
    <col min="8465" max="8465" width="11.375" style="135" customWidth="1"/>
    <col min="8466" max="8466" width="15.125" style="135" customWidth="1"/>
    <col min="8467" max="8467" width="7.625" style="135" bestFit="1" customWidth="1"/>
    <col min="8468" max="8468" width="11" style="135" bestFit="1" customWidth="1"/>
    <col min="8469" max="8475" width="6.5" style="135"/>
    <col min="8476" max="8476" width="12.5" style="135" customWidth="1"/>
    <col min="8477" max="8704" width="6.5" style="135"/>
    <col min="8705" max="8705" width="18.125" style="135" bestFit="1" customWidth="1"/>
    <col min="8706" max="8706" width="16" style="135" customWidth="1"/>
    <col min="8707" max="8707" width="23" style="135" customWidth="1"/>
    <col min="8708" max="8708" width="24.5" style="135" customWidth="1"/>
    <col min="8709" max="8709" width="18.625" style="135" customWidth="1"/>
    <col min="8710" max="8710" width="7.625" style="135" customWidth="1"/>
    <col min="8711" max="8711" width="23.375" style="135" customWidth="1"/>
    <col min="8712" max="8712" width="4.625" style="135" bestFit="1" customWidth="1"/>
    <col min="8713" max="8713" width="3.875" style="135" bestFit="1" customWidth="1"/>
    <col min="8714" max="8714" width="4.625" style="135" bestFit="1" customWidth="1"/>
    <col min="8715" max="8715" width="8.25" style="135" customWidth="1"/>
    <col min="8716" max="8716" width="7.5" style="135" customWidth="1"/>
    <col min="8717" max="8717" width="67.75" style="135" customWidth="1"/>
    <col min="8718" max="8718" width="6.75" style="135" customWidth="1"/>
    <col min="8719" max="8719" width="7.625" style="135" bestFit="1" customWidth="1"/>
    <col min="8720" max="8720" width="8.75" style="135" customWidth="1"/>
    <col min="8721" max="8721" width="11.375" style="135" customWidth="1"/>
    <col min="8722" max="8722" width="15.125" style="135" customWidth="1"/>
    <col min="8723" max="8723" width="7.625" style="135" bestFit="1" customWidth="1"/>
    <col min="8724" max="8724" width="11" style="135" bestFit="1" customWidth="1"/>
    <col min="8725" max="8731" width="6.5" style="135"/>
    <col min="8732" max="8732" width="12.5" style="135" customWidth="1"/>
    <col min="8733" max="8960" width="6.5" style="135"/>
    <col min="8961" max="8961" width="18.125" style="135" bestFit="1" customWidth="1"/>
    <col min="8962" max="8962" width="16" style="135" customWidth="1"/>
    <col min="8963" max="8963" width="23" style="135" customWidth="1"/>
    <col min="8964" max="8964" width="24.5" style="135" customWidth="1"/>
    <col min="8965" max="8965" width="18.625" style="135" customWidth="1"/>
    <col min="8966" max="8966" width="7.625" style="135" customWidth="1"/>
    <col min="8967" max="8967" width="23.375" style="135" customWidth="1"/>
    <col min="8968" max="8968" width="4.625" style="135" bestFit="1" customWidth="1"/>
    <col min="8969" max="8969" width="3.875" style="135" bestFit="1" customWidth="1"/>
    <col min="8970" max="8970" width="4.625" style="135" bestFit="1" customWidth="1"/>
    <col min="8971" max="8971" width="8.25" style="135" customWidth="1"/>
    <col min="8972" max="8972" width="7.5" style="135" customWidth="1"/>
    <col min="8973" max="8973" width="67.75" style="135" customWidth="1"/>
    <col min="8974" max="8974" width="6.75" style="135" customWidth="1"/>
    <col min="8975" max="8975" width="7.625" style="135" bestFit="1" customWidth="1"/>
    <col min="8976" max="8976" width="8.75" style="135" customWidth="1"/>
    <col min="8977" max="8977" width="11.375" style="135" customWidth="1"/>
    <col min="8978" max="8978" width="15.125" style="135" customWidth="1"/>
    <col min="8979" max="8979" width="7.625" style="135" bestFit="1" customWidth="1"/>
    <col min="8980" max="8980" width="11" style="135" bestFit="1" customWidth="1"/>
    <col min="8981" max="8987" width="6.5" style="135"/>
    <col min="8988" max="8988" width="12.5" style="135" customWidth="1"/>
    <col min="8989" max="9216" width="6.5" style="135"/>
    <col min="9217" max="9217" width="18.125" style="135" bestFit="1" customWidth="1"/>
    <col min="9218" max="9218" width="16" style="135" customWidth="1"/>
    <col min="9219" max="9219" width="23" style="135" customWidth="1"/>
    <col min="9220" max="9220" width="24.5" style="135" customWidth="1"/>
    <col min="9221" max="9221" width="18.625" style="135" customWidth="1"/>
    <col min="9222" max="9222" width="7.625" style="135" customWidth="1"/>
    <col min="9223" max="9223" width="23.375" style="135" customWidth="1"/>
    <col min="9224" max="9224" width="4.625" style="135" bestFit="1" customWidth="1"/>
    <col min="9225" max="9225" width="3.875" style="135" bestFit="1" customWidth="1"/>
    <col min="9226" max="9226" width="4.625" style="135" bestFit="1" customWidth="1"/>
    <col min="9227" max="9227" width="8.25" style="135" customWidth="1"/>
    <col min="9228" max="9228" width="7.5" style="135" customWidth="1"/>
    <col min="9229" max="9229" width="67.75" style="135" customWidth="1"/>
    <col min="9230" max="9230" width="6.75" style="135" customWidth="1"/>
    <col min="9231" max="9231" width="7.625" style="135" bestFit="1" customWidth="1"/>
    <col min="9232" max="9232" width="8.75" style="135" customWidth="1"/>
    <col min="9233" max="9233" width="11.375" style="135" customWidth="1"/>
    <col min="9234" max="9234" width="15.125" style="135" customWidth="1"/>
    <col min="9235" max="9235" width="7.625" style="135" bestFit="1" customWidth="1"/>
    <col min="9236" max="9236" width="11" style="135" bestFit="1" customWidth="1"/>
    <col min="9237" max="9243" width="6.5" style="135"/>
    <col min="9244" max="9244" width="12.5" style="135" customWidth="1"/>
    <col min="9245" max="9472" width="6.5" style="135"/>
    <col min="9473" max="9473" width="18.125" style="135" bestFit="1" customWidth="1"/>
    <col min="9474" max="9474" width="16" style="135" customWidth="1"/>
    <col min="9475" max="9475" width="23" style="135" customWidth="1"/>
    <col min="9476" max="9476" width="24.5" style="135" customWidth="1"/>
    <col min="9477" max="9477" width="18.625" style="135" customWidth="1"/>
    <col min="9478" max="9478" width="7.625" style="135" customWidth="1"/>
    <col min="9479" max="9479" width="23.375" style="135" customWidth="1"/>
    <col min="9480" max="9480" width="4.625" style="135" bestFit="1" customWidth="1"/>
    <col min="9481" max="9481" width="3.875" style="135" bestFit="1" customWidth="1"/>
    <col min="9482" max="9482" width="4.625" style="135" bestFit="1" customWidth="1"/>
    <col min="9483" max="9483" width="8.25" style="135" customWidth="1"/>
    <col min="9484" max="9484" width="7.5" style="135" customWidth="1"/>
    <col min="9485" max="9485" width="67.75" style="135" customWidth="1"/>
    <col min="9486" max="9486" width="6.75" style="135" customWidth="1"/>
    <col min="9487" max="9487" width="7.625" style="135" bestFit="1" customWidth="1"/>
    <col min="9488" max="9488" width="8.75" style="135" customWidth="1"/>
    <col min="9489" max="9489" width="11.375" style="135" customWidth="1"/>
    <col min="9490" max="9490" width="15.125" style="135" customWidth="1"/>
    <col min="9491" max="9491" width="7.625" style="135" bestFit="1" customWidth="1"/>
    <col min="9492" max="9492" width="11" style="135" bestFit="1" customWidth="1"/>
    <col min="9493" max="9499" width="6.5" style="135"/>
    <col min="9500" max="9500" width="12.5" style="135" customWidth="1"/>
    <col min="9501" max="9728" width="6.5" style="135"/>
    <col min="9729" max="9729" width="18.125" style="135" bestFit="1" customWidth="1"/>
    <col min="9730" max="9730" width="16" style="135" customWidth="1"/>
    <col min="9731" max="9731" width="23" style="135" customWidth="1"/>
    <col min="9732" max="9732" width="24.5" style="135" customWidth="1"/>
    <col min="9733" max="9733" width="18.625" style="135" customWidth="1"/>
    <col min="9734" max="9734" width="7.625" style="135" customWidth="1"/>
    <col min="9735" max="9735" width="23.375" style="135" customWidth="1"/>
    <col min="9736" max="9736" width="4.625" style="135" bestFit="1" customWidth="1"/>
    <col min="9737" max="9737" width="3.875" style="135" bestFit="1" customWidth="1"/>
    <col min="9738" max="9738" width="4.625" style="135" bestFit="1" customWidth="1"/>
    <col min="9739" max="9739" width="8.25" style="135" customWidth="1"/>
    <col min="9740" max="9740" width="7.5" style="135" customWidth="1"/>
    <col min="9741" max="9741" width="67.75" style="135" customWidth="1"/>
    <col min="9742" max="9742" width="6.75" style="135" customWidth="1"/>
    <col min="9743" max="9743" width="7.625" style="135" bestFit="1" customWidth="1"/>
    <col min="9744" max="9744" width="8.75" style="135" customWidth="1"/>
    <col min="9745" max="9745" width="11.375" style="135" customWidth="1"/>
    <col min="9746" max="9746" width="15.125" style="135" customWidth="1"/>
    <col min="9747" max="9747" width="7.625" style="135" bestFit="1" customWidth="1"/>
    <col min="9748" max="9748" width="11" style="135" bestFit="1" customWidth="1"/>
    <col min="9749" max="9755" width="6.5" style="135"/>
    <col min="9756" max="9756" width="12.5" style="135" customWidth="1"/>
    <col min="9757" max="9984" width="6.5" style="135"/>
    <col min="9985" max="9985" width="18.125" style="135" bestFit="1" customWidth="1"/>
    <col min="9986" max="9986" width="16" style="135" customWidth="1"/>
    <col min="9987" max="9987" width="23" style="135" customWidth="1"/>
    <col min="9988" max="9988" width="24.5" style="135" customWidth="1"/>
    <col min="9989" max="9989" width="18.625" style="135" customWidth="1"/>
    <col min="9990" max="9990" width="7.625" style="135" customWidth="1"/>
    <col min="9991" max="9991" width="23.375" style="135" customWidth="1"/>
    <col min="9992" max="9992" width="4.625" style="135" bestFit="1" customWidth="1"/>
    <col min="9993" max="9993" width="3.875" style="135" bestFit="1" customWidth="1"/>
    <col min="9994" max="9994" width="4.625" style="135" bestFit="1" customWidth="1"/>
    <col min="9995" max="9995" width="8.25" style="135" customWidth="1"/>
    <col min="9996" max="9996" width="7.5" style="135" customWidth="1"/>
    <col min="9997" max="9997" width="67.75" style="135" customWidth="1"/>
    <col min="9998" max="9998" width="6.75" style="135" customWidth="1"/>
    <col min="9999" max="9999" width="7.625" style="135" bestFit="1" customWidth="1"/>
    <col min="10000" max="10000" width="8.75" style="135" customWidth="1"/>
    <col min="10001" max="10001" width="11.375" style="135" customWidth="1"/>
    <col min="10002" max="10002" width="15.125" style="135" customWidth="1"/>
    <col min="10003" max="10003" width="7.625" style="135" bestFit="1" customWidth="1"/>
    <col min="10004" max="10004" width="11" style="135" bestFit="1" customWidth="1"/>
    <col min="10005" max="10011" width="6.5" style="135"/>
    <col min="10012" max="10012" width="12.5" style="135" customWidth="1"/>
    <col min="10013" max="10240" width="6.5" style="135"/>
    <col min="10241" max="10241" width="18.125" style="135" bestFit="1" customWidth="1"/>
    <col min="10242" max="10242" width="16" style="135" customWidth="1"/>
    <col min="10243" max="10243" width="23" style="135" customWidth="1"/>
    <col min="10244" max="10244" width="24.5" style="135" customWidth="1"/>
    <col min="10245" max="10245" width="18.625" style="135" customWidth="1"/>
    <col min="10246" max="10246" width="7.625" style="135" customWidth="1"/>
    <col min="10247" max="10247" width="23.375" style="135" customWidth="1"/>
    <col min="10248" max="10248" width="4.625" style="135" bestFit="1" customWidth="1"/>
    <col min="10249" max="10249" width="3.875" style="135" bestFit="1" customWidth="1"/>
    <col min="10250" max="10250" width="4.625" style="135" bestFit="1" customWidth="1"/>
    <col min="10251" max="10251" width="8.25" style="135" customWidth="1"/>
    <col min="10252" max="10252" width="7.5" style="135" customWidth="1"/>
    <col min="10253" max="10253" width="67.75" style="135" customWidth="1"/>
    <col min="10254" max="10254" width="6.75" style="135" customWidth="1"/>
    <col min="10255" max="10255" width="7.625" style="135" bestFit="1" customWidth="1"/>
    <col min="10256" max="10256" width="8.75" style="135" customWidth="1"/>
    <col min="10257" max="10257" width="11.375" style="135" customWidth="1"/>
    <col min="10258" max="10258" width="15.125" style="135" customWidth="1"/>
    <col min="10259" max="10259" width="7.625" style="135" bestFit="1" customWidth="1"/>
    <col min="10260" max="10260" width="11" style="135" bestFit="1" customWidth="1"/>
    <col min="10261" max="10267" width="6.5" style="135"/>
    <col min="10268" max="10268" width="12.5" style="135" customWidth="1"/>
    <col min="10269" max="10496" width="6.5" style="135"/>
    <col min="10497" max="10497" width="18.125" style="135" bestFit="1" customWidth="1"/>
    <col min="10498" max="10498" width="16" style="135" customWidth="1"/>
    <col min="10499" max="10499" width="23" style="135" customWidth="1"/>
    <col min="10500" max="10500" width="24.5" style="135" customWidth="1"/>
    <col min="10501" max="10501" width="18.625" style="135" customWidth="1"/>
    <col min="10502" max="10502" width="7.625" style="135" customWidth="1"/>
    <col min="10503" max="10503" width="23.375" style="135" customWidth="1"/>
    <col min="10504" max="10504" width="4.625" style="135" bestFit="1" customWidth="1"/>
    <col min="10505" max="10505" width="3.875" style="135" bestFit="1" customWidth="1"/>
    <col min="10506" max="10506" width="4.625" style="135" bestFit="1" customWidth="1"/>
    <col min="10507" max="10507" width="8.25" style="135" customWidth="1"/>
    <col min="10508" max="10508" width="7.5" style="135" customWidth="1"/>
    <col min="10509" max="10509" width="67.75" style="135" customWidth="1"/>
    <col min="10510" max="10510" width="6.75" style="135" customWidth="1"/>
    <col min="10511" max="10511" width="7.625" style="135" bestFit="1" customWidth="1"/>
    <col min="10512" max="10512" width="8.75" style="135" customWidth="1"/>
    <col min="10513" max="10513" width="11.375" style="135" customWidth="1"/>
    <col min="10514" max="10514" width="15.125" style="135" customWidth="1"/>
    <col min="10515" max="10515" width="7.625" style="135" bestFit="1" customWidth="1"/>
    <col min="10516" max="10516" width="11" style="135" bestFit="1" customWidth="1"/>
    <col min="10517" max="10523" width="6.5" style="135"/>
    <col min="10524" max="10524" width="12.5" style="135" customWidth="1"/>
    <col min="10525" max="10752" width="6.5" style="135"/>
    <col min="10753" max="10753" width="18.125" style="135" bestFit="1" customWidth="1"/>
    <col min="10754" max="10754" width="16" style="135" customWidth="1"/>
    <col min="10755" max="10755" width="23" style="135" customWidth="1"/>
    <col min="10756" max="10756" width="24.5" style="135" customWidth="1"/>
    <col min="10757" max="10757" width="18.625" style="135" customWidth="1"/>
    <col min="10758" max="10758" width="7.625" style="135" customWidth="1"/>
    <col min="10759" max="10759" width="23.375" style="135" customWidth="1"/>
    <col min="10760" max="10760" width="4.625" style="135" bestFit="1" customWidth="1"/>
    <col min="10761" max="10761" width="3.875" style="135" bestFit="1" customWidth="1"/>
    <col min="10762" max="10762" width="4.625" style="135" bestFit="1" customWidth="1"/>
    <col min="10763" max="10763" width="8.25" style="135" customWidth="1"/>
    <col min="10764" max="10764" width="7.5" style="135" customWidth="1"/>
    <col min="10765" max="10765" width="67.75" style="135" customWidth="1"/>
    <col min="10766" max="10766" width="6.75" style="135" customWidth="1"/>
    <col min="10767" max="10767" width="7.625" style="135" bestFit="1" customWidth="1"/>
    <col min="10768" max="10768" width="8.75" style="135" customWidth="1"/>
    <col min="10769" max="10769" width="11.375" style="135" customWidth="1"/>
    <col min="10770" max="10770" width="15.125" style="135" customWidth="1"/>
    <col min="10771" max="10771" width="7.625" style="135" bestFit="1" customWidth="1"/>
    <col min="10772" max="10772" width="11" style="135" bestFit="1" customWidth="1"/>
    <col min="10773" max="10779" width="6.5" style="135"/>
    <col min="10780" max="10780" width="12.5" style="135" customWidth="1"/>
    <col min="10781" max="11008" width="6.5" style="135"/>
    <col min="11009" max="11009" width="18.125" style="135" bestFit="1" customWidth="1"/>
    <col min="11010" max="11010" width="16" style="135" customWidth="1"/>
    <col min="11011" max="11011" width="23" style="135" customWidth="1"/>
    <col min="11012" max="11012" width="24.5" style="135" customWidth="1"/>
    <col min="11013" max="11013" width="18.625" style="135" customWidth="1"/>
    <col min="11014" max="11014" width="7.625" style="135" customWidth="1"/>
    <col min="11015" max="11015" width="23.375" style="135" customWidth="1"/>
    <col min="11016" max="11016" width="4.625" style="135" bestFit="1" customWidth="1"/>
    <col min="11017" max="11017" width="3.875" style="135" bestFit="1" customWidth="1"/>
    <col min="11018" max="11018" width="4.625" style="135" bestFit="1" customWidth="1"/>
    <col min="11019" max="11019" width="8.25" style="135" customWidth="1"/>
    <col min="11020" max="11020" width="7.5" style="135" customWidth="1"/>
    <col min="11021" max="11021" width="67.75" style="135" customWidth="1"/>
    <col min="11022" max="11022" width="6.75" style="135" customWidth="1"/>
    <col min="11023" max="11023" width="7.625" style="135" bestFit="1" customWidth="1"/>
    <col min="11024" max="11024" width="8.75" style="135" customWidth="1"/>
    <col min="11025" max="11025" width="11.375" style="135" customWidth="1"/>
    <col min="11026" max="11026" width="15.125" style="135" customWidth="1"/>
    <col min="11027" max="11027" width="7.625" style="135" bestFit="1" customWidth="1"/>
    <col min="11028" max="11028" width="11" style="135" bestFit="1" customWidth="1"/>
    <col min="11029" max="11035" width="6.5" style="135"/>
    <col min="11036" max="11036" width="12.5" style="135" customWidth="1"/>
    <col min="11037" max="11264" width="6.5" style="135"/>
    <col min="11265" max="11265" width="18.125" style="135" bestFit="1" customWidth="1"/>
    <col min="11266" max="11266" width="16" style="135" customWidth="1"/>
    <col min="11267" max="11267" width="23" style="135" customWidth="1"/>
    <col min="11268" max="11268" width="24.5" style="135" customWidth="1"/>
    <col min="11269" max="11269" width="18.625" style="135" customWidth="1"/>
    <col min="11270" max="11270" width="7.625" style="135" customWidth="1"/>
    <col min="11271" max="11271" width="23.375" style="135" customWidth="1"/>
    <col min="11272" max="11272" width="4.625" style="135" bestFit="1" customWidth="1"/>
    <col min="11273" max="11273" width="3.875" style="135" bestFit="1" customWidth="1"/>
    <col min="11274" max="11274" width="4.625" style="135" bestFit="1" customWidth="1"/>
    <col min="11275" max="11275" width="8.25" style="135" customWidth="1"/>
    <col min="11276" max="11276" width="7.5" style="135" customWidth="1"/>
    <col min="11277" max="11277" width="67.75" style="135" customWidth="1"/>
    <col min="11278" max="11278" width="6.75" style="135" customWidth="1"/>
    <col min="11279" max="11279" width="7.625" style="135" bestFit="1" customWidth="1"/>
    <col min="11280" max="11280" width="8.75" style="135" customWidth="1"/>
    <col min="11281" max="11281" width="11.375" style="135" customWidth="1"/>
    <col min="11282" max="11282" width="15.125" style="135" customWidth="1"/>
    <col min="11283" max="11283" width="7.625" style="135" bestFit="1" customWidth="1"/>
    <col min="11284" max="11284" width="11" style="135" bestFit="1" customWidth="1"/>
    <col min="11285" max="11291" width="6.5" style="135"/>
    <col min="11292" max="11292" width="12.5" style="135" customWidth="1"/>
    <col min="11293" max="11520" width="6.5" style="135"/>
    <col min="11521" max="11521" width="18.125" style="135" bestFit="1" customWidth="1"/>
    <col min="11522" max="11522" width="16" style="135" customWidth="1"/>
    <col min="11523" max="11523" width="23" style="135" customWidth="1"/>
    <col min="11524" max="11524" width="24.5" style="135" customWidth="1"/>
    <col min="11525" max="11525" width="18.625" style="135" customWidth="1"/>
    <col min="11526" max="11526" width="7.625" style="135" customWidth="1"/>
    <col min="11527" max="11527" width="23.375" style="135" customWidth="1"/>
    <col min="11528" max="11528" width="4.625" style="135" bestFit="1" customWidth="1"/>
    <col min="11529" max="11529" width="3.875" style="135" bestFit="1" customWidth="1"/>
    <col min="11530" max="11530" width="4.625" style="135" bestFit="1" customWidth="1"/>
    <col min="11531" max="11531" width="8.25" style="135" customWidth="1"/>
    <col min="11532" max="11532" width="7.5" style="135" customWidth="1"/>
    <col min="11533" max="11533" width="67.75" style="135" customWidth="1"/>
    <col min="11534" max="11534" width="6.75" style="135" customWidth="1"/>
    <col min="11535" max="11535" width="7.625" style="135" bestFit="1" customWidth="1"/>
    <col min="11536" max="11536" width="8.75" style="135" customWidth="1"/>
    <col min="11537" max="11537" width="11.375" style="135" customWidth="1"/>
    <col min="11538" max="11538" width="15.125" style="135" customWidth="1"/>
    <col min="11539" max="11539" width="7.625" style="135" bestFit="1" customWidth="1"/>
    <col min="11540" max="11540" width="11" style="135" bestFit="1" customWidth="1"/>
    <col min="11541" max="11547" width="6.5" style="135"/>
    <col min="11548" max="11548" width="12.5" style="135" customWidth="1"/>
    <col min="11549" max="11776" width="6.5" style="135"/>
    <col min="11777" max="11777" width="18.125" style="135" bestFit="1" customWidth="1"/>
    <col min="11778" max="11778" width="16" style="135" customWidth="1"/>
    <col min="11779" max="11779" width="23" style="135" customWidth="1"/>
    <col min="11780" max="11780" width="24.5" style="135" customWidth="1"/>
    <col min="11781" max="11781" width="18.625" style="135" customWidth="1"/>
    <col min="11782" max="11782" width="7.625" style="135" customWidth="1"/>
    <col min="11783" max="11783" width="23.375" style="135" customWidth="1"/>
    <col min="11784" max="11784" width="4.625" style="135" bestFit="1" customWidth="1"/>
    <col min="11785" max="11785" width="3.875" style="135" bestFit="1" customWidth="1"/>
    <col min="11786" max="11786" width="4.625" style="135" bestFit="1" customWidth="1"/>
    <col min="11787" max="11787" width="8.25" style="135" customWidth="1"/>
    <col min="11788" max="11788" width="7.5" style="135" customWidth="1"/>
    <col min="11789" max="11789" width="67.75" style="135" customWidth="1"/>
    <col min="11790" max="11790" width="6.75" style="135" customWidth="1"/>
    <col min="11791" max="11791" width="7.625" style="135" bestFit="1" customWidth="1"/>
    <col min="11792" max="11792" width="8.75" style="135" customWidth="1"/>
    <col min="11793" max="11793" width="11.375" style="135" customWidth="1"/>
    <col min="11794" max="11794" width="15.125" style="135" customWidth="1"/>
    <col min="11795" max="11795" width="7.625" style="135" bestFit="1" customWidth="1"/>
    <col min="11796" max="11796" width="11" style="135" bestFit="1" customWidth="1"/>
    <col min="11797" max="11803" width="6.5" style="135"/>
    <col min="11804" max="11804" width="12.5" style="135" customWidth="1"/>
    <col min="11805" max="12032" width="6.5" style="135"/>
    <col min="12033" max="12033" width="18.125" style="135" bestFit="1" customWidth="1"/>
    <col min="12034" max="12034" width="16" style="135" customWidth="1"/>
    <col min="12035" max="12035" width="23" style="135" customWidth="1"/>
    <col min="12036" max="12036" width="24.5" style="135" customWidth="1"/>
    <col min="12037" max="12037" width="18.625" style="135" customWidth="1"/>
    <col min="12038" max="12038" width="7.625" style="135" customWidth="1"/>
    <col min="12039" max="12039" width="23.375" style="135" customWidth="1"/>
    <col min="12040" max="12040" width="4.625" style="135" bestFit="1" customWidth="1"/>
    <col min="12041" max="12041" width="3.875" style="135" bestFit="1" customWidth="1"/>
    <col min="12042" max="12042" width="4.625" style="135" bestFit="1" customWidth="1"/>
    <col min="12043" max="12043" width="8.25" style="135" customWidth="1"/>
    <col min="12044" max="12044" width="7.5" style="135" customWidth="1"/>
    <col min="12045" max="12045" width="67.75" style="135" customWidth="1"/>
    <col min="12046" max="12046" width="6.75" style="135" customWidth="1"/>
    <col min="12047" max="12047" width="7.625" style="135" bestFit="1" customWidth="1"/>
    <col min="12048" max="12048" width="8.75" style="135" customWidth="1"/>
    <col min="12049" max="12049" width="11.375" style="135" customWidth="1"/>
    <col min="12050" max="12050" width="15.125" style="135" customWidth="1"/>
    <col min="12051" max="12051" width="7.625" style="135" bestFit="1" customWidth="1"/>
    <col min="12052" max="12052" width="11" style="135" bestFit="1" customWidth="1"/>
    <col min="12053" max="12059" width="6.5" style="135"/>
    <col min="12060" max="12060" width="12.5" style="135" customWidth="1"/>
    <col min="12061" max="12288" width="6.5" style="135"/>
    <col min="12289" max="12289" width="18.125" style="135" bestFit="1" customWidth="1"/>
    <col min="12290" max="12290" width="16" style="135" customWidth="1"/>
    <col min="12291" max="12291" width="23" style="135" customWidth="1"/>
    <col min="12292" max="12292" width="24.5" style="135" customWidth="1"/>
    <col min="12293" max="12293" width="18.625" style="135" customWidth="1"/>
    <col min="12294" max="12294" width="7.625" style="135" customWidth="1"/>
    <col min="12295" max="12295" width="23.375" style="135" customWidth="1"/>
    <col min="12296" max="12296" width="4.625" style="135" bestFit="1" customWidth="1"/>
    <col min="12297" max="12297" width="3.875" style="135" bestFit="1" customWidth="1"/>
    <col min="12298" max="12298" width="4.625" style="135" bestFit="1" customWidth="1"/>
    <col min="12299" max="12299" width="8.25" style="135" customWidth="1"/>
    <col min="12300" max="12300" width="7.5" style="135" customWidth="1"/>
    <col min="12301" max="12301" width="67.75" style="135" customWidth="1"/>
    <col min="12302" max="12302" width="6.75" style="135" customWidth="1"/>
    <col min="12303" max="12303" width="7.625" style="135" bestFit="1" customWidth="1"/>
    <col min="12304" max="12304" width="8.75" style="135" customWidth="1"/>
    <col min="12305" max="12305" width="11.375" style="135" customWidth="1"/>
    <col min="12306" max="12306" width="15.125" style="135" customWidth="1"/>
    <col min="12307" max="12307" width="7.625" style="135" bestFit="1" customWidth="1"/>
    <col min="12308" max="12308" width="11" style="135" bestFit="1" customWidth="1"/>
    <col min="12309" max="12315" width="6.5" style="135"/>
    <col min="12316" max="12316" width="12.5" style="135" customWidth="1"/>
    <col min="12317" max="12544" width="6.5" style="135"/>
    <col min="12545" max="12545" width="18.125" style="135" bestFit="1" customWidth="1"/>
    <col min="12546" max="12546" width="16" style="135" customWidth="1"/>
    <col min="12547" max="12547" width="23" style="135" customWidth="1"/>
    <col min="12548" max="12548" width="24.5" style="135" customWidth="1"/>
    <col min="12549" max="12549" width="18.625" style="135" customWidth="1"/>
    <col min="12550" max="12550" width="7.625" style="135" customWidth="1"/>
    <col min="12551" max="12551" width="23.375" style="135" customWidth="1"/>
    <col min="12552" max="12552" width="4.625" style="135" bestFit="1" customWidth="1"/>
    <col min="12553" max="12553" width="3.875" style="135" bestFit="1" customWidth="1"/>
    <col min="12554" max="12554" width="4.625" style="135" bestFit="1" customWidth="1"/>
    <col min="12555" max="12555" width="8.25" style="135" customWidth="1"/>
    <col min="12556" max="12556" width="7.5" style="135" customWidth="1"/>
    <col min="12557" max="12557" width="67.75" style="135" customWidth="1"/>
    <col min="12558" max="12558" width="6.75" style="135" customWidth="1"/>
    <col min="12559" max="12559" width="7.625" style="135" bestFit="1" customWidth="1"/>
    <col min="12560" max="12560" width="8.75" style="135" customWidth="1"/>
    <col min="12561" max="12561" width="11.375" style="135" customWidth="1"/>
    <col min="12562" max="12562" width="15.125" style="135" customWidth="1"/>
    <col min="12563" max="12563" width="7.625" style="135" bestFit="1" customWidth="1"/>
    <col min="12564" max="12564" width="11" style="135" bestFit="1" customWidth="1"/>
    <col min="12565" max="12571" width="6.5" style="135"/>
    <col min="12572" max="12572" width="12.5" style="135" customWidth="1"/>
    <col min="12573" max="12800" width="6.5" style="135"/>
    <col min="12801" max="12801" width="18.125" style="135" bestFit="1" customWidth="1"/>
    <col min="12802" max="12802" width="16" style="135" customWidth="1"/>
    <col min="12803" max="12803" width="23" style="135" customWidth="1"/>
    <col min="12804" max="12804" width="24.5" style="135" customWidth="1"/>
    <col min="12805" max="12805" width="18.625" style="135" customWidth="1"/>
    <col min="12806" max="12806" width="7.625" style="135" customWidth="1"/>
    <col min="12807" max="12807" width="23.375" style="135" customWidth="1"/>
    <col min="12808" max="12808" width="4.625" style="135" bestFit="1" customWidth="1"/>
    <col min="12809" max="12809" width="3.875" style="135" bestFit="1" customWidth="1"/>
    <col min="12810" max="12810" width="4.625" style="135" bestFit="1" customWidth="1"/>
    <col min="12811" max="12811" width="8.25" style="135" customWidth="1"/>
    <col min="12812" max="12812" width="7.5" style="135" customWidth="1"/>
    <col min="12813" max="12813" width="67.75" style="135" customWidth="1"/>
    <col min="12814" max="12814" width="6.75" style="135" customWidth="1"/>
    <col min="12815" max="12815" width="7.625" style="135" bestFit="1" customWidth="1"/>
    <col min="12816" max="12816" width="8.75" style="135" customWidth="1"/>
    <col min="12817" max="12817" width="11.375" style="135" customWidth="1"/>
    <col min="12818" max="12818" width="15.125" style="135" customWidth="1"/>
    <col min="12819" max="12819" width="7.625" style="135" bestFit="1" customWidth="1"/>
    <col min="12820" max="12820" width="11" style="135" bestFit="1" customWidth="1"/>
    <col min="12821" max="12827" width="6.5" style="135"/>
    <col min="12828" max="12828" width="12.5" style="135" customWidth="1"/>
    <col min="12829" max="13056" width="6.5" style="135"/>
    <col min="13057" max="13057" width="18.125" style="135" bestFit="1" customWidth="1"/>
    <col min="13058" max="13058" width="16" style="135" customWidth="1"/>
    <col min="13059" max="13059" width="23" style="135" customWidth="1"/>
    <col min="13060" max="13060" width="24.5" style="135" customWidth="1"/>
    <col min="13061" max="13061" width="18.625" style="135" customWidth="1"/>
    <col min="13062" max="13062" width="7.625" style="135" customWidth="1"/>
    <col min="13063" max="13063" width="23.375" style="135" customWidth="1"/>
    <col min="13064" max="13064" width="4.625" style="135" bestFit="1" customWidth="1"/>
    <col min="13065" max="13065" width="3.875" style="135" bestFit="1" customWidth="1"/>
    <col min="13066" max="13066" width="4.625" style="135" bestFit="1" customWidth="1"/>
    <col min="13067" max="13067" width="8.25" style="135" customWidth="1"/>
    <col min="13068" max="13068" width="7.5" style="135" customWidth="1"/>
    <col min="13069" max="13069" width="67.75" style="135" customWidth="1"/>
    <col min="13070" max="13070" width="6.75" style="135" customWidth="1"/>
    <col min="13071" max="13071" width="7.625" style="135" bestFit="1" customWidth="1"/>
    <col min="13072" max="13072" width="8.75" style="135" customWidth="1"/>
    <col min="13073" max="13073" width="11.375" style="135" customWidth="1"/>
    <col min="13074" max="13074" width="15.125" style="135" customWidth="1"/>
    <col min="13075" max="13075" width="7.625" style="135" bestFit="1" customWidth="1"/>
    <col min="13076" max="13076" width="11" style="135" bestFit="1" customWidth="1"/>
    <col min="13077" max="13083" width="6.5" style="135"/>
    <col min="13084" max="13084" width="12.5" style="135" customWidth="1"/>
    <col min="13085" max="13312" width="6.5" style="135"/>
    <col min="13313" max="13313" width="18.125" style="135" bestFit="1" customWidth="1"/>
    <col min="13314" max="13314" width="16" style="135" customWidth="1"/>
    <col min="13315" max="13315" width="23" style="135" customWidth="1"/>
    <col min="13316" max="13316" width="24.5" style="135" customWidth="1"/>
    <col min="13317" max="13317" width="18.625" style="135" customWidth="1"/>
    <col min="13318" max="13318" width="7.625" style="135" customWidth="1"/>
    <col min="13319" max="13319" width="23.375" style="135" customWidth="1"/>
    <col min="13320" max="13320" width="4.625" style="135" bestFit="1" customWidth="1"/>
    <col min="13321" max="13321" width="3.875" style="135" bestFit="1" customWidth="1"/>
    <col min="13322" max="13322" width="4.625" style="135" bestFit="1" customWidth="1"/>
    <col min="13323" max="13323" width="8.25" style="135" customWidth="1"/>
    <col min="13324" max="13324" width="7.5" style="135" customWidth="1"/>
    <col min="13325" max="13325" width="67.75" style="135" customWidth="1"/>
    <col min="13326" max="13326" width="6.75" style="135" customWidth="1"/>
    <col min="13327" max="13327" width="7.625" style="135" bestFit="1" customWidth="1"/>
    <col min="13328" max="13328" width="8.75" style="135" customWidth="1"/>
    <col min="13329" max="13329" width="11.375" style="135" customWidth="1"/>
    <col min="13330" max="13330" width="15.125" style="135" customWidth="1"/>
    <col min="13331" max="13331" width="7.625" style="135" bestFit="1" customWidth="1"/>
    <col min="13332" max="13332" width="11" style="135" bestFit="1" customWidth="1"/>
    <col min="13333" max="13339" width="6.5" style="135"/>
    <col min="13340" max="13340" width="12.5" style="135" customWidth="1"/>
    <col min="13341" max="13568" width="6.5" style="135"/>
    <col min="13569" max="13569" width="18.125" style="135" bestFit="1" customWidth="1"/>
    <col min="13570" max="13570" width="16" style="135" customWidth="1"/>
    <col min="13571" max="13571" width="23" style="135" customWidth="1"/>
    <col min="13572" max="13572" width="24.5" style="135" customWidth="1"/>
    <col min="13573" max="13573" width="18.625" style="135" customWidth="1"/>
    <col min="13574" max="13574" width="7.625" style="135" customWidth="1"/>
    <col min="13575" max="13575" width="23.375" style="135" customWidth="1"/>
    <col min="13576" max="13576" width="4.625" style="135" bestFit="1" customWidth="1"/>
    <col min="13577" max="13577" width="3.875" style="135" bestFit="1" customWidth="1"/>
    <col min="13578" max="13578" width="4.625" style="135" bestFit="1" customWidth="1"/>
    <col min="13579" max="13579" width="8.25" style="135" customWidth="1"/>
    <col min="13580" max="13580" width="7.5" style="135" customWidth="1"/>
    <col min="13581" max="13581" width="67.75" style="135" customWidth="1"/>
    <col min="13582" max="13582" width="6.75" style="135" customWidth="1"/>
    <col min="13583" max="13583" width="7.625" style="135" bestFit="1" customWidth="1"/>
    <col min="13584" max="13584" width="8.75" style="135" customWidth="1"/>
    <col min="13585" max="13585" width="11.375" style="135" customWidth="1"/>
    <col min="13586" max="13586" width="15.125" style="135" customWidth="1"/>
    <col min="13587" max="13587" width="7.625" style="135" bestFit="1" customWidth="1"/>
    <col min="13588" max="13588" width="11" style="135" bestFit="1" customWidth="1"/>
    <col min="13589" max="13595" width="6.5" style="135"/>
    <col min="13596" max="13596" width="12.5" style="135" customWidth="1"/>
    <col min="13597" max="13824" width="6.5" style="135"/>
    <col min="13825" max="13825" width="18.125" style="135" bestFit="1" customWidth="1"/>
    <col min="13826" max="13826" width="16" style="135" customWidth="1"/>
    <col min="13827" max="13827" width="23" style="135" customWidth="1"/>
    <col min="13828" max="13828" width="24.5" style="135" customWidth="1"/>
    <col min="13829" max="13829" width="18.625" style="135" customWidth="1"/>
    <col min="13830" max="13830" width="7.625" style="135" customWidth="1"/>
    <col min="13831" max="13831" width="23.375" style="135" customWidth="1"/>
    <col min="13832" max="13832" width="4.625" style="135" bestFit="1" customWidth="1"/>
    <col min="13833" max="13833" width="3.875" style="135" bestFit="1" customWidth="1"/>
    <col min="13834" max="13834" width="4.625" style="135" bestFit="1" customWidth="1"/>
    <col min="13835" max="13835" width="8.25" style="135" customWidth="1"/>
    <col min="13836" max="13836" width="7.5" style="135" customWidth="1"/>
    <col min="13837" max="13837" width="67.75" style="135" customWidth="1"/>
    <col min="13838" max="13838" width="6.75" style="135" customWidth="1"/>
    <col min="13839" max="13839" width="7.625" style="135" bestFit="1" customWidth="1"/>
    <col min="13840" max="13840" width="8.75" style="135" customWidth="1"/>
    <col min="13841" max="13841" width="11.375" style="135" customWidth="1"/>
    <col min="13842" max="13842" width="15.125" style="135" customWidth="1"/>
    <col min="13843" max="13843" width="7.625" style="135" bestFit="1" customWidth="1"/>
    <col min="13844" max="13844" width="11" style="135" bestFit="1" customWidth="1"/>
    <col min="13845" max="13851" width="6.5" style="135"/>
    <col min="13852" max="13852" width="12.5" style="135" customWidth="1"/>
    <col min="13853" max="14080" width="6.5" style="135"/>
    <col min="14081" max="14081" width="18.125" style="135" bestFit="1" customWidth="1"/>
    <col min="14082" max="14082" width="16" style="135" customWidth="1"/>
    <col min="14083" max="14083" width="23" style="135" customWidth="1"/>
    <col min="14084" max="14084" width="24.5" style="135" customWidth="1"/>
    <col min="14085" max="14085" width="18.625" style="135" customWidth="1"/>
    <col min="14086" max="14086" width="7.625" style="135" customWidth="1"/>
    <col min="14087" max="14087" width="23.375" style="135" customWidth="1"/>
    <col min="14088" max="14088" width="4.625" style="135" bestFit="1" customWidth="1"/>
    <col min="14089" max="14089" width="3.875" style="135" bestFit="1" customWidth="1"/>
    <col min="14090" max="14090" width="4.625" style="135" bestFit="1" customWidth="1"/>
    <col min="14091" max="14091" width="8.25" style="135" customWidth="1"/>
    <col min="14092" max="14092" width="7.5" style="135" customWidth="1"/>
    <col min="14093" max="14093" width="67.75" style="135" customWidth="1"/>
    <col min="14094" max="14094" width="6.75" style="135" customWidth="1"/>
    <col min="14095" max="14095" width="7.625" style="135" bestFit="1" customWidth="1"/>
    <col min="14096" max="14096" width="8.75" style="135" customWidth="1"/>
    <col min="14097" max="14097" width="11.375" style="135" customWidth="1"/>
    <col min="14098" max="14098" width="15.125" style="135" customWidth="1"/>
    <col min="14099" max="14099" width="7.625" style="135" bestFit="1" customWidth="1"/>
    <col min="14100" max="14100" width="11" style="135" bestFit="1" customWidth="1"/>
    <col min="14101" max="14107" width="6.5" style="135"/>
    <col min="14108" max="14108" width="12.5" style="135" customWidth="1"/>
    <col min="14109" max="14336" width="6.5" style="135"/>
    <col min="14337" max="14337" width="18.125" style="135" bestFit="1" customWidth="1"/>
    <col min="14338" max="14338" width="16" style="135" customWidth="1"/>
    <col min="14339" max="14339" width="23" style="135" customWidth="1"/>
    <col min="14340" max="14340" width="24.5" style="135" customWidth="1"/>
    <col min="14341" max="14341" width="18.625" style="135" customWidth="1"/>
    <col min="14342" max="14342" width="7.625" style="135" customWidth="1"/>
    <col min="14343" max="14343" width="23.375" style="135" customWidth="1"/>
    <col min="14344" max="14344" width="4.625" style="135" bestFit="1" customWidth="1"/>
    <col min="14345" max="14345" width="3.875" style="135" bestFit="1" customWidth="1"/>
    <col min="14346" max="14346" width="4.625" style="135" bestFit="1" customWidth="1"/>
    <col min="14347" max="14347" width="8.25" style="135" customWidth="1"/>
    <col min="14348" max="14348" width="7.5" style="135" customWidth="1"/>
    <col min="14349" max="14349" width="67.75" style="135" customWidth="1"/>
    <col min="14350" max="14350" width="6.75" style="135" customWidth="1"/>
    <col min="14351" max="14351" width="7.625" style="135" bestFit="1" customWidth="1"/>
    <col min="14352" max="14352" width="8.75" style="135" customWidth="1"/>
    <col min="14353" max="14353" width="11.375" style="135" customWidth="1"/>
    <col min="14354" max="14354" width="15.125" style="135" customWidth="1"/>
    <col min="14355" max="14355" width="7.625" style="135" bestFit="1" customWidth="1"/>
    <col min="14356" max="14356" width="11" style="135" bestFit="1" customWidth="1"/>
    <col min="14357" max="14363" width="6.5" style="135"/>
    <col min="14364" max="14364" width="12.5" style="135" customWidth="1"/>
    <col min="14365" max="14592" width="6.5" style="135"/>
    <col min="14593" max="14593" width="18.125" style="135" bestFit="1" customWidth="1"/>
    <col min="14594" max="14594" width="16" style="135" customWidth="1"/>
    <col min="14595" max="14595" width="23" style="135" customWidth="1"/>
    <col min="14596" max="14596" width="24.5" style="135" customWidth="1"/>
    <col min="14597" max="14597" width="18.625" style="135" customWidth="1"/>
    <col min="14598" max="14598" width="7.625" style="135" customWidth="1"/>
    <col min="14599" max="14599" width="23.375" style="135" customWidth="1"/>
    <col min="14600" max="14600" width="4.625" style="135" bestFit="1" customWidth="1"/>
    <col min="14601" max="14601" width="3.875" style="135" bestFit="1" customWidth="1"/>
    <col min="14602" max="14602" width="4.625" style="135" bestFit="1" customWidth="1"/>
    <col min="14603" max="14603" width="8.25" style="135" customWidth="1"/>
    <col min="14604" max="14604" width="7.5" style="135" customWidth="1"/>
    <col min="14605" max="14605" width="67.75" style="135" customWidth="1"/>
    <col min="14606" max="14606" width="6.75" style="135" customWidth="1"/>
    <col min="14607" max="14607" width="7.625" style="135" bestFit="1" customWidth="1"/>
    <col min="14608" max="14608" width="8.75" style="135" customWidth="1"/>
    <col min="14609" max="14609" width="11.375" style="135" customWidth="1"/>
    <col min="14610" max="14610" width="15.125" style="135" customWidth="1"/>
    <col min="14611" max="14611" width="7.625" style="135" bestFit="1" customWidth="1"/>
    <col min="14612" max="14612" width="11" style="135" bestFit="1" customWidth="1"/>
    <col min="14613" max="14619" width="6.5" style="135"/>
    <col min="14620" max="14620" width="12.5" style="135" customWidth="1"/>
    <col min="14621" max="14848" width="6.5" style="135"/>
    <col min="14849" max="14849" width="18.125" style="135" bestFit="1" customWidth="1"/>
    <col min="14850" max="14850" width="16" style="135" customWidth="1"/>
    <col min="14851" max="14851" width="23" style="135" customWidth="1"/>
    <col min="14852" max="14852" width="24.5" style="135" customWidth="1"/>
    <col min="14853" max="14853" width="18.625" style="135" customWidth="1"/>
    <col min="14854" max="14854" width="7.625" style="135" customWidth="1"/>
    <col min="14855" max="14855" width="23.375" style="135" customWidth="1"/>
    <col min="14856" max="14856" width="4.625" style="135" bestFit="1" customWidth="1"/>
    <col min="14857" max="14857" width="3.875" style="135" bestFit="1" customWidth="1"/>
    <col min="14858" max="14858" width="4.625" style="135" bestFit="1" customWidth="1"/>
    <col min="14859" max="14859" width="8.25" style="135" customWidth="1"/>
    <col min="14860" max="14860" width="7.5" style="135" customWidth="1"/>
    <col min="14861" max="14861" width="67.75" style="135" customWidth="1"/>
    <col min="14862" max="14862" width="6.75" style="135" customWidth="1"/>
    <col min="14863" max="14863" width="7.625" style="135" bestFit="1" customWidth="1"/>
    <col min="14864" max="14864" width="8.75" style="135" customWidth="1"/>
    <col min="14865" max="14865" width="11.375" style="135" customWidth="1"/>
    <col min="14866" max="14866" width="15.125" style="135" customWidth="1"/>
    <col min="14867" max="14867" width="7.625" style="135" bestFit="1" customWidth="1"/>
    <col min="14868" max="14868" width="11" style="135" bestFit="1" customWidth="1"/>
    <col min="14869" max="14875" width="6.5" style="135"/>
    <col min="14876" max="14876" width="12.5" style="135" customWidth="1"/>
    <col min="14877" max="15104" width="6.5" style="135"/>
    <col min="15105" max="15105" width="18.125" style="135" bestFit="1" customWidth="1"/>
    <col min="15106" max="15106" width="16" style="135" customWidth="1"/>
    <col min="15107" max="15107" width="23" style="135" customWidth="1"/>
    <col min="15108" max="15108" width="24.5" style="135" customWidth="1"/>
    <col min="15109" max="15109" width="18.625" style="135" customWidth="1"/>
    <col min="15110" max="15110" width="7.625" style="135" customWidth="1"/>
    <col min="15111" max="15111" width="23.375" style="135" customWidth="1"/>
    <col min="15112" max="15112" width="4.625" style="135" bestFit="1" customWidth="1"/>
    <col min="15113" max="15113" width="3.875" style="135" bestFit="1" customWidth="1"/>
    <col min="15114" max="15114" width="4.625" style="135" bestFit="1" customWidth="1"/>
    <col min="15115" max="15115" width="8.25" style="135" customWidth="1"/>
    <col min="15116" max="15116" width="7.5" style="135" customWidth="1"/>
    <col min="15117" max="15117" width="67.75" style="135" customWidth="1"/>
    <col min="15118" max="15118" width="6.75" style="135" customWidth="1"/>
    <col min="15119" max="15119" width="7.625" style="135" bestFit="1" customWidth="1"/>
    <col min="15120" max="15120" width="8.75" style="135" customWidth="1"/>
    <col min="15121" max="15121" width="11.375" style="135" customWidth="1"/>
    <col min="15122" max="15122" width="15.125" style="135" customWidth="1"/>
    <col min="15123" max="15123" width="7.625" style="135" bestFit="1" customWidth="1"/>
    <col min="15124" max="15124" width="11" style="135" bestFit="1" customWidth="1"/>
    <col min="15125" max="15131" width="6.5" style="135"/>
    <col min="15132" max="15132" width="12.5" style="135" customWidth="1"/>
    <col min="15133" max="15360" width="6.5" style="135"/>
    <col min="15361" max="15361" width="18.125" style="135" bestFit="1" customWidth="1"/>
    <col min="15362" max="15362" width="16" style="135" customWidth="1"/>
    <col min="15363" max="15363" width="23" style="135" customWidth="1"/>
    <col min="15364" max="15364" width="24.5" style="135" customWidth="1"/>
    <col min="15365" max="15365" width="18.625" style="135" customWidth="1"/>
    <col min="15366" max="15366" width="7.625" style="135" customWidth="1"/>
    <col min="15367" max="15367" width="23.375" style="135" customWidth="1"/>
    <col min="15368" max="15368" width="4.625" style="135" bestFit="1" customWidth="1"/>
    <col min="15369" max="15369" width="3.875" style="135" bestFit="1" customWidth="1"/>
    <col min="15370" max="15370" width="4.625" style="135" bestFit="1" customWidth="1"/>
    <col min="15371" max="15371" width="8.25" style="135" customWidth="1"/>
    <col min="15372" max="15372" width="7.5" style="135" customWidth="1"/>
    <col min="15373" max="15373" width="67.75" style="135" customWidth="1"/>
    <col min="15374" max="15374" width="6.75" style="135" customWidth="1"/>
    <col min="15375" max="15375" width="7.625" style="135" bestFit="1" customWidth="1"/>
    <col min="15376" max="15376" width="8.75" style="135" customWidth="1"/>
    <col min="15377" max="15377" width="11.375" style="135" customWidth="1"/>
    <col min="15378" max="15378" width="15.125" style="135" customWidth="1"/>
    <col min="15379" max="15379" width="7.625" style="135" bestFit="1" customWidth="1"/>
    <col min="15380" max="15380" width="11" style="135" bestFit="1" customWidth="1"/>
    <col min="15381" max="15387" width="6.5" style="135"/>
    <col min="15388" max="15388" width="12.5" style="135" customWidth="1"/>
    <col min="15389" max="15616" width="6.5" style="135"/>
    <col min="15617" max="15617" width="18.125" style="135" bestFit="1" customWidth="1"/>
    <col min="15618" max="15618" width="16" style="135" customWidth="1"/>
    <col min="15619" max="15619" width="23" style="135" customWidth="1"/>
    <col min="15620" max="15620" width="24.5" style="135" customWidth="1"/>
    <col min="15621" max="15621" width="18.625" style="135" customWidth="1"/>
    <col min="15622" max="15622" width="7.625" style="135" customWidth="1"/>
    <col min="15623" max="15623" width="23.375" style="135" customWidth="1"/>
    <col min="15624" max="15624" width="4.625" style="135" bestFit="1" customWidth="1"/>
    <col min="15625" max="15625" width="3.875" style="135" bestFit="1" customWidth="1"/>
    <col min="15626" max="15626" width="4.625" style="135" bestFit="1" customWidth="1"/>
    <col min="15627" max="15627" width="8.25" style="135" customWidth="1"/>
    <col min="15628" max="15628" width="7.5" style="135" customWidth="1"/>
    <col min="15629" max="15629" width="67.75" style="135" customWidth="1"/>
    <col min="15630" max="15630" width="6.75" style="135" customWidth="1"/>
    <col min="15631" max="15631" width="7.625" style="135" bestFit="1" customWidth="1"/>
    <col min="15632" max="15632" width="8.75" style="135" customWidth="1"/>
    <col min="15633" max="15633" width="11.375" style="135" customWidth="1"/>
    <col min="15634" max="15634" width="15.125" style="135" customWidth="1"/>
    <col min="15635" max="15635" width="7.625" style="135" bestFit="1" customWidth="1"/>
    <col min="15636" max="15636" width="11" style="135" bestFit="1" customWidth="1"/>
    <col min="15637" max="15643" width="6.5" style="135"/>
    <col min="15644" max="15644" width="12.5" style="135" customWidth="1"/>
    <col min="15645" max="15872" width="6.5" style="135"/>
    <col min="15873" max="15873" width="18.125" style="135" bestFit="1" customWidth="1"/>
    <col min="15874" max="15874" width="16" style="135" customWidth="1"/>
    <col min="15875" max="15875" width="23" style="135" customWidth="1"/>
    <col min="15876" max="15876" width="24.5" style="135" customWidth="1"/>
    <col min="15877" max="15877" width="18.625" style="135" customWidth="1"/>
    <col min="15878" max="15878" width="7.625" style="135" customWidth="1"/>
    <col min="15879" max="15879" width="23.375" style="135" customWidth="1"/>
    <col min="15880" max="15880" width="4.625" style="135" bestFit="1" customWidth="1"/>
    <col min="15881" max="15881" width="3.875" style="135" bestFit="1" customWidth="1"/>
    <col min="15882" max="15882" width="4.625" style="135" bestFit="1" customWidth="1"/>
    <col min="15883" max="15883" width="8.25" style="135" customWidth="1"/>
    <col min="15884" max="15884" width="7.5" style="135" customWidth="1"/>
    <col min="15885" max="15885" width="67.75" style="135" customWidth="1"/>
    <col min="15886" max="15886" width="6.75" style="135" customWidth="1"/>
    <col min="15887" max="15887" width="7.625" style="135" bestFit="1" customWidth="1"/>
    <col min="15888" max="15888" width="8.75" style="135" customWidth="1"/>
    <col min="15889" max="15889" width="11.375" style="135" customWidth="1"/>
    <col min="15890" max="15890" width="15.125" style="135" customWidth="1"/>
    <col min="15891" max="15891" width="7.625" style="135" bestFit="1" customWidth="1"/>
    <col min="15892" max="15892" width="11" style="135" bestFit="1" customWidth="1"/>
    <col min="15893" max="15899" width="6.5" style="135"/>
    <col min="15900" max="15900" width="12.5" style="135" customWidth="1"/>
    <col min="15901" max="16128" width="6.5" style="135"/>
    <col min="16129" max="16129" width="18.125" style="135" bestFit="1" customWidth="1"/>
    <col min="16130" max="16130" width="16" style="135" customWidth="1"/>
    <col min="16131" max="16131" width="23" style="135" customWidth="1"/>
    <col min="16132" max="16132" width="24.5" style="135" customWidth="1"/>
    <col min="16133" max="16133" width="18.625" style="135" customWidth="1"/>
    <col min="16134" max="16134" width="7.625" style="135" customWidth="1"/>
    <col min="16135" max="16135" width="23.375" style="135" customWidth="1"/>
    <col min="16136" max="16136" width="4.625" style="135" bestFit="1" customWidth="1"/>
    <col min="16137" max="16137" width="3.875" style="135" bestFit="1" customWidth="1"/>
    <col min="16138" max="16138" width="4.625" style="135" bestFit="1" customWidth="1"/>
    <col min="16139" max="16139" width="8.25" style="135" customWidth="1"/>
    <col min="16140" max="16140" width="7.5" style="135" customWidth="1"/>
    <col min="16141" max="16141" width="67.75" style="135" customWidth="1"/>
    <col min="16142" max="16142" width="6.75" style="135" customWidth="1"/>
    <col min="16143" max="16143" width="7.625" style="135" bestFit="1" customWidth="1"/>
    <col min="16144" max="16144" width="8.75" style="135" customWidth="1"/>
    <col min="16145" max="16145" width="11.375" style="135" customWidth="1"/>
    <col min="16146" max="16146" width="15.125" style="135" customWidth="1"/>
    <col min="16147" max="16147" width="7.625" style="135" bestFit="1" customWidth="1"/>
    <col min="16148" max="16148" width="11" style="135" bestFit="1" customWidth="1"/>
    <col min="16149" max="16155" width="6.5" style="135"/>
    <col min="16156" max="16156" width="12.5" style="135" customWidth="1"/>
    <col min="16157" max="16384" width="6.5" style="135"/>
  </cols>
  <sheetData>
    <row r="1" spans="1:29" s="153" customFormat="1">
      <c r="A1" s="153" t="s">
        <v>660</v>
      </c>
      <c r="B1" s="154" t="s">
        <v>1789</v>
      </c>
      <c r="C1" s="155"/>
      <c r="D1" s="154"/>
      <c r="E1" s="155"/>
      <c r="F1" s="155"/>
      <c r="AC1" s="156"/>
    </row>
    <row r="2" spans="1:29" s="153" customFormat="1">
      <c r="A2" s="153" t="s">
        <v>661</v>
      </c>
      <c r="B2" s="154" t="s">
        <v>1790</v>
      </c>
      <c r="C2" s="155"/>
      <c r="D2" s="154"/>
      <c r="E2" s="155"/>
      <c r="F2" s="155"/>
      <c r="AC2" s="156"/>
    </row>
    <row r="3" spans="1:29" s="153" customFormat="1">
      <c r="A3" s="153" t="s">
        <v>662</v>
      </c>
      <c r="B3" s="154" t="s">
        <v>1990</v>
      </c>
      <c r="C3" s="155"/>
      <c r="D3" s="154"/>
      <c r="E3" s="155"/>
      <c r="F3" s="155"/>
      <c r="I3" s="157"/>
      <c r="J3" s="157"/>
      <c r="K3" s="157"/>
      <c r="O3" s="157"/>
      <c r="AC3" s="156"/>
    </row>
    <row r="4" spans="1:29" s="153" customFormat="1">
      <c r="A4" s="153" t="s">
        <v>1791</v>
      </c>
      <c r="B4" s="154" t="s">
        <v>1990</v>
      </c>
      <c r="C4" s="155"/>
      <c r="D4" s="154"/>
      <c r="E4" s="155"/>
      <c r="F4" s="155"/>
      <c r="I4" s="157"/>
      <c r="J4" s="157"/>
      <c r="K4" s="157"/>
      <c r="O4" s="157"/>
      <c r="AC4" s="156"/>
    </row>
    <row r="5" spans="1:29" s="153" customFormat="1">
      <c r="A5" s="153" t="s">
        <v>898</v>
      </c>
      <c r="B5" s="154">
        <v>9</v>
      </c>
      <c r="C5" s="155"/>
      <c r="D5" s="154"/>
      <c r="E5" s="155"/>
      <c r="F5" s="155"/>
      <c r="I5" s="157"/>
      <c r="J5" s="157"/>
      <c r="K5" s="157"/>
      <c r="O5" s="157"/>
      <c r="AC5" s="156"/>
    </row>
    <row r="6" spans="1:29" s="153" customFormat="1">
      <c r="A6" s="153" t="s">
        <v>663</v>
      </c>
      <c r="B6" s="154" t="s">
        <v>1792</v>
      </c>
      <c r="C6" s="155"/>
      <c r="D6" s="154"/>
      <c r="E6" s="155"/>
      <c r="F6" s="155"/>
      <c r="I6" s="157"/>
      <c r="J6" s="157"/>
      <c r="K6" s="157"/>
      <c r="O6" s="157"/>
      <c r="AC6" s="156"/>
    </row>
    <row r="7" spans="1:29" s="153" customFormat="1">
      <c r="A7" s="153" t="s">
        <v>1793</v>
      </c>
      <c r="B7" s="154" t="s">
        <v>1794</v>
      </c>
      <c r="C7" s="155"/>
      <c r="D7" s="154"/>
      <c r="E7" s="155"/>
      <c r="F7" s="155"/>
      <c r="I7" s="157"/>
      <c r="J7" s="157"/>
      <c r="K7" s="157"/>
      <c r="O7" s="157"/>
      <c r="AC7" s="156"/>
    </row>
    <row r="8" spans="1:29" s="153" customFormat="1">
      <c r="A8" s="153" t="s">
        <v>664</v>
      </c>
      <c r="B8" s="154" t="s">
        <v>1795</v>
      </c>
      <c r="C8" s="155"/>
      <c r="D8" s="154"/>
      <c r="E8" s="155"/>
      <c r="F8" s="155"/>
      <c r="I8" s="157"/>
      <c r="J8" s="157"/>
      <c r="K8" s="157"/>
      <c r="O8" s="157"/>
      <c r="AC8" s="156"/>
    </row>
    <row r="9" spans="1:29" s="153" customFormat="1">
      <c r="A9" s="153" t="s">
        <v>1796</v>
      </c>
      <c r="B9" s="154" t="s">
        <v>1797</v>
      </c>
      <c r="C9" s="155"/>
      <c r="D9" s="154"/>
      <c r="E9" s="155"/>
      <c r="F9" s="155"/>
      <c r="I9" s="157"/>
      <c r="J9" s="157"/>
      <c r="K9" s="157"/>
      <c r="O9" s="157"/>
      <c r="AC9" s="156"/>
    </row>
    <row r="10" spans="1:29" s="153" customFormat="1">
      <c r="A10" s="153" t="s">
        <v>1798</v>
      </c>
      <c r="B10" s="154" t="s">
        <v>1799</v>
      </c>
      <c r="C10" s="155"/>
      <c r="D10" s="154"/>
      <c r="E10" s="155"/>
      <c r="F10" s="155"/>
      <c r="I10" s="157"/>
      <c r="J10" s="157"/>
      <c r="K10" s="157"/>
      <c r="O10" s="157"/>
      <c r="AC10" s="156"/>
    </row>
    <row r="11" spans="1:29" s="153" customFormat="1">
      <c r="A11" s="153" t="s">
        <v>665</v>
      </c>
      <c r="B11" s="154" t="s">
        <v>666</v>
      </c>
      <c r="C11" s="155"/>
      <c r="D11" s="154"/>
      <c r="E11" s="155"/>
      <c r="F11" s="155"/>
      <c r="I11" s="157"/>
      <c r="J11" s="157"/>
      <c r="K11" s="157"/>
      <c r="O11" s="157"/>
      <c r="AC11" s="156"/>
    </row>
    <row r="12" spans="1:29" s="153" customFormat="1">
      <c r="A12" s="153" t="s">
        <v>667</v>
      </c>
      <c r="B12" s="154" t="s">
        <v>1800</v>
      </c>
      <c r="C12" s="155"/>
      <c r="D12" s="154"/>
      <c r="E12" s="155"/>
      <c r="F12" s="155"/>
      <c r="I12" s="157"/>
      <c r="J12" s="157"/>
      <c r="K12" s="157"/>
      <c r="O12" s="157"/>
      <c r="AC12" s="156"/>
    </row>
    <row r="13" spans="1:29" s="158" customFormat="1">
      <c r="A13" s="153" t="s">
        <v>1801</v>
      </c>
      <c r="B13" s="154" t="s">
        <v>1898</v>
      </c>
      <c r="C13" s="154" t="s">
        <v>1899</v>
      </c>
      <c r="D13" s="154" t="s">
        <v>1900</v>
      </c>
      <c r="E13" s="154"/>
      <c r="F13" s="155"/>
      <c r="G13" s="153"/>
      <c r="H13" s="153"/>
      <c r="I13" s="157"/>
      <c r="J13" s="157"/>
      <c r="K13" s="157"/>
      <c r="L13" s="153"/>
      <c r="M13" s="153"/>
      <c r="N13" s="153"/>
      <c r="O13" s="157"/>
      <c r="P13" s="153"/>
      <c r="Q13" s="153"/>
      <c r="R13" s="153"/>
      <c r="S13" s="153"/>
      <c r="T13" s="153"/>
      <c r="U13" s="153"/>
      <c r="V13" s="153"/>
      <c r="W13" s="153"/>
      <c r="X13" s="153"/>
      <c r="Y13" s="153"/>
      <c r="Z13" s="153"/>
      <c r="AA13" s="153"/>
      <c r="AB13" s="153"/>
    </row>
    <row r="14" spans="1:29" s="158" customFormat="1">
      <c r="A14" s="153" t="s">
        <v>668</v>
      </c>
      <c r="B14" s="154" t="s">
        <v>1901</v>
      </c>
      <c r="C14" s="154" t="s">
        <v>1902</v>
      </c>
      <c r="D14" s="154" t="s">
        <v>1903</v>
      </c>
      <c r="E14" s="154"/>
      <c r="F14" s="155"/>
      <c r="G14" s="153"/>
      <c r="H14" s="153"/>
      <c r="I14" s="157"/>
      <c r="J14" s="157"/>
      <c r="K14" s="157"/>
      <c r="L14" s="153"/>
      <c r="M14" s="153"/>
      <c r="N14" s="153"/>
      <c r="O14" s="157"/>
      <c r="P14" s="153"/>
      <c r="Q14" s="153"/>
      <c r="R14" s="153"/>
      <c r="S14" s="153"/>
      <c r="T14" s="153"/>
      <c r="U14" s="153"/>
      <c r="V14" s="153"/>
      <c r="W14" s="153"/>
      <c r="X14" s="153"/>
      <c r="Y14" s="153"/>
      <c r="Z14" s="153"/>
      <c r="AA14" s="153"/>
      <c r="AB14" s="153"/>
    </row>
    <row r="15" spans="1:29" s="158" customFormat="1">
      <c r="A15" s="153" t="s">
        <v>1802</v>
      </c>
      <c r="B15" s="154"/>
      <c r="C15" s="155"/>
      <c r="D15" s="154"/>
      <c r="E15" s="154"/>
      <c r="F15" s="155"/>
      <c r="G15" s="153"/>
      <c r="H15" s="153"/>
      <c r="I15" s="153"/>
      <c r="J15" s="153"/>
      <c r="K15" s="153"/>
      <c r="L15" s="153"/>
      <c r="M15" s="153"/>
      <c r="N15" s="153"/>
      <c r="O15" s="153"/>
      <c r="P15" s="153"/>
      <c r="Q15" s="153"/>
      <c r="R15" s="153"/>
      <c r="S15" s="153"/>
      <c r="T15" s="153"/>
      <c r="U15" s="153"/>
      <c r="V15" s="153"/>
      <c r="W15" s="153"/>
      <c r="X15" s="153"/>
      <c r="Y15" s="153"/>
      <c r="Z15" s="153"/>
      <c r="AA15" s="153"/>
      <c r="AB15" s="153"/>
    </row>
    <row r="16" spans="1:29">
      <c r="A16" s="159" t="s">
        <v>669</v>
      </c>
      <c r="B16" s="159"/>
      <c r="C16" s="159"/>
      <c r="D16" s="160"/>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row>
    <row r="17" spans="1:28">
      <c r="A17" s="159" t="s">
        <v>670</v>
      </c>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row>
    <row r="18" spans="1:28" s="165" customFormat="1" ht="31.5">
      <c r="A18" s="161" t="s">
        <v>671</v>
      </c>
      <c r="B18" s="161" t="s">
        <v>672</v>
      </c>
      <c r="C18" s="162" t="s">
        <v>673</v>
      </c>
      <c r="D18" s="161" t="s">
        <v>674</v>
      </c>
      <c r="E18" s="161" t="s">
        <v>675</v>
      </c>
      <c r="F18" s="161" t="s">
        <v>676</v>
      </c>
      <c r="G18" s="161" t="s">
        <v>677</v>
      </c>
      <c r="H18" s="161" t="s">
        <v>678</v>
      </c>
      <c r="I18" s="161" t="s">
        <v>679</v>
      </c>
      <c r="J18" s="161" t="s">
        <v>680</v>
      </c>
      <c r="K18" s="161" t="s">
        <v>681</v>
      </c>
      <c r="L18" s="161" t="s">
        <v>682</v>
      </c>
      <c r="M18" s="161" t="s">
        <v>683</v>
      </c>
      <c r="N18" s="161" t="s">
        <v>684</v>
      </c>
      <c r="O18" s="161" t="s">
        <v>685</v>
      </c>
      <c r="P18" s="161" t="s">
        <v>686</v>
      </c>
      <c r="Q18" s="161" t="s">
        <v>1803</v>
      </c>
      <c r="R18" s="161" t="s">
        <v>688</v>
      </c>
      <c r="S18" s="161" t="s">
        <v>1804</v>
      </c>
      <c r="T18" s="161" t="s">
        <v>1805</v>
      </c>
      <c r="U18" s="163" t="s">
        <v>691</v>
      </c>
      <c r="V18" s="164" t="s">
        <v>692</v>
      </c>
      <c r="W18" s="163" t="s">
        <v>1806</v>
      </c>
      <c r="X18" s="163" t="s">
        <v>1807</v>
      </c>
      <c r="Y18" s="163" t="s">
        <v>1808</v>
      </c>
      <c r="Z18" s="163" t="s">
        <v>1809</v>
      </c>
      <c r="AA18" s="163" t="s">
        <v>1810</v>
      </c>
      <c r="AB18" s="163" t="s">
        <v>1811</v>
      </c>
    </row>
    <row r="19" spans="1:28" s="172" customFormat="1" ht="45">
      <c r="A19" s="166" t="s">
        <v>1813</v>
      </c>
      <c r="B19" s="166" t="s">
        <v>1813</v>
      </c>
      <c r="C19" s="167" t="s">
        <v>1991</v>
      </c>
      <c r="D19" s="168" t="s">
        <v>1992</v>
      </c>
      <c r="E19" s="168" t="s">
        <v>1992</v>
      </c>
      <c r="F19" s="169" t="s">
        <v>1795</v>
      </c>
      <c r="G19" s="167" t="s">
        <v>1993</v>
      </c>
      <c r="H19" s="167">
        <v>0</v>
      </c>
      <c r="I19" s="167">
        <v>0</v>
      </c>
      <c r="J19" s="169">
        <f>H19-I19+1</f>
        <v>1</v>
      </c>
      <c r="K19" s="167" t="s">
        <v>1994</v>
      </c>
      <c r="L19" s="169" t="s">
        <v>698</v>
      </c>
      <c r="M19" s="170" t="s">
        <v>1995</v>
      </c>
      <c r="N19" s="168"/>
      <c r="O19" s="168"/>
      <c r="P19" s="168"/>
      <c r="Q19" s="168"/>
      <c r="R19" s="168"/>
      <c r="S19" s="168"/>
      <c r="T19" s="168"/>
      <c r="U19" s="171"/>
      <c r="V19" s="171"/>
      <c r="W19" s="171"/>
      <c r="X19" s="171"/>
      <c r="Y19" s="171"/>
      <c r="Z19" s="171"/>
      <c r="AA19" s="171"/>
      <c r="AB19" s="171"/>
    </row>
    <row r="20" spans="1:28" s="179" customFormat="1">
      <c r="A20" s="173"/>
      <c r="B20" s="173"/>
      <c r="C20" s="174" t="s">
        <v>1814</v>
      </c>
      <c r="D20" s="175" t="s">
        <v>1814</v>
      </c>
      <c r="E20" s="175" t="s">
        <v>1815</v>
      </c>
      <c r="F20" s="176" t="s">
        <v>1795</v>
      </c>
      <c r="G20" s="174" t="s">
        <v>1904</v>
      </c>
      <c r="H20" s="174">
        <v>1</v>
      </c>
      <c r="I20" s="174">
        <v>1</v>
      </c>
      <c r="J20" s="176">
        <v>1</v>
      </c>
      <c r="K20" s="174" t="s">
        <v>693</v>
      </c>
      <c r="L20" s="176" t="s">
        <v>698</v>
      </c>
      <c r="M20" s="177" t="s">
        <v>1905</v>
      </c>
      <c r="N20" s="175"/>
      <c r="O20" s="175"/>
      <c r="P20" s="175"/>
      <c r="Q20" s="175"/>
      <c r="R20" s="175"/>
      <c r="S20" s="175"/>
      <c r="T20" s="175"/>
      <c r="U20" s="178"/>
      <c r="V20" s="178"/>
      <c r="W20" s="178"/>
      <c r="X20" s="178"/>
      <c r="Y20" s="178"/>
      <c r="Z20" s="178"/>
      <c r="AA20" s="178"/>
      <c r="AB20" s="178"/>
    </row>
    <row r="21" spans="1:28" s="172" customFormat="1">
      <c r="A21" s="166" t="s">
        <v>1996</v>
      </c>
      <c r="B21" s="166" t="s">
        <v>1996</v>
      </c>
      <c r="C21" s="167" t="s">
        <v>1997</v>
      </c>
      <c r="D21" s="168" t="s">
        <v>1998</v>
      </c>
      <c r="E21" s="168" t="s">
        <v>1998</v>
      </c>
      <c r="F21" s="169" t="s">
        <v>1795</v>
      </c>
      <c r="G21" s="167" t="s">
        <v>1999</v>
      </c>
      <c r="H21" s="167">
        <v>31</v>
      </c>
      <c r="I21" s="167">
        <v>0</v>
      </c>
      <c r="J21" s="169">
        <f>H21-I21+1</f>
        <v>32</v>
      </c>
      <c r="K21" s="167" t="s">
        <v>693</v>
      </c>
      <c r="L21" s="169" t="s">
        <v>698</v>
      </c>
      <c r="M21" s="170" t="s">
        <v>2000</v>
      </c>
      <c r="N21" s="168"/>
      <c r="O21" s="168"/>
      <c r="P21" s="168"/>
      <c r="Q21" s="168"/>
      <c r="R21" s="168"/>
      <c r="S21" s="168"/>
      <c r="T21" s="168"/>
      <c r="U21" s="171"/>
      <c r="V21" s="171"/>
      <c r="W21" s="171"/>
      <c r="X21" s="171"/>
      <c r="Y21" s="171"/>
      <c r="Z21" s="171"/>
      <c r="AA21" s="171"/>
      <c r="AB21" s="171"/>
    </row>
    <row r="22" spans="1:28" s="186" customFormat="1" ht="30">
      <c r="A22" s="180" t="s">
        <v>1906</v>
      </c>
      <c r="B22" s="180" t="s">
        <v>1906</v>
      </c>
      <c r="C22" s="181" t="s">
        <v>1907</v>
      </c>
      <c r="D22" s="182" t="s">
        <v>1908</v>
      </c>
      <c r="E22" s="182" t="s">
        <v>1908</v>
      </c>
      <c r="F22" s="183" t="s">
        <v>1795</v>
      </c>
      <c r="G22" s="181" t="s">
        <v>1909</v>
      </c>
      <c r="H22" s="181">
        <v>31</v>
      </c>
      <c r="I22" s="181">
        <v>0</v>
      </c>
      <c r="J22" s="183">
        <f>H22-I22+1</f>
        <v>32</v>
      </c>
      <c r="K22" s="181" t="s">
        <v>693</v>
      </c>
      <c r="L22" s="183" t="s">
        <v>698</v>
      </c>
      <c r="M22" s="184" t="s">
        <v>1910</v>
      </c>
      <c r="N22" s="182"/>
      <c r="O22" s="182"/>
      <c r="P22" s="182"/>
      <c r="Q22" s="182"/>
      <c r="R22" s="182"/>
      <c r="S22" s="182"/>
      <c r="T22" s="182"/>
      <c r="U22" s="185"/>
      <c r="V22" s="185"/>
      <c r="W22" s="185"/>
      <c r="X22" s="185"/>
      <c r="Y22" s="185"/>
      <c r="Z22" s="185"/>
      <c r="AA22" s="185"/>
      <c r="AB22" s="185"/>
    </row>
    <row r="23" spans="1:28" s="172" customFormat="1" ht="30">
      <c r="A23" s="166" t="s">
        <v>2001</v>
      </c>
      <c r="B23" s="166" t="s">
        <v>2001</v>
      </c>
      <c r="C23" s="167" t="s">
        <v>2002</v>
      </c>
      <c r="D23" s="168" t="s">
        <v>2003</v>
      </c>
      <c r="E23" s="168" t="s">
        <v>2003</v>
      </c>
      <c r="F23" s="169" t="s">
        <v>1795</v>
      </c>
      <c r="G23" s="167" t="s">
        <v>2004</v>
      </c>
      <c r="H23" s="167">
        <v>31</v>
      </c>
      <c r="I23" s="167">
        <v>0</v>
      </c>
      <c r="J23" s="169">
        <f>H23-I23+1</f>
        <v>32</v>
      </c>
      <c r="K23" s="167" t="s">
        <v>693</v>
      </c>
      <c r="L23" s="169" t="s">
        <v>2005</v>
      </c>
      <c r="M23" s="170"/>
      <c r="N23" s="168"/>
      <c r="O23" s="168"/>
      <c r="P23" s="168"/>
      <c r="Q23" s="168"/>
      <c r="R23" s="168"/>
      <c r="S23" s="168"/>
      <c r="T23" s="168"/>
      <c r="U23" s="171"/>
      <c r="V23" s="171"/>
      <c r="W23" s="171"/>
      <c r="X23" s="171"/>
      <c r="Y23" s="171"/>
      <c r="Z23" s="171"/>
      <c r="AA23" s="171"/>
      <c r="AB23" s="171"/>
    </row>
    <row r="24" spans="1:28" s="186" customFormat="1">
      <c r="A24" s="233" t="s">
        <v>1820</v>
      </c>
      <c r="B24" s="233" t="s">
        <v>1820</v>
      </c>
      <c r="C24" s="234" t="s">
        <v>1821</v>
      </c>
      <c r="D24" s="232" t="s">
        <v>1911</v>
      </c>
      <c r="E24" s="232" t="s">
        <v>1911</v>
      </c>
      <c r="F24" s="232" t="s">
        <v>1795</v>
      </c>
      <c r="G24" s="181" t="s">
        <v>1912</v>
      </c>
      <c r="H24" s="181">
        <v>0</v>
      </c>
      <c r="I24" s="181">
        <v>0</v>
      </c>
      <c r="J24" s="183">
        <f t="shared" ref="J24:J87" si="0">H24-I24+1</f>
        <v>1</v>
      </c>
      <c r="K24" s="181" t="s">
        <v>693</v>
      </c>
      <c r="L24" s="183" t="s">
        <v>712</v>
      </c>
      <c r="M24" s="184" t="s">
        <v>1823</v>
      </c>
      <c r="N24" s="182"/>
      <c r="O24" s="182"/>
      <c r="P24" s="182"/>
      <c r="Q24" s="182"/>
      <c r="R24" s="182"/>
      <c r="S24" s="182"/>
      <c r="T24" s="182"/>
      <c r="U24" s="185"/>
      <c r="V24" s="185"/>
      <c r="W24" s="185"/>
      <c r="X24" s="185"/>
      <c r="Y24" s="185"/>
      <c r="Z24" s="185"/>
      <c r="AA24" s="185"/>
      <c r="AB24" s="185"/>
    </row>
    <row r="25" spans="1:28" s="186" customFormat="1">
      <c r="A25" s="233"/>
      <c r="B25" s="233"/>
      <c r="C25" s="234"/>
      <c r="D25" s="232"/>
      <c r="E25" s="232"/>
      <c r="F25" s="232"/>
      <c r="G25" s="181" t="s">
        <v>1913</v>
      </c>
      <c r="H25" s="181">
        <v>4</v>
      </c>
      <c r="I25" s="181">
        <v>4</v>
      </c>
      <c r="J25" s="183">
        <f t="shared" si="0"/>
        <v>1</v>
      </c>
      <c r="K25" s="181" t="s">
        <v>693</v>
      </c>
      <c r="L25" s="183" t="s">
        <v>712</v>
      </c>
      <c r="M25" s="184" t="s">
        <v>1826</v>
      </c>
      <c r="N25" s="182"/>
      <c r="O25" s="182"/>
      <c r="P25" s="182"/>
      <c r="Q25" s="182"/>
      <c r="R25" s="182"/>
      <c r="S25" s="182"/>
      <c r="T25" s="182"/>
      <c r="U25" s="185"/>
      <c r="V25" s="185"/>
      <c r="W25" s="185"/>
      <c r="X25" s="185"/>
      <c r="Y25" s="185"/>
      <c r="Z25" s="185"/>
      <c r="AA25" s="185"/>
      <c r="AB25" s="185"/>
    </row>
    <row r="26" spans="1:28" s="186" customFormat="1">
      <c r="A26" s="233"/>
      <c r="B26" s="233"/>
      <c r="C26" s="234"/>
      <c r="D26" s="232"/>
      <c r="E26" s="232"/>
      <c r="F26" s="232"/>
      <c r="G26" s="181" t="s">
        <v>1914</v>
      </c>
      <c r="H26" s="181">
        <v>5</v>
      </c>
      <c r="I26" s="181">
        <v>5</v>
      </c>
      <c r="J26" s="183">
        <f t="shared" si="0"/>
        <v>1</v>
      </c>
      <c r="K26" s="181" t="s">
        <v>693</v>
      </c>
      <c r="L26" s="183" t="s">
        <v>712</v>
      </c>
      <c r="M26" s="184" t="s">
        <v>1915</v>
      </c>
      <c r="N26" s="182"/>
      <c r="O26" s="182"/>
      <c r="P26" s="182"/>
      <c r="Q26" s="182"/>
      <c r="R26" s="182"/>
      <c r="S26" s="182"/>
      <c r="T26" s="182"/>
      <c r="U26" s="185"/>
      <c r="V26" s="185"/>
      <c r="W26" s="185"/>
      <c r="X26" s="185"/>
      <c r="Y26" s="185"/>
      <c r="Z26" s="185"/>
      <c r="AA26" s="185"/>
      <c r="AB26" s="185"/>
    </row>
    <row r="27" spans="1:28" s="186" customFormat="1">
      <c r="A27" s="233"/>
      <c r="B27" s="233"/>
      <c r="C27" s="234"/>
      <c r="D27" s="232"/>
      <c r="E27" s="232"/>
      <c r="F27" s="232"/>
      <c r="G27" s="181" t="s">
        <v>1916</v>
      </c>
      <c r="H27" s="181">
        <v>6</v>
      </c>
      <c r="I27" s="181">
        <v>6</v>
      </c>
      <c r="J27" s="183">
        <f t="shared" si="0"/>
        <v>1</v>
      </c>
      <c r="K27" s="181" t="s">
        <v>693</v>
      </c>
      <c r="L27" s="183" t="s">
        <v>712</v>
      </c>
      <c r="M27" s="184" t="s">
        <v>1917</v>
      </c>
      <c r="N27" s="182"/>
      <c r="O27" s="182"/>
      <c r="P27" s="182"/>
      <c r="Q27" s="182"/>
      <c r="R27" s="182"/>
      <c r="S27" s="182"/>
      <c r="T27" s="182"/>
      <c r="U27" s="185"/>
      <c r="V27" s="185"/>
      <c r="W27" s="185"/>
      <c r="X27" s="185"/>
      <c r="Y27" s="185"/>
      <c r="Z27" s="185"/>
      <c r="AA27" s="185"/>
      <c r="AB27" s="185"/>
    </row>
    <row r="28" spans="1:28" s="186" customFormat="1">
      <c r="A28" s="233"/>
      <c r="B28" s="233"/>
      <c r="C28" s="234"/>
      <c r="D28" s="232"/>
      <c r="E28" s="232"/>
      <c r="F28" s="232"/>
      <c r="G28" s="181" t="s">
        <v>1918</v>
      </c>
      <c r="H28" s="181">
        <v>12</v>
      </c>
      <c r="I28" s="181">
        <v>8</v>
      </c>
      <c r="J28" s="183">
        <f t="shared" si="0"/>
        <v>5</v>
      </c>
      <c r="K28" s="181" t="s">
        <v>2006</v>
      </c>
      <c r="L28" s="183" t="s">
        <v>712</v>
      </c>
      <c r="M28" s="184" t="s">
        <v>1828</v>
      </c>
      <c r="N28" s="182"/>
      <c r="O28" s="182"/>
      <c r="P28" s="182"/>
      <c r="Q28" s="182"/>
      <c r="R28" s="182"/>
      <c r="S28" s="182"/>
      <c r="T28" s="182"/>
      <c r="U28" s="185"/>
      <c r="V28" s="185"/>
      <c r="W28" s="185"/>
      <c r="X28" s="185"/>
      <c r="Y28" s="185"/>
      <c r="Z28" s="185"/>
      <c r="AA28" s="185"/>
      <c r="AB28" s="185"/>
    </row>
    <row r="29" spans="1:28" s="186" customFormat="1">
      <c r="A29" s="233"/>
      <c r="B29" s="233"/>
      <c r="C29" s="234"/>
      <c r="D29" s="232"/>
      <c r="E29" s="232"/>
      <c r="F29" s="232"/>
      <c r="G29" s="181" t="s">
        <v>1919</v>
      </c>
      <c r="H29" s="181">
        <v>31</v>
      </c>
      <c r="I29" s="181">
        <v>16</v>
      </c>
      <c r="J29" s="183">
        <f t="shared" si="0"/>
        <v>16</v>
      </c>
      <c r="K29" s="181" t="s">
        <v>2007</v>
      </c>
      <c r="L29" s="183" t="s">
        <v>712</v>
      </c>
      <c r="M29" s="184" t="s">
        <v>1830</v>
      </c>
      <c r="N29" s="182"/>
      <c r="O29" s="182"/>
      <c r="P29" s="182"/>
      <c r="Q29" s="182"/>
      <c r="R29" s="182"/>
      <c r="S29" s="182"/>
      <c r="T29" s="182"/>
      <c r="U29" s="185"/>
      <c r="V29" s="185"/>
      <c r="W29" s="185"/>
      <c r="X29" s="185"/>
      <c r="Y29" s="185"/>
      <c r="Z29" s="185"/>
      <c r="AA29" s="185"/>
      <c r="AB29" s="185"/>
    </row>
    <row r="30" spans="1:28" s="186" customFormat="1" ht="30">
      <c r="A30" s="180" t="s">
        <v>1831</v>
      </c>
      <c r="B30" s="180" t="s">
        <v>1831</v>
      </c>
      <c r="C30" s="181" t="s">
        <v>1832</v>
      </c>
      <c r="D30" s="182" t="s">
        <v>1833</v>
      </c>
      <c r="E30" s="182" t="s">
        <v>1833</v>
      </c>
      <c r="F30" s="183" t="s">
        <v>1795</v>
      </c>
      <c r="G30" s="181" t="s">
        <v>1920</v>
      </c>
      <c r="H30" s="181">
        <v>31</v>
      </c>
      <c r="I30" s="181">
        <v>0</v>
      </c>
      <c r="J30" s="183">
        <f t="shared" si="0"/>
        <v>32</v>
      </c>
      <c r="K30" s="181" t="s">
        <v>693</v>
      </c>
      <c r="L30" s="183" t="s">
        <v>712</v>
      </c>
      <c r="M30" s="184" t="s">
        <v>1921</v>
      </c>
      <c r="N30" s="182"/>
      <c r="O30" s="182"/>
      <c r="P30" s="182"/>
      <c r="Q30" s="182"/>
      <c r="R30" s="182"/>
      <c r="S30" s="182"/>
      <c r="T30" s="182"/>
      <c r="U30" s="185"/>
      <c r="V30" s="185"/>
      <c r="W30" s="185"/>
      <c r="X30" s="185"/>
      <c r="Y30" s="185"/>
      <c r="Z30" s="185"/>
      <c r="AA30" s="185"/>
      <c r="AB30" s="185"/>
    </row>
    <row r="31" spans="1:28" s="172" customFormat="1">
      <c r="A31" s="166" t="s">
        <v>2008</v>
      </c>
      <c r="B31" s="166" t="s">
        <v>2008</v>
      </c>
      <c r="C31" s="167" t="s">
        <v>2009</v>
      </c>
      <c r="D31" s="168" t="s">
        <v>2010</v>
      </c>
      <c r="E31" s="168" t="s">
        <v>2010</v>
      </c>
      <c r="F31" s="169" t="s">
        <v>1795</v>
      </c>
      <c r="G31" s="167" t="s">
        <v>2011</v>
      </c>
      <c r="H31" s="167">
        <v>31</v>
      </c>
      <c r="I31" s="167">
        <v>0</v>
      </c>
      <c r="J31" s="169">
        <f t="shared" si="0"/>
        <v>32</v>
      </c>
      <c r="K31" s="167" t="s">
        <v>693</v>
      </c>
      <c r="L31" s="169" t="s">
        <v>698</v>
      </c>
      <c r="M31" s="170"/>
      <c r="N31" s="168"/>
      <c r="O31" s="168"/>
      <c r="P31" s="168"/>
      <c r="Q31" s="168"/>
      <c r="R31" s="168"/>
      <c r="S31" s="168"/>
      <c r="T31" s="168"/>
      <c r="U31" s="171"/>
      <c r="V31" s="171"/>
      <c r="W31" s="171"/>
      <c r="X31" s="171"/>
      <c r="Y31" s="171"/>
      <c r="Z31" s="171"/>
      <c r="AA31" s="171"/>
      <c r="AB31" s="171"/>
    </row>
    <row r="32" spans="1:28" s="186" customFormat="1">
      <c r="A32" s="233" t="s">
        <v>1835</v>
      </c>
      <c r="B32" s="233" t="s">
        <v>1835</v>
      </c>
      <c r="C32" s="234" t="s">
        <v>1836</v>
      </c>
      <c r="D32" s="233" t="s">
        <v>1837</v>
      </c>
      <c r="E32" s="233" t="s">
        <v>1838</v>
      </c>
      <c r="F32" s="232" t="s">
        <v>1795</v>
      </c>
      <c r="G32" s="181" t="s">
        <v>1922</v>
      </c>
      <c r="H32" s="181">
        <v>9</v>
      </c>
      <c r="I32" s="181">
        <v>0</v>
      </c>
      <c r="J32" s="183">
        <f t="shared" si="0"/>
        <v>10</v>
      </c>
      <c r="K32" s="181" t="s">
        <v>693</v>
      </c>
      <c r="L32" s="183" t="s">
        <v>698</v>
      </c>
      <c r="M32" s="184" t="s">
        <v>1923</v>
      </c>
      <c r="N32" s="187"/>
      <c r="O32" s="187"/>
      <c r="P32" s="182"/>
      <c r="Q32" s="187"/>
      <c r="R32" s="187"/>
      <c r="S32" s="187"/>
      <c r="T32" s="187"/>
      <c r="U32" s="185"/>
      <c r="V32" s="185"/>
      <c r="W32" s="185"/>
      <c r="X32" s="185"/>
      <c r="Y32" s="185"/>
      <c r="Z32" s="185"/>
      <c r="AA32" s="185"/>
      <c r="AB32" s="185"/>
    </row>
    <row r="33" spans="1:28" s="186" customFormat="1">
      <c r="A33" s="233"/>
      <c r="B33" s="233"/>
      <c r="C33" s="234"/>
      <c r="D33" s="233"/>
      <c r="E33" s="233"/>
      <c r="F33" s="232"/>
      <c r="G33" s="181" t="s">
        <v>1841</v>
      </c>
      <c r="H33" s="181">
        <v>15</v>
      </c>
      <c r="I33" s="181">
        <v>10</v>
      </c>
      <c r="J33" s="183">
        <f t="shared" si="0"/>
        <v>6</v>
      </c>
      <c r="K33" s="181" t="s">
        <v>693</v>
      </c>
      <c r="L33" s="183" t="s">
        <v>698</v>
      </c>
      <c r="M33" s="184" t="s">
        <v>1842</v>
      </c>
      <c r="N33" s="187"/>
      <c r="O33" s="187"/>
      <c r="P33" s="182"/>
      <c r="Q33" s="187"/>
      <c r="R33" s="187"/>
      <c r="S33" s="187"/>
      <c r="T33" s="187"/>
      <c r="U33" s="185"/>
      <c r="V33" s="185"/>
      <c r="W33" s="185"/>
      <c r="X33" s="185"/>
      <c r="Y33" s="185"/>
      <c r="Z33" s="185"/>
      <c r="AA33" s="185"/>
      <c r="AB33" s="185"/>
    </row>
    <row r="34" spans="1:28" s="186" customFormat="1">
      <c r="A34" s="233"/>
      <c r="B34" s="233"/>
      <c r="C34" s="234"/>
      <c r="D34" s="233"/>
      <c r="E34" s="233"/>
      <c r="F34" s="232"/>
      <c r="G34" s="181" t="s">
        <v>1924</v>
      </c>
      <c r="H34" s="181">
        <v>19</v>
      </c>
      <c r="I34" s="181">
        <v>16</v>
      </c>
      <c r="J34" s="183">
        <f t="shared" si="0"/>
        <v>4</v>
      </c>
      <c r="K34" s="181" t="s">
        <v>693</v>
      </c>
      <c r="L34" s="183" t="s">
        <v>698</v>
      </c>
      <c r="M34" s="184" t="s">
        <v>1925</v>
      </c>
      <c r="N34" s="187"/>
      <c r="O34" s="187"/>
      <c r="P34" s="182"/>
      <c r="Q34" s="187"/>
      <c r="R34" s="187"/>
      <c r="S34" s="187"/>
      <c r="T34" s="187"/>
      <c r="U34" s="185"/>
      <c r="V34" s="185"/>
      <c r="W34" s="185"/>
      <c r="X34" s="185"/>
      <c r="Y34" s="185"/>
      <c r="Z34" s="185"/>
      <c r="AA34" s="185"/>
      <c r="AB34" s="185"/>
    </row>
    <row r="35" spans="1:28" s="186" customFormat="1">
      <c r="A35" s="233"/>
      <c r="B35" s="233"/>
      <c r="C35" s="234"/>
      <c r="D35" s="233"/>
      <c r="E35" s="233"/>
      <c r="F35" s="232"/>
      <c r="G35" s="181" t="s">
        <v>1926</v>
      </c>
      <c r="H35" s="181">
        <v>20</v>
      </c>
      <c r="I35" s="181">
        <v>20</v>
      </c>
      <c r="J35" s="183">
        <f>H35-I35+1</f>
        <v>1</v>
      </c>
      <c r="K35" s="181" t="s">
        <v>693</v>
      </c>
      <c r="L35" s="183" t="s">
        <v>698</v>
      </c>
      <c r="M35" s="184" t="s">
        <v>1927</v>
      </c>
      <c r="N35" s="187"/>
      <c r="O35" s="187"/>
      <c r="P35" s="182"/>
      <c r="Q35" s="187"/>
      <c r="R35" s="187"/>
      <c r="S35" s="187"/>
      <c r="T35" s="187"/>
      <c r="U35" s="185"/>
      <c r="V35" s="185"/>
      <c r="W35" s="185"/>
      <c r="X35" s="185"/>
      <c r="Y35" s="185"/>
      <c r="Z35" s="185"/>
      <c r="AA35" s="185"/>
      <c r="AB35" s="185"/>
    </row>
    <row r="36" spans="1:28" s="186" customFormat="1">
      <c r="A36" s="233"/>
      <c r="B36" s="233"/>
      <c r="C36" s="234"/>
      <c r="D36" s="233"/>
      <c r="E36" s="233"/>
      <c r="F36" s="232"/>
      <c r="G36" s="186" t="s">
        <v>2012</v>
      </c>
      <c r="H36" s="186">
        <v>21</v>
      </c>
      <c r="I36" s="186">
        <v>21</v>
      </c>
      <c r="J36" s="188">
        <f>H36-I36+1</f>
        <v>1</v>
      </c>
      <c r="K36" s="186" t="s">
        <v>1865</v>
      </c>
      <c r="L36" s="186" t="s">
        <v>1871</v>
      </c>
      <c r="M36" s="186" t="s">
        <v>2013</v>
      </c>
      <c r="P36" s="182"/>
      <c r="Q36" s="187"/>
      <c r="R36" s="187"/>
      <c r="S36" s="187"/>
      <c r="T36" s="187"/>
      <c r="U36" s="185"/>
      <c r="V36" s="185"/>
      <c r="W36" s="185"/>
      <c r="X36" s="185"/>
      <c r="Y36" s="185"/>
      <c r="Z36" s="185"/>
      <c r="AA36" s="185"/>
      <c r="AB36" s="185"/>
    </row>
    <row r="37" spans="1:28" s="195" customFormat="1">
      <c r="A37" s="189" t="s">
        <v>2014</v>
      </c>
      <c r="B37" s="189" t="s">
        <v>2014</v>
      </c>
      <c r="C37" s="190" t="s">
        <v>2015</v>
      </c>
      <c r="D37" s="190" t="s">
        <v>2015</v>
      </c>
      <c r="E37" s="191" t="s">
        <v>2016</v>
      </c>
      <c r="F37" s="192" t="s">
        <v>1795</v>
      </c>
      <c r="G37" s="190" t="s">
        <v>2017</v>
      </c>
      <c r="H37" s="190">
        <v>31</v>
      </c>
      <c r="I37" s="190">
        <v>0</v>
      </c>
      <c r="J37" s="192">
        <f t="shared" si="0"/>
        <v>32</v>
      </c>
      <c r="K37" s="190" t="s">
        <v>693</v>
      </c>
      <c r="L37" s="192" t="s">
        <v>698</v>
      </c>
      <c r="M37" s="193"/>
      <c r="N37" s="191"/>
      <c r="O37" s="191"/>
      <c r="P37" s="191"/>
      <c r="Q37" s="191"/>
      <c r="R37" s="191"/>
      <c r="S37" s="191"/>
      <c r="T37" s="191"/>
      <c r="U37" s="194"/>
      <c r="V37" s="194"/>
      <c r="W37" s="194"/>
      <c r="X37" s="194"/>
      <c r="Y37" s="194"/>
      <c r="Z37" s="194"/>
      <c r="AA37" s="194"/>
      <c r="AB37" s="194"/>
    </row>
    <row r="38" spans="1:28" s="195" customFormat="1">
      <c r="A38" s="189" t="s">
        <v>2018</v>
      </c>
      <c r="B38" s="189" t="s">
        <v>2018</v>
      </c>
      <c r="C38" s="190" t="s">
        <v>2019</v>
      </c>
      <c r="D38" s="190" t="s">
        <v>2019</v>
      </c>
      <c r="E38" s="191" t="s">
        <v>2020</v>
      </c>
      <c r="F38" s="192" t="s">
        <v>1795</v>
      </c>
      <c r="G38" s="190" t="s">
        <v>2021</v>
      </c>
      <c r="H38" s="190">
        <v>31</v>
      </c>
      <c r="I38" s="190">
        <v>0</v>
      </c>
      <c r="J38" s="192">
        <f t="shared" si="0"/>
        <v>32</v>
      </c>
      <c r="K38" s="190" t="s">
        <v>693</v>
      </c>
      <c r="L38" s="192" t="s">
        <v>2005</v>
      </c>
      <c r="M38" s="193" t="s">
        <v>2022</v>
      </c>
      <c r="N38" s="191"/>
      <c r="O38" s="191"/>
      <c r="P38" s="191"/>
      <c r="Q38" s="191"/>
      <c r="R38" s="191"/>
      <c r="S38" s="191"/>
      <c r="T38" s="191"/>
      <c r="U38" s="194"/>
      <c r="V38" s="194"/>
      <c r="W38" s="194"/>
      <c r="X38" s="194"/>
      <c r="Y38" s="194"/>
      <c r="Z38" s="194"/>
      <c r="AA38" s="194"/>
      <c r="AB38" s="194"/>
    </row>
    <row r="39" spans="1:28" s="195" customFormat="1">
      <c r="A39" s="189" t="s">
        <v>2023</v>
      </c>
      <c r="B39" s="189" t="s">
        <v>2023</v>
      </c>
      <c r="C39" s="190" t="s">
        <v>2024</v>
      </c>
      <c r="D39" s="190" t="s">
        <v>2024</v>
      </c>
      <c r="E39" s="191" t="s">
        <v>2025</v>
      </c>
      <c r="F39" s="192" t="s">
        <v>1795</v>
      </c>
      <c r="G39" s="190" t="s">
        <v>2026</v>
      </c>
      <c r="H39" s="190">
        <v>31</v>
      </c>
      <c r="I39" s="190">
        <v>0</v>
      </c>
      <c r="J39" s="192">
        <f t="shared" si="0"/>
        <v>32</v>
      </c>
      <c r="K39" s="190" t="s">
        <v>693</v>
      </c>
      <c r="L39" s="192" t="s">
        <v>698</v>
      </c>
      <c r="M39" s="193"/>
      <c r="N39" s="191"/>
      <c r="O39" s="191"/>
      <c r="P39" s="191"/>
      <c r="Q39" s="191"/>
      <c r="R39" s="191"/>
      <c r="S39" s="191"/>
      <c r="T39" s="191"/>
      <c r="U39" s="194"/>
      <c r="V39" s="194"/>
      <c r="W39" s="194"/>
      <c r="X39" s="194"/>
      <c r="Y39" s="194"/>
      <c r="Z39" s="194"/>
      <c r="AA39" s="194"/>
      <c r="AB39" s="194"/>
    </row>
    <row r="40" spans="1:28" s="195" customFormat="1">
      <c r="A40" s="189" t="s">
        <v>2027</v>
      </c>
      <c r="B40" s="189" t="s">
        <v>2027</v>
      </c>
      <c r="C40" s="190" t="s">
        <v>2028</v>
      </c>
      <c r="D40" s="190" t="s">
        <v>2028</v>
      </c>
      <c r="E40" s="191" t="s">
        <v>2029</v>
      </c>
      <c r="F40" s="192" t="s">
        <v>1795</v>
      </c>
      <c r="G40" s="190" t="s">
        <v>2030</v>
      </c>
      <c r="H40" s="190">
        <v>7</v>
      </c>
      <c r="I40" s="190">
        <v>0</v>
      </c>
      <c r="J40" s="192">
        <f t="shared" si="0"/>
        <v>8</v>
      </c>
      <c r="K40" s="190" t="s">
        <v>693</v>
      </c>
      <c r="L40" s="192" t="s">
        <v>698</v>
      </c>
      <c r="M40" s="193"/>
      <c r="N40" s="191"/>
      <c r="O40" s="191"/>
      <c r="P40" s="191"/>
      <c r="Q40" s="191"/>
      <c r="R40" s="191"/>
      <c r="S40" s="191"/>
      <c r="T40" s="191"/>
      <c r="U40" s="194"/>
      <c r="V40" s="194"/>
      <c r="W40" s="194"/>
      <c r="X40" s="194"/>
      <c r="Y40" s="194"/>
      <c r="Z40" s="194"/>
      <c r="AA40" s="194"/>
      <c r="AB40" s="194"/>
    </row>
    <row r="41" spans="1:28" s="172" customFormat="1">
      <c r="A41" s="166" t="s">
        <v>2031</v>
      </c>
      <c r="B41" s="166" t="s">
        <v>2031</v>
      </c>
      <c r="C41" s="167" t="s">
        <v>2032</v>
      </c>
      <c r="D41" s="168" t="s">
        <v>2033</v>
      </c>
      <c r="E41" s="168" t="s">
        <v>2033</v>
      </c>
      <c r="F41" s="169" t="s">
        <v>1795</v>
      </c>
      <c r="G41" s="167" t="s">
        <v>2034</v>
      </c>
      <c r="H41" s="167">
        <v>31</v>
      </c>
      <c r="I41" s="167">
        <v>0</v>
      </c>
      <c r="J41" s="169">
        <f t="shared" si="0"/>
        <v>32</v>
      </c>
      <c r="K41" s="167" t="s">
        <v>693</v>
      </c>
      <c r="L41" s="169" t="s">
        <v>698</v>
      </c>
      <c r="M41" s="170" t="s">
        <v>2035</v>
      </c>
      <c r="N41" s="168"/>
      <c r="O41" s="168"/>
      <c r="P41" s="168"/>
      <c r="Q41" s="168"/>
      <c r="R41" s="168"/>
      <c r="S41" s="168"/>
      <c r="T41" s="168"/>
      <c r="U41" s="171"/>
      <c r="V41" s="171"/>
      <c r="W41" s="171"/>
      <c r="X41" s="171"/>
      <c r="Y41" s="171"/>
      <c r="Z41" s="171"/>
      <c r="AA41" s="171"/>
      <c r="AB41" s="171"/>
    </row>
    <row r="42" spans="1:28" s="172" customFormat="1">
      <c r="A42" s="166" t="s">
        <v>2036</v>
      </c>
      <c r="B42" s="166" t="s">
        <v>2036</v>
      </c>
      <c r="C42" s="167" t="s">
        <v>2037</v>
      </c>
      <c r="D42" s="168" t="s">
        <v>2038</v>
      </c>
      <c r="E42" s="168" t="s">
        <v>2038</v>
      </c>
      <c r="F42" s="169" t="s">
        <v>1795</v>
      </c>
      <c r="G42" s="167" t="s">
        <v>2039</v>
      </c>
      <c r="H42" s="167">
        <v>31</v>
      </c>
      <c r="I42" s="167">
        <v>0</v>
      </c>
      <c r="J42" s="169">
        <f t="shared" si="0"/>
        <v>32</v>
      </c>
      <c r="K42" s="167" t="s">
        <v>693</v>
      </c>
      <c r="L42" s="169" t="s">
        <v>698</v>
      </c>
      <c r="M42" s="170" t="s">
        <v>2040</v>
      </c>
      <c r="N42" s="168"/>
      <c r="O42" s="168"/>
      <c r="P42" s="168"/>
      <c r="Q42" s="168"/>
      <c r="R42" s="168"/>
      <c r="S42" s="168"/>
      <c r="T42" s="168"/>
      <c r="U42" s="171"/>
      <c r="V42" s="171"/>
      <c r="W42" s="171"/>
      <c r="X42" s="171"/>
      <c r="Y42" s="171"/>
      <c r="Z42" s="171"/>
      <c r="AA42" s="171"/>
      <c r="AB42" s="171"/>
    </row>
    <row r="43" spans="1:28" s="172" customFormat="1">
      <c r="A43" s="166" t="s">
        <v>2041</v>
      </c>
      <c r="B43" s="166" t="s">
        <v>2041</v>
      </c>
      <c r="C43" s="167" t="s">
        <v>2042</v>
      </c>
      <c r="D43" s="168" t="s">
        <v>2043</v>
      </c>
      <c r="E43" s="168" t="s">
        <v>2043</v>
      </c>
      <c r="F43" s="169" t="s">
        <v>1795</v>
      </c>
      <c r="G43" s="167" t="s">
        <v>2044</v>
      </c>
      <c r="H43" s="167">
        <v>31</v>
      </c>
      <c r="I43" s="167">
        <v>0</v>
      </c>
      <c r="J43" s="169">
        <f t="shared" si="0"/>
        <v>32</v>
      </c>
      <c r="K43" s="167" t="s">
        <v>693</v>
      </c>
      <c r="L43" s="169" t="s">
        <v>698</v>
      </c>
      <c r="M43" s="170" t="s">
        <v>2045</v>
      </c>
      <c r="N43" s="168"/>
      <c r="O43" s="168"/>
      <c r="P43" s="168"/>
      <c r="Q43" s="168"/>
      <c r="R43" s="168"/>
      <c r="S43" s="168"/>
      <c r="T43" s="168"/>
      <c r="U43" s="171"/>
      <c r="V43" s="171"/>
      <c r="W43" s="171"/>
      <c r="X43" s="171"/>
      <c r="Y43" s="171"/>
      <c r="Z43" s="171"/>
      <c r="AA43" s="171"/>
      <c r="AB43" s="171"/>
    </row>
    <row r="44" spans="1:28" s="172" customFormat="1">
      <c r="A44" s="166" t="s">
        <v>2046</v>
      </c>
      <c r="B44" s="166" t="s">
        <v>2046</v>
      </c>
      <c r="C44" s="167" t="s">
        <v>2047</v>
      </c>
      <c r="D44" s="168" t="s">
        <v>2048</v>
      </c>
      <c r="E44" s="168" t="s">
        <v>2048</v>
      </c>
      <c r="F44" s="169" t="s">
        <v>1795</v>
      </c>
      <c r="G44" s="167" t="s">
        <v>2049</v>
      </c>
      <c r="H44" s="167">
        <v>31</v>
      </c>
      <c r="I44" s="167">
        <v>0</v>
      </c>
      <c r="J44" s="169">
        <f t="shared" si="0"/>
        <v>32</v>
      </c>
      <c r="K44" s="167" t="s">
        <v>693</v>
      </c>
      <c r="L44" s="169" t="s">
        <v>698</v>
      </c>
      <c r="M44" s="170" t="s">
        <v>2050</v>
      </c>
      <c r="N44" s="168"/>
      <c r="O44" s="168"/>
      <c r="P44" s="168"/>
      <c r="Q44" s="168"/>
      <c r="R44" s="168"/>
      <c r="S44" s="168"/>
      <c r="T44" s="168"/>
      <c r="U44" s="171"/>
      <c r="V44" s="171"/>
      <c r="W44" s="171"/>
      <c r="X44" s="171"/>
      <c r="Y44" s="171"/>
      <c r="Z44" s="171"/>
      <c r="AA44" s="171"/>
      <c r="AB44" s="171"/>
    </row>
    <row r="45" spans="1:28" s="172" customFormat="1">
      <c r="A45" s="166" t="s">
        <v>2051</v>
      </c>
      <c r="B45" s="166" t="s">
        <v>2051</v>
      </c>
      <c r="C45" s="167" t="s">
        <v>2052</v>
      </c>
      <c r="D45" s="168" t="s">
        <v>2053</v>
      </c>
      <c r="E45" s="168" t="s">
        <v>2053</v>
      </c>
      <c r="F45" s="169" t="s">
        <v>1795</v>
      </c>
      <c r="G45" s="167" t="s">
        <v>2054</v>
      </c>
      <c r="H45" s="167">
        <v>31</v>
      </c>
      <c r="I45" s="167">
        <v>0</v>
      </c>
      <c r="J45" s="169">
        <f t="shared" si="0"/>
        <v>32</v>
      </c>
      <c r="K45" s="167" t="s">
        <v>693</v>
      </c>
      <c r="L45" s="169" t="s">
        <v>698</v>
      </c>
      <c r="M45" s="170" t="s">
        <v>2055</v>
      </c>
      <c r="N45" s="168"/>
      <c r="O45" s="168"/>
      <c r="P45" s="168"/>
      <c r="Q45" s="168"/>
      <c r="R45" s="168"/>
      <c r="S45" s="168"/>
      <c r="T45" s="168"/>
      <c r="U45" s="171"/>
      <c r="V45" s="171"/>
      <c r="W45" s="171"/>
      <c r="X45" s="171"/>
      <c r="Y45" s="171"/>
      <c r="Z45" s="171"/>
      <c r="AA45" s="171"/>
      <c r="AB45" s="171"/>
    </row>
    <row r="46" spans="1:28" s="172" customFormat="1">
      <c r="A46" s="166" t="s">
        <v>2056</v>
      </c>
      <c r="B46" s="166" t="s">
        <v>2056</v>
      </c>
      <c r="C46" s="167" t="s">
        <v>2057</v>
      </c>
      <c r="D46" s="168" t="s">
        <v>2058</v>
      </c>
      <c r="E46" s="168" t="s">
        <v>2058</v>
      </c>
      <c r="F46" s="169" t="s">
        <v>1795</v>
      </c>
      <c r="G46" s="167" t="s">
        <v>2059</v>
      </c>
      <c r="H46" s="167">
        <v>31</v>
      </c>
      <c r="I46" s="167">
        <v>0</v>
      </c>
      <c r="J46" s="169">
        <f t="shared" si="0"/>
        <v>32</v>
      </c>
      <c r="K46" s="167" t="s">
        <v>693</v>
      </c>
      <c r="L46" s="169" t="s">
        <v>698</v>
      </c>
      <c r="M46" s="170" t="s">
        <v>2060</v>
      </c>
      <c r="N46" s="168"/>
      <c r="O46" s="168"/>
      <c r="P46" s="168"/>
      <c r="Q46" s="168"/>
      <c r="R46" s="168"/>
      <c r="S46" s="168"/>
      <c r="T46" s="168"/>
      <c r="U46" s="171"/>
      <c r="V46" s="171"/>
      <c r="W46" s="171"/>
      <c r="X46" s="171"/>
      <c r="Y46" s="171"/>
      <c r="Z46" s="171"/>
      <c r="AA46" s="171"/>
      <c r="AB46" s="171"/>
    </row>
    <row r="47" spans="1:28" s="172" customFormat="1">
      <c r="A47" s="166" t="s">
        <v>2061</v>
      </c>
      <c r="B47" s="166" t="s">
        <v>2061</v>
      </c>
      <c r="C47" s="167" t="s">
        <v>2062</v>
      </c>
      <c r="D47" s="168" t="s">
        <v>2063</v>
      </c>
      <c r="E47" s="168" t="s">
        <v>2063</v>
      </c>
      <c r="F47" s="169" t="s">
        <v>1795</v>
      </c>
      <c r="G47" s="167" t="s">
        <v>2064</v>
      </c>
      <c r="H47" s="167">
        <v>31</v>
      </c>
      <c r="I47" s="167">
        <v>0</v>
      </c>
      <c r="J47" s="169">
        <f t="shared" si="0"/>
        <v>32</v>
      </c>
      <c r="K47" s="167" t="s">
        <v>693</v>
      </c>
      <c r="L47" s="169" t="s">
        <v>698</v>
      </c>
      <c r="M47" s="170" t="s">
        <v>2065</v>
      </c>
      <c r="N47" s="168"/>
      <c r="O47" s="168"/>
      <c r="P47" s="168"/>
      <c r="Q47" s="168"/>
      <c r="R47" s="168"/>
      <c r="S47" s="168"/>
      <c r="T47" s="168"/>
      <c r="U47" s="171"/>
      <c r="V47" s="171"/>
      <c r="W47" s="171"/>
      <c r="X47" s="171"/>
      <c r="Y47" s="171"/>
      <c r="Z47" s="171"/>
      <c r="AA47" s="171"/>
      <c r="AB47" s="171"/>
    </row>
    <row r="48" spans="1:28" s="172" customFormat="1">
      <c r="A48" s="166" t="s">
        <v>2066</v>
      </c>
      <c r="B48" s="166" t="s">
        <v>2066</v>
      </c>
      <c r="C48" s="167" t="s">
        <v>2067</v>
      </c>
      <c r="D48" s="168" t="s">
        <v>2068</v>
      </c>
      <c r="E48" s="168" t="s">
        <v>2068</v>
      </c>
      <c r="F48" s="169" t="s">
        <v>1795</v>
      </c>
      <c r="G48" s="167" t="s">
        <v>2069</v>
      </c>
      <c r="H48" s="167">
        <v>31</v>
      </c>
      <c r="I48" s="167">
        <v>0</v>
      </c>
      <c r="J48" s="169">
        <f t="shared" si="0"/>
        <v>32</v>
      </c>
      <c r="K48" s="167" t="s">
        <v>693</v>
      </c>
      <c r="L48" s="169" t="s">
        <v>698</v>
      </c>
      <c r="M48" s="170" t="s">
        <v>2070</v>
      </c>
      <c r="N48" s="168"/>
      <c r="O48" s="168"/>
      <c r="P48" s="168"/>
      <c r="Q48" s="168"/>
      <c r="R48" s="168"/>
      <c r="S48" s="168"/>
      <c r="T48" s="168"/>
      <c r="U48" s="171"/>
      <c r="V48" s="171"/>
      <c r="W48" s="171"/>
      <c r="X48" s="171"/>
      <c r="Y48" s="171"/>
      <c r="Z48" s="171"/>
      <c r="AA48" s="171"/>
      <c r="AB48" s="171"/>
    </row>
    <row r="49" spans="1:28" s="172" customFormat="1">
      <c r="A49" s="166" t="s">
        <v>2071</v>
      </c>
      <c r="B49" s="166" t="s">
        <v>2071</v>
      </c>
      <c r="C49" s="167" t="s">
        <v>2072</v>
      </c>
      <c r="D49" s="168" t="s">
        <v>2073</v>
      </c>
      <c r="E49" s="168" t="s">
        <v>2073</v>
      </c>
      <c r="F49" s="169" t="s">
        <v>1795</v>
      </c>
      <c r="G49" s="167" t="s">
        <v>2074</v>
      </c>
      <c r="H49" s="167">
        <v>31</v>
      </c>
      <c r="I49" s="167">
        <v>0</v>
      </c>
      <c r="J49" s="169">
        <f t="shared" si="0"/>
        <v>32</v>
      </c>
      <c r="K49" s="167" t="s">
        <v>693</v>
      </c>
      <c r="L49" s="169" t="s">
        <v>698</v>
      </c>
      <c r="M49" s="170" t="s">
        <v>2075</v>
      </c>
      <c r="N49" s="168"/>
      <c r="O49" s="168"/>
      <c r="P49" s="168"/>
      <c r="Q49" s="168"/>
      <c r="R49" s="168"/>
      <c r="S49" s="168"/>
      <c r="T49" s="168"/>
      <c r="U49" s="171"/>
      <c r="V49" s="171"/>
      <c r="W49" s="171"/>
      <c r="X49" s="171"/>
      <c r="Y49" s="171"/>
      <c r="Z49" s="171"/>
      <c r="AA49" s="171"/>
      <c r="AB49" s="171"/>
    </row>
    <row r="50" spans="1:28" s="172" customFormat="1">
      <c r="A50" s="166" t="s">
        <v>2076</v>
      </c>
      <c r="B50" s="166" t="s">
        <v>2076</v>
      </c>
      <c r="C50" s="167" t="s">
        <v>2077</v>
      </c>
      <c r="D50" s="168" t="s">
        <v>2078</v>
      </c>
      <c r="E50" s="168" t="s">
        <v>2078</v>
      </c>
      <c r="F50" s="169" t="s">
        <v>1795</v>
      </c>
      <c r="G50" s="167" t="s">
        <v>2079</v>
      </c>
      <c r="H50" s="167">
        <v>31</v>
      </c>
      <c r="I50" s="167">
        <v>0</v>
      </c>
      <c r="J50" s="169">
        <f t="shared" si="0"/>
        <v>32</v>
      </c>
      <c r="K50" s="167" t="s">
        <v>693</v>
      </c>
      <c r="L50" s="169" t="s">
        <v>698</v>
      </c>
      <c r="M50" s="170" t="s">
        <v>2080</v>
      </c>
      <c r="N50" s="168"/>
      <c r="O50" s="168"/>
      <c r="P50" s="168"/>
      <c r="Q50" s="168"/>
      <c r="R50" s="168"/>
      <c r="S50" s="168"/>
      <c r="T50" s="168"/>
      <c r="U50" s="171"/>
      <c r="V50" s="171"/>
      <c r="W50" s="171"/>
      <c r="X50" s="171"/>
      <c r="Y50" s="171"/>
      <c r="Z50" s="171"/>
      <c r="AA50" s="171"/>
      <c r="AB50" s="171"/>
    </row>
    <row r="51" spans="1:28" s="172" customFormat="1">
      <c r="A51" s="166" t="s">
        <v>2081</v>
      </c>
      <c r="B51" s="166" t="s">
        <v>2081</v>
      </c>
      <c r="C51" s="167" t="s">
        <v>2082</v>
      </c>
      <c r="D51" s="168" t="s">
        <v>2083</v>
      </c>
      <c r="E51" s="168" t="s">
        <v>2083</v>
      </c>
      <c r="F51" s="169" t="s">
        <v>1795</v>
      </c>
      <c r="G51" s="167" t="s">
        <v>2084</v>
      </c>
      <c r="H51" s="167">
        <v>31</v>
      </c>
      <c r="I51" s="167">
        <v>0</v>
      </c>
      <c r="J51" s="169">
        <f t="shared" si="0"/>
        <v>32</v>
      </c>
      <c r="K51" s="167" t="s">
        <v>693</v>
      </c>
      <c r="L51" s="169" t="s">
        <v>698</v>
      </c>
      <c r="M51" s="170" t="s">
        <v>2085</v>
      </c>
      <c r="N51" s="168"/>
      <c r="O51" s="168"/>
      <c r="P51" s="168"/>
      <c r="Q51" s="168"/>
      <c r="R51" s="168"/>
      <c r="S51" s="168"/>
      <c r="T51" s="168"/>
      <c r="U51" s="171"/>
      <c r="V51" s="171"/>
      <c r="W51" s="171"/>
      <c r="X51" s="171"/>
      <c r="Y51" s="171"/>
      <c r="Z51" s="171"/>
      <c r="AA51" s="171"/>
      <c r="AB51" s="171"/>
    </row>
    <row r="52" spans="1:28" s="172" customFormat="1">
      <c r="A52" s="166" t="s">
        <v>2086</v>
      </c>
      <c r="B52" s="166" t="s">
        <v>2086</v>
      </c>
      <c r="C52" s="167" t="s">
        <v>2087</v>
      </c>
      <c r="D52" s="168" t="s">
        <v>2088</v>
      </c>
      <c r="E52" s="168" t="s">
        <v>2088</v>
      </c>
      <c r="F52" s="169" t="s">
        <v>1795</v>
      </c>
      <c r="G52" s="167" t="s">
        <v>2089</v>
      </c>
      <c r="H52" s="167">
        <v>31</v>
      </c>
      <c r="I52" s="167">
        <v>0</v>
      </c>
      <c r="J52" s="169">
        <f t="shared" si="0"/>
        <v>32</v>
      </c>
      <c r="K52" s="167" t="s">
        <v>693</v>
      </c>
      <c r="L52" s="169" t="s">
        <v>698</v>
      </c>
      <c r="M52" s="170" t="s">
        <v>2090</v>
      </c>
      <c r="N52" s="168"/>
      <c r="O52" s="168"/>
      <c r="P52" s="168"/>
      <c r="Q52" s="168"/>
      <c r="R52" s="168"/>
      <c r="S52" s="168"/>
      <c r="T52" s="168"/>
      <c r="U52" s="171"/>
      <c r="V52" s="171"/>
      <c r="W52" s="171"/>
      <c r="X52" s="171"/>
      <c r="Y52" s="171"/>
      <c r="Z52" s="171"/>
      <c r="AA52" s="171"/>
      <c r="AB52" s="171"/>
    </row>
    <row r="53" spans="1:28" s="172" customFormat="1">
      <c r="A53" s="166" t="s">
        <v>2091</v>
      </c>
      <c r="B53" s="166" t="s">
        <v>2091</v>
      </c>
      <c r="C53" s="167" t="s">
        <v>2092</v>
      </c>
      <c r="D53" s="168" t="s">
        <v>2093</v>
      </c>
      <c r="E53" s="168" t="s">
        <v>2093</v>
      </c>
      <c r="F53" s="169" t="s">
        <v>1795</v>
      </c>
      <c r="G53" s="167" t="s">
        <v>2094</v>
      </c>
      <c r="H53" s="167">
        <v>31</v>
      </c>
      <c r="I53" s="167">
        <v>0</v>
      </c>
      <c r="J53" s="169">
        <f t="shared" si="0"/>
        <v>32</v>
      </c>
      <c r="K53" s="167" t="s">
        <v>693</v>
      </c>
      <c r="L53" s="169" t="s">
        <v>698</v>
      </c>
      <c r="M53" s="170" t="s">
        <v>2095</v>
      </c>
      <c r="N53" s="168"/>
      <c r="O53" s="168"/>
      <c r="P53" s="168"/>
      <c r="Q53" s="168"/>
      <c r="R53" s="168"/>
      <c r="S53" s="168"/>
      <c r="T53" s="168"/>
      <c r="U53" s="171"/>
      <c r="V53" s="171"/>
      <c r="W53" s="171"/>
      <c r="X53" s="171"/>
      <c r="Y53" s="171"/>
      <c r="Z53" s="171"/>
      <c r="AA53" s="171"/>
      <c r="AB53" s="171"/>
    </row>
    <row r="54" spans="1:28" s="172" customFormat="1">
      <c r="A54" s="166" t="s">
        <v>2096</v>
      </c>
      <c r="B54" s="166" t="s">
        <v>2096</v>
      </c>
      <c r="C54" s="167" t="s">
        <v>2097</v>
      </c>
      <c r="D54" s="168" t="s">
        <v>2098</v>
      </c>
      <c r="E54" s="168" t="s">
        <v>2098</v>
      </c>
      <c r="F54" s="169" t="s">
        <v>1795</v>
      </c>
      <c r="G54" s="167" t="s">
        <v>2099</v>
      </c>
      <c r="H54" s="167">
        <v>31</v>
      </c>
      <c r="I54" s="167">
        <v>0</v>
      </c>
      <c r="J54" s="169">
        <f t="shared" si="0"/>
        <v>32</v>
      </c>
      <c r="K54" s="167" t="s">
        <v>693</v>
      </c>
      <c r="L54" s="169" t="s">
        <v>698</v>
      </c>
      <c r="M54" s="170" t="s">
        <v>2100</v>
      </c>
      <c r="N54" s="168"/>
      <c r="O54" s="168"/>
      <c r="P54" s="168"/>
      <c r="Q54" s="168"/>
      <c r="R54" s="168"/>
      <c r="S54" s="168"/>
      <c r="T54" s="168"/>
      <c r="U54" s="171"/>
      <c r="V54" s="171"/>
      <c r="W54" s="171"/>
      <c r="X54" s="171"/>
      <c r="Y54" s="171"/>
      <c r="Z54" s="171"/>
      <c r="AA54" s="171"/>
      <c r="AB54" s="171"/>
    </row>
    <row r="55" spans="1:28" s="172" customFormat="1">
      <c r="A55" s="166" t="s">
        <v>2101</v>
      </c>
      <c r="B55" s="166" t="s">
        <v>2101</v>
      </c>
      <c r="C55" s="167" t="s">
        <v>2102</v>
      </c>
      <c r="D55" s="168" t="s">
        <v>2103</v>
      </c>
      <c r="E55" s="168" t="s">
        <v>2103</v>
      </c>
      <c r="F55" s="169" t="s">
        <v>1795</v>
      </c>
      <c r="G55" s="167" t="s">
        <v>2104</v>
      </c>
      <c r="H55" s="167">
        <v>31</v>
      </c>
      <c r="I55" s="167">
        <v>0</v>
      </c>
      <c r="J55" s="169">
        <f t="shared" si="0"/>
        <v>32</v>
      </c>
      <c r="K55" s="167" t="s">
        <v>693</v>
      </c>
      <c r="L55" s="169" t="s">
        <v>698</v>
      </c>
      <c r="M55" s="170" t="s">
        <v>2105</v>
      </c>
      <c r="N55" s="168"/>
      <c r="O55" s="168"/>
      <c r="P55" s="168"/>
      <c r="Q55" s="168"/>
      <c r="R55" s="168"/>
      <c r="S55" s="168"/>
      <c r="T55" s="168"/>
      <c r="U55" s="171"/>
      <c r="V55" s="171"/>
      <c r="W55" s="171"/>
      <c r="X55" s="171"/>
      <c r="Y55" s="171"/>
      <c r="Z55" s="171"/>
      <c r="AA55" s="171"/>
      <c r="AB55" s="171"/>
    </row>
    <row r="56" spans="1:28" s="172" customFormat="1">
      <c r="A56" s="166" t="s">
        <v>2106</v>
      </c>
      <c r="B56" s="166" t="s">
        <v>2106</v>
      </c>
      <c r="C56" s="167" t="s">
        <v>2107</v>
      </c>
      <c r="D56" s="168" t="s">
        <v>2108</v>
      </c>
      <c r="E56" s="168" t="s">
        <v>2108</v>
      </c>
      <c r="F56" s="169" t="s">
        <v>1795</v>
      </c>
      <c r="G56" s="167" t="s">
        <v>2109</v>
      </c>
      <c r="H56" s="167">
        <v>31</v>
      </c>
      <c r="I56" s="167">
        <v>0</v>
      </c>
      <c r="J56" s="169">
        <f t="shared" si="0"/>
        <v>32</v>
      </c>
      <c r="K56" s="167" t="s">
        <v>693</v>
      </c>
      <c r="L56" s="169" t="s">
        <v>698</v>
      </c>
      <c r="M56" s="170" t="s">
        <v>2110</v>
      </c>
      <c r="N56" s="168"/>
      <c r="O56" s="168"/>
      <c r="P56" s="168"/>
      <c r="Q56" s="168"/>
      <c r="R56" s="168"/>
      <c r="S56" s="168"/>
      <c r="T56" s="168"/>
      <c r="U56" s="171"/>
      <c r="V56" s="171"/>
      <c r="W56" s="171"/>
      <c r="X56" s="171"/>
      <c r="Y56" s="171"/>
      <c r="Z56" s="171"/>
      <c r="AA56" s="171"/>
      <c r="AB56" s="171"/>
    </row>
    <row r="57" spans="1:28" s="172" customFormat="1">
      <c r="A57" s="166" t="s">
        <v>2111</v>
      </c>
      <c r="B57" s="166" t="s">
        <v>2111</v>
      </c>
      <c r="C57" s="167" t="s">
        <v>2112</v>
      </c>
      <c r="D57" s="168" t="s">
        <v>2113</v>
      </c>
      <c r="E57" s="168" t="s">
        <v>2113</v>
      </c>
      <c r="F57" s="169" t="s">
        <v>1795</v>
      </c>
      <c r="G57" s="167" t="s">
        <v>2114</v>
      </c>
      <c r="H57" s="167">
        <v>31</v>
      </c>
      <c r="I57" s="167">
        <v>0</v>
      </c>
      <c r="J57" s="169">
        <f t="shared" si="0"/>
        <v>32</v>
      </c>
      <c r="K57" s="167" t="s">
        <v>693</v>
      </c>
      <c r="L57" s="169" t="s">
        <v>698</v>
      </c>
      <c r="M57" s="170" t="s">
        <v>2115</v>
      </c>
      <c r="N57" s="168"/>
      <c r="O57" s="168"/>
      <c r="P57" s="168"/>
      <c r="Q57" s="168"/>
      <c r="R57" s="168"/>
      <c r="S57" s="168"/>
      <c r="T57" s="168"/>
      <c r="U57" s="171"/>
      <c r="V57" s="171"/>
      <c r="W57" s="171"/>
      <c r="X57" s="171"/>
      <c r="Y57" s="171"/>
      <c r="Z57" s="171"/>
      <c r="AA57" s="171"/>
      <c r="AB57" s="171"/>
    </row>
    <row r="58" spans="1:28" s="172" customFormat="1">
      <c r="A58" s="166" t="s">
        <v>2116</v>
      </c>
      <c r="B58" s="166" t="s">
        <v>2116</v>
      </c>
      <c r="C58" s="167" t="s">
        <v>2117</v>
      </c>
      <c r="D58" s="168" t="s">
        <v>2118</v>
      </c>
      <c r="E58" s="168" t="s">
        <v>2118</v>
      </c>
      <c r="F58" s="169" t="s">
        <v>1795</v>
      </c>
      <c r="G58" s="167" t="s">
        <v>2119</v>
      </c>
      <c r="H58" s="167">
        <v>31</v>
      </c>
      <c r="I58" s="167">
        <v>0</v>
      </c>
      <c r="J58" s="169">
        <f t="shared" si="0"/>
        <v>32</v>
      </c>
      <c r="K58" s="167" t="s">
        <v>693</v>
      </c>
      <c r="L58" s="169" t="s">
        <v>698</v>
      </c>
      <c r="M58" s="170" t="s">
        <v>2120</v>
      </c>
      <c r="N58" s="168"/>
      <c r="O58" s="168"/>
      <c r="P58" s="168"/>
      <c r="Q58" s="168"/>
      <c r="R58" s="168"/>
      <c r="S58" s="168"/>
      <c r="T58" s="168"/>
      <c r="U58" s="171"/>
      <c r="V58" s="171"/>
      <c r="W58" s="171"/>
      <c r="X58" s="171"/>
      <c r="Y58" s="171"/>
      <c r="Z58" s="171"/>
      <c r="AA58" s="171"/>
      <c r="AB58" s="171"/>
    </row>
    <row r="59" spans="1:28" s="172" customFormat="1">
      <c r="A59" s="166" t="s">
        <v>2121</v>
      </c>
      <c r="B59" s="166" t="s">
        <v>2121</v>
      </c>
      <c r="C59" s="167" t="s">
        <v>2122</v>
      </c>
      <c r="D59" s="168" t="s">
        <v>2123</v>
      </c>
      <c r="E59" s="168" t="s">
        <v>2123</v>
      </c>
      <c r="F59" s="169" t="s">
        <v>1795</v>
      </c>
      <c r="G59" s="167" t="s">
        <v>2124</v>
      </c>
      <c r="H59" s="167">
        <v>31</v>
      </c>
      <c r="I59" s="167">
        <v>0</v>
      </c>
      <c r="J59" s="169">
        <f t="shared" si="0"/>
        <v>32</v>
      </c>
      <c r="K59" s="167" t="s">
        <v>693</v>
      </c>
      <c r="L59" s="169" t="s">
        <v>698</v>
      </c>
      <c r="M59" s="170" t="s">
        <v>2125</v>
      </c>
      <c r="N59" s="168"/>
      <c r="O59" s="168"/>
      <c r="P59" s="168"/>
      <c r="Q59" s="168"/>
      <c r="R59" s="168"/>
      <c r="S59" s="168"/>
      <c r="T59" s="168"/>
      <c r="U59" s="171"/>
      <c r="V59" s="171"/>
      <c r="W59" s="171"/>
      <c r="X59" s="171"/>
      <c r="Y59" s="171"/>
      <c r="Z59" s="171"/>
      <c r="AA59" s="171"/>
      <c r="AB59" s="171"/>
    </row>
    <row r="60" spans="1:28" s="172" customFormat="1">
      <c r="A60" s="166" t="s">
        <v>2126</v>
      </c>
      <c r="B60" s="166" t="s">
        <v>2126</v>
      </c>
      <c r="C60" s="167" t="s">
        <v>2127</v>
      </c>
      <c r="D60" s="168" t="s">
        <v>2128</v>
      </c>
      <c r="E60" s="168" t="s">
        <v>2128</v>
      </c>
      <c r="F60" s="169" t="s">
        <v>1795</v>
      </c>
      <c r="G60" s="167" t="s">
        <v>2129</v>
      </c>
      <c r="H60" s="167">
        <v>31</v>
      </c>
      <c r="I60" s="167">
        <v>0</v>
      </c>
      <c r="J60" s="169">
        <f t="shared" si="0"/>
        <v>32</v>
      </c>
      <c r="K60" s="167" t="s">
        <v>693</v>
      </c>
      <c r="L60" s="169" t="s">
        <v>698</v>
      </c>
      <c r="M60" s="170" t="s">
        <v>2130</v>
      </c>
      <c r="N60" s="168"/>
      <c r="O60" s="168"/>
      <c r="P60" s="168"/>
      <c r="Q60" s="168"/>
      <c r="R60" s="168"/>
      <c r="S60" s="168"/>
      <c r="T60" s="168"/>
      <c r="U60" s="171"/>
      <c r="V60" s="171"/>
      <c r="W60" s="171"/>
      <c r="X60" s="171"/>
      <c r="Y60" s="171"/>
      <c r="Z60" s="171"/>
      <c r="AA60" s="171"/>
      <c r="AB60" s="171"/>
    </row>
    <row r="61" spans="1:28" s="172" customFormat="1">
      <c r="A61" s="166" t="s">
        <v>2131</v>
      </c>
      <c r="B61" s="166" t="s">
        <v>2131</v>
      </c>
      <c r="C61" s="167" t="s">
        <v>2132</v>
      </c>
      <c r="D61" s="168" t="s">
        <v>2133</v>
      </c>
      <c r="E61" s="168" t="s">
        <v>2133</v>
      </c>
      <c r="F61" s="169" t="s">
        <v>1795</v>
      </c>
      <c r="G61" s="167" t="s">
        <v>2134</v>
      </c>
      <c r="H61" s="167">
        <v>31</v>
      </c>
      <c r="I61" s="167">
        <v>0</v>
      </c>
      <c r="J61" s="169">
        <f t="shared" si="0"/>
        <v>32</v>
      </c>
      <c r="K61" s="167" t="s">
        <v>693</v>
      </c>
      <c r="L61" s="169" t="s">
        <v>698</v>
      </c>
      <c r="M61" s="170" t="s">
        <v>2135</v>
      </c>
      <c r="N61" s="168"/>
      <c r="O61" s="168"/>
      <c r="P61" s="168"/>
      <c r="Q61" s="168"/>
      <c r="R61" s="168"/>
      <c r="S61" s="168"/>
      <c r="T61" s="168"/>
      <c r="U61" s="171"/>
      <c r="V61" s="171"/>
      <c r="W61" s="171"/>
      <c r="X61" s="171"/>
      <c r="Y61" s="171"/>
      <c r="Z61" s="171"/>
      <c r="AA61" s="171"/>
      <c r="AB61" s="171"/>
    </row>
    <row r="62" spans="1:28" s="172" customFormat="1">
      <c r="A62" s="166" t="s">
        <v>2136</v>
      </c>
      <c r="B62" s="166" t="s">
        <v>2136</v>
      </c>
      <c r="C62" s="167" t="s">
        <v>2137</v>
      </c>
      <c r="D62" s="168" t="s">
        <v>2138</v>
      </c>
      <c r="E62" s="168" t="s">
        <v>2138</v>
      </c>
      <c r="F62" s="169" t="s">
        <v>1795</v>
      </c>
      <c r="G62" s="167" t="s">
        <v>2139</v>
      </c>
      <c r="H62" s="167">
        <v>31</v>
      </c>
      <c r="I62" s="167">
        <v>0</v>
      </c>
      <c r="J62" s="169">
        <f t="shared" si="0"/>
        <v>32</v>
      </c>
      <c r="K62" s="167" t="s">
        <v>693</v>
      </c>
      <c r="L62" s="169" t="s">
        <v>698</v>
      </c>
      <c r="M62" s="170" t="s">
        <v>2140</v>
      </c>
      <c r="N62" s="168"/>
      <c r="O62" s="168"/>
      <c r="P62" s="168"/>
      <c r="Q62" s="168"/>
      <c r="R62" s="168"/>
      <c r="S62" s="168"/>
      <c r="T62" s="168"/>
      <c r="U62" s="171"/>
      <c r="V62" s="171"/>
      <c r="W62" s="171"/>
      <c r="X62" s="171"/>
      <c r="Y62" s="171"/>
      <c r="Z62" s="171"/>
      <c r="AA62" s="171"/>
      <c r="AB62" s="171"/>
    </row>
    <row r="63" spans="1:28" s="172" customFormat="1">
      <c r="A63" s="166" t="s">
        <v>2141</v>
      </c>
      <c r="B63" s="166" t="s">
        <v>2141</v>
      </c>
      <c r="C63" s="167" t="s">
        <v>2142</v>
      </c>
      <c r="D63" s="168" t="s">
        <v>2143</v>
      </c>
      <c r="E63" s="168" t="s">
        <v>2143</v>
      </c>
      <c r="F63" s="169" t="s">
        <v>1795</v>
      </c>
      <c r="G63" s="167" t="s">
        <v>2144</v>
      </c>
      <c r="H63" s="167">
        <v>31</v>
      </c>
      <c r="I63" s="167">
        <v>0</v>
      </c>
      <c r="J63" s="169">
        <f t="shared" si="0"/>
        <v>32</v>
      </c>
      <c r="K63" s="167" t="s">
        <v>693</v>
      </c>
      <c r="L63" s="169" t="s">
        <v>698</v>
      </c>
      <c r="M63" s="170" t="s">
        <v>2145</v>
      </c>
      <c r="N63" s="168"/>
      <c r="O63" s="168"/>
      <c r="P63" s="168"/>
      <c r="Q63" s="168"/>
      <c r="R63" s="168"/>
      <c r="S63" s="168"/>
      <c r="T63" s="168"/>
      <c r="U63" s="171"/>
      <c r="V63" s="171"/>
      <c r="W63" s="171"/>
      <c r="X63" s="171"/>
      <c r="Y63" s="171"/>
      <c r="Z63" s="171"/>
      <c r="AA63" s="171"/>
      <c r="AB63" s="171"/>
    </row>
    <row r="64" spans="1:28" s="172" customFormat="1">
      <c r="A64" s="166" t="s">
        <v>2146</v>
      </c>
      <c r="B64" s="166" t="s">
        <v>2146</v>
      </c>
      <c r="C64" s="167" t="s">
        <v>2147</v>
      </c>
      <c r="D64" s="168" t="s">
        <v>2148</v>
      </c>
      <c r="E64" s="168" t="s">
        <v>2148</v>
      </c>
      <c r="F64" s="169" t="s">
        <v>1795</v>
      </c>
      <c r="G64" s="167" t="s">
        <v>2149</v>
      </c>
      <c r="H64" s="167">
        <v>31</v>
      </c>
      <c r="I64" s="167">
        <v>0</v>
      </c>
      <c r="J64" s="169">
        <f t="shared" si="0"/>
        <v>32</v>
      </c>
      <c r="K64" s="167" t="s">
        <v>693</v>
      </c>
      <c r="L64" s="169" t="s">
        <v>698</v>
      </c>
      <c r="M64" s="170" t="s">
        <v>2150</v>
      </c>
      <c r="N64" s="168"/>
      <c r="O64" s="168"/>
      <c r="P64" s="168"/>
      <c r="Q64" s="168"/>
      <c r="R64" s="168"/>
      <c r="S64" s="168"/>
      <c r="T64" s="168"/>
      <c r="U64" s="171"/>
      <c r="V64" s="171"/>
      <c r="W64" s="171"/>
      <c r="X64" s="171"/>
      <c r="Y64" s="171"/>
      <c r="Z64" s="171"/>
      <c r="AA64" s="171"/>
      <c r="AB64" s="171"/>
    </row>
    <row r="65" spans="1:28" s="172" customFormat="1">
      <c r="A65" s="166" t="s">
        <v>2151</v>
      </c>
      <c r="B65" s="166" t="s">
        <v>2151</v>
      </c>
      <c r="C65" s="167" t="s">
        <v>2152</v>
      </c>
      <c r="D65" s="168" t="s">
        <v>2153</v>
      </c>
      <c r="E65" s="168" t="s">
        <v>2153</v>
      </c>
      <c r="F65" s="169" t="s">
        <v>1795</v>
      </c>
      <c r="G65" s="167" t="s">
        <v>2154</v>
      </c>
      <c r="H65" s="167">
        <v>31</v>
      </c>
      <c r="I65" s="167">
        <v>0</v>
      </c>
      <c r="J65" s="169">
        <f t="shared" si="0"/>
        <v>32</v>
      </c>
      <c r="K65" s="167" t="s">
        <v>693</v>
      </c>
      <c r="L65" s="169" t="s">
        <v>698</v>
      </c>
      <c r="M65" s="170" t="s">
        <v>2155</v>
      </c>
      <c r="N65" s="168"/>
      <c r="O65" s="168"/>
      <c r="P65" s="168"/>
      <c r="Q65" s="168"/>
      <c r="R65" s="168"/>
      <c r="S65" s="168"/>
      <c r="T65" s="168"/>
      <c r="U65" s="171"/>
      <c r="V65" s="171"/>
      <c r="W65" s="171"/>
      <c r="X65" s="171"/>
      <c r="Y65" s="171"/>
      <c r="Z65" s="171"/>
      <c r="AA65" s="171"/>
      <c r="AB65" s="171"/>
    </row>
    <row r="66" spans="1:28" s="172" customFormat="1">
      <c r="A66" s="166" t="s">
        <v>2156</v>
      </c>
      <c r="B66" s="166" t="s">
        <v>2156</v>
      </c>
      <c r="C66" s="167" t="s">
        <v>2157</v>
      </c>
      <c r="D66" s="168" t="s">
        <v>2158</v>
      </c>
      <c r="E66" s="168" t="s">
        <v>2158</v>
      </c>
      <c r="F66" s="169" t="s">
        <v>1795</v>
      </c>
      <c r="G66" s="167" t="s">
        <v>2159</v>
      </c>
      <c r="H66" s="167">
        <v>31</v>
      </c>
      <c r="I66" s="167">
        <v>0</v>
      </c>
      <c r="J66" s="169">
        <f t="shared" si="0"/>
        <v>32</v>
      </c>
      <c r="K66" s="167" t="s">
        <v>693</v>
      </c>
      <c r="L66" s="169" t="s">
        <v>698</v>
      </c>
      <c r="M66" s="170" t="s">
        <v>2160</v>
      </c>
      <c r="N66" s="168"/>
      <c r="O66" s="168"/>
      <c r="P66" s="168"/>
      <c r="Q66" s="168"/>
      <c r="R66" s="168"/>
      <c r="S66" s="168"/>
      <c r="T66" s="168"/>
      <c r="U66" s="171"/>
      <c r="V66" s="171"/>
      <c r="W66" s="171"/>
      <c r="X66" s="171"/>
      <c r="Y66" s="171"/>
      <c r="Z66" s="171"/>
      <c r="AA66" s="171"/>
      <c r="AB66" s="171"/>
    </row>
    <row r="67" spans="1:28" s="172" customFormat="1">
      <c r="A67" s="166" t="s">
        <v>2161</v>
      </c>
      <c r="B67" s="166" t="s">
        <v>2161</v>
      </c>
      <c r="C67" s="167" t="s">
        <v>2162</v>
      </c>
      <c r="D67" s="168" t="s">
        <v>2163</v>
      </c>
      <c r="E67" s="168" t="s">
        <v>2163</v>
      </c>
      <c r="F67" s="169" t="s">
        <v>1795</v>
      </c>
      <c r="G67" s="167" t="s">
        <v>2164</v>
      </c>
      <c r="H67" s="167">
        <v>31</v>
      </c>
      <c r="I67" s="167">
        <v>0</v>
      </c>
      <c r="J67" s="169">
        <f t="shared" si="0"/>
        <v>32</v>
      </c>
      <c r="K67" s="167" t="s">
        <v>693</v>
      </c>
      <c r="L67" s="169" t="s">
        <v>698</v>
      </c>
      <c r="M67" s="170" t="s">
        <v>2165</v>
      </c>
      <c r="N67" s="168"/>
      <c r="O67" s="168"/>
      <c r="P67" s="168"/>
      <c r="Q67" s="168"/>
      <c r="R67" s="168"/>
      <c r="S67" s="168"/>
      <c r="T67" s="168"/>
      <c r="U67" s="171"/>
      <c r="V67" s="171"/>
      <c r="W67" s="171"/>
      <c r="X67" s="171"/>
      <c r="Y67" s="171"/>
      <c r="Z67" s="171"/>
      <c r="AA67" s="171"/>
      <c r="AB67" s="171"/>
    </row>
    <row r="68" spans="1:28" s="172" customFormat="1">
      <c r="A68" s="166" t="s">
        <v>2166</v>
      </c>
      <c r="B68" s="166" t="s">
        <v>2166</v>
      </c>
      <c r="C68" s="167" t="s">
        <v>2167</v>
      </c>
      <c r="D68" s="168" t="s">
        <v>2168</v>
      </c>
      <c r="E68" s="168" t="s">
        <v>2168</v>
      </c>
      <c r="F68" s="169" t="s">
        <v>1795</v>
      </c>
      <c r="G68" s="167" t="s">
        <v>2169</v>
      </c>
      <c r="H68" s="167">
        <v>31</v>
      </c>
      <c r="I68" s="167">
        <v>0</v>
      </c>
      <c r="J68" s="169">
        <f t="shared" si="0"/>
        <v>32</v>
      </c>
      <c r="K68" s="167" t="s">
        <v>693</v>
      </c>
      <c r="L68" s="169" t="s">
        <v>698</v>
      </c>
      <c r="M68" s="170" t="s">
        <v>2170</v>
      </c>
      <c r="N68" s="168"/>
      <c r="O68" s="168"/>
      <c r="P68" s="168"/>
      <c r="Q68" s="168"/>
      <c r="R68" s="168"/>
      <c r="S68" s="168"/>
      <c r="T68" s="168"/>
      <c r="U68" s="171"/>
      <c r="V68" s="171"/>
      <c r="W68" s="171"/>
      <c r="X68" s="171"/>
      <c r="Y68" s="171"/>
      <c r="Z68" s="171"/>
      <c r="AA68" s="171"/>
      <c r="AB68" s="171"/>
    </row>
    <row r="69" spans="1:28" s="172" customFormat="1">
      <c r="A69" s="166" t="s">
        <v>2171</v>
      </c>
      <c r="B69" s="166" t="s">
        <v>2171</v>
      </c>
      <c r="C69" s="167" t="s">
        <v>2172</v>
      </c>
      <c r="D69" s="168" t="s">
        <v>2173</v>
      </c>
      <c r="E69" s="168" t="s">
        <v>2173</v>
      </c>
      <c r="F69" s="169" t="s">
        <v>1795</v>
      </c>
      <c r="G69" s="167" t="s">
        <v>2174</v>
      </c>
      <c r="H69" s="167">
        <v>31</v>
      </c>
      <c r="I69" s="167">
        <v>0</v>
      </c>
      <c r="J69" s="169">
        <f t="shared" si="0"/>
        <v>32</v>
      </c>
      <c r="K69" s="167" t="s">
        <v>693</v>
      </c>
      <c r="L69" s="169" t="s">
        <v>698</v>
      </c>
      <c r="M69" s="170" t="s">
        <v>2175</v>
      </c>
      <c r="N69" s="168"/>
      <c r="O69" s="168"/>
      <c r="P69" s="168"/>
      <c r="Q69" s="168"/>
      <c r="R69" s="168"/>
      <c r="S69" s="168"/>
      <c r="T69" s="168"/>
      <c r="U69" s="171"/>
      <c r="V69" s="171"/>
      <c r="W69" s="171"/>
      <c r="X69" s="171"/>
      <c r="Y69" s="171"/>
      <c r="Z69" s="171"/>
      <c r="AA69" s="171"/>
      <c r="AB69" s="171"/>
    </row>
    <row r="70" spans="1:28" s="172" customFormat="1">
      <c r="A70" s="166" t="s">
        <v>2176</v>
      </c>
      <c r="B70" s="166" t="s">
        <v>2176</v>
      </c>
      <c r="C70" s="167" t="s">
        <v>2177</v>
      </c>
      <c r="D70" s="168" t="s">
        <v>2178</v>
      </c>
      <c r="E70" s="168" t="s">
        <v>2178</v>
      </c>
      <c r="F70" s="169" t="s">
        <v>1795</v>
      </c>
      <c r="G70" s="167" t="s">
        <v>2179</v>
      </c>
      <c r="H70" s="167">
        <v>31</v>
      </c>
      <c r="I70" s="167">
        <v>0</v>
      </c>
      <c r="J70" s="169">
        <f t="shared" si="0"/>
        <v>32</v>
      </c>
      <c r="K70" s="167" t="s">
        <v>693</v>
      </c>
      <c r="L70" s="169" t="s">
        <v>698</v>
      </c>
      <c r="M70" s="170" t="s">
        <v>2180</v>
      </c>
      <c r="N70" s="168"/>
      <c r="O70" s="168"/>
      <c r="P70" s="168"/>
      <c r="Q70" s="168"/>
      <c r="R70" s="168"/>
      <c r="S70" s="168"/>
      <c r="T70" s="168"/>
      <c r="U70" s="171"/>
      <c r="V70" s="171"/>
      <c r="W70" s="171"/>
      <c r="X70" s="171"/>
      <c r="Y70" s="171"/>
      <c r="Z70" s="171"/>
      <c r="AA70" s="171"/>
      <c r="AB70" s="171"/>
    </row>
    <row r="71" spans="1:28" s="172" customFormat="1">
      <c r="A71" s="166" t="s">
        <v>2181</v>
      </c>
      <c r="B71" s="166" t="s">
        <v>2181</v>
      </c>
      <c r="C71" s="167" t="s">
        <v>2182</v>
      </c>
      <c r="D71" s="168" t="s">
        <v>2183</v>
      </c>
      <c r="E71" s="168" t="s">
        <v>2183</v>
      </c>
      <c r="F71" s="169" t="s">
        <v>1795</v>
      </c>
      <c r="G71" s="167" t="s">
        <v>2184</v>
      </c>
      <c r="H71" s="167">
        <v>31</v>
      </c>
      <c r="I71" s="167">
        <v>0</v>
      </c>
      <c r="J71" s="169">
        <f t="shared" si="0"/>
        <v>32</v>
      </c>
      <c r="K71" s="167" t="s">
        <v>693</v>
      </c>
      <c r="L71" s="169" t="s">
        <v>698</v>
      </c>
      <c r="M71" s="170" t="s">
        <v>2185</v>
      </c>
      <c r="N71" s="168"/>
      <c r="O71" s="168"/>
      <c r="P71" s="168"/>
      <c r="Q71" s="168"/>
      <c r="R71" s="168"/>
      <c r="S71" s="168"/>
      <c r="T71" s="168"/>
      <c r="U71" s="171"/>
      <c r="V71" s="171"/>
      <c r="W71" s="171"/>
      <c r="X71" s="171"/>
      <c r="Y71" s="171"/>
      <c r="Z71" s="171"/>
      <c r="AA71" s="171"/>
      <c r="AB71" s="171"/>
    </row>
    <row r="72" spans="1:28" s="172" customFormat="1">
      <c r="A72" s="166" t="s">
        <v>2186</v>
      </c>
      <c r="B72" s="166" t="s">
        <v>2186</v>
      </c>
      <c r="C72" s="167" t="s">
        <v>2187</v>
      </c>
      <c r="D72" s="168" t="s">
        <v>2188</v>
      </c>
      <c r="E72" s="168" t="s">
        <v>2188</v>
      </c>
      <c r="F72" s="169" t="s">
        <v>1795</v>
      </c>
      <c r="G72" s="167" t="s">
        <v>2189</v>
      </c>
      <c r="H72" s="167">
        <v>31</v>
      </c>
      <c r="I72" s="167">
        <v>0</v>
      </c>
      <c r="J72" s="169">
        <f t="shared" si="0"/>
        <v>32</v>
      </c>
      <c r="K72" s="167" t="s">
        <v>693</v>
      </c>
      <c r="L72" s="169" t="s">
        <v>698</v>
      </c>
      <c r="M72" s="170" t="s">
        <v>2190</v>
      </c>
      <c r="N72" s="168"/>
      <c r="O72" s="168"/>
      <c r="P72" s="168"/>
      <c r="Q72" s="168"/>
      <c r="R72" s="168"/>
      <c r="S72" s="168"/>
      <c r="T72" s="168"/>
      <c r="U72" s="171"/>
      <c r="V72" s="171"/>
      <c r="W72" s="171"/>
      <c r="X72" s="171"/>
      <c r="Y72" s="171"/>
      <c r="Z72" s="171"/>
      <c r="AA72" s="171"/>
      <c r="AB72" s="171"/>
    </row>
    <row r="73" spans="1:28" s="195" customFormat="1">
      <c r="A73" s="189" t="s">
        <v>2191</v>
      </c>
      <c r="B73" s="189" t="s">
        <v>2191</v>
      </c>
      <c r="C73" s="190" t="s">
        <v>2192</v>
      </c>
      <c r="D73" s="190" t="s">
        <v>2192</v>
      </c>
      <c r="E73" s="190" t="s">
        <v>2192</v>
      </c>
      <c r="F73" s="192" t="s">
        <v>1795</v>
      </c>
      <c r="G73" s="190" t="s">
        <v>2193</v>
      </c>
      <c r="H73" s="190">
        <v>31</v>
      </c>
      <c r="I73" s="190">
        <v>0</v>
      </c>
      <c r="J73" s="192">
        <f t="shared" si="0"/>
        <v>32</v>
      </c>
      <c r="K73" s="190" t="s">
        <v>693</v>
      </c>
      <c r="L73" s="192" t="s">
        <v>712</v>
      </c>
      <c r="M73" s="193" t="s">
        <v>2194</v>
      </c>
      <c r="N73" s="191"/>
      <c r="O73" s="191"/>
      <c r="P73" s="191"/>
      <c r="Q73" s="191"/>
      <c r="R73" s="191"/>
      <c r="S73" s="191"/>
      <c r="T73" s="191"/>
      <c r="U73" s="194"/>
      <c r="V73" s="194"/>
      <c r="W73" s="194"/>
      <c r="X73" s="194"/>
      <c r="Y73" s="194"/>
      <c r="Z73" s="194"/>
      <c r="AA73" s="194"/>
      <c r="AB73" s="194"/>
    </row>
    <row r="74" spans="1:28" s="195" customFormat="1">
      <c r="A74" s="189" t="s">
        <v>2195</v>
      </c>
      <c r="B74" s="189" t="s">
        <v>2195</v>
      </c>
      <c r="C74" s="190" t="s">
        <v>2196</v>
      </c>
      <c r="D74" s="190" t="s">
        <v>2196</v>
      </c>
      <c r="E74" s="190" t="s">
        <v>2196</v>
      </c>
      <c r="F74" s="192" t="s">
        <v>1795</v>
      </c>
      <c r="G74" s="190" t="s">
        <v>2197</v>
      </c>
      <c r="H74" s="190">
        <v>31</v>
      </c>
      <c r="I74" s="190">
        <v>0</v>
      </c>
      <c r="J74" s="192">
        <f t="shared" si="0"/>
        <v>32</v>
      </c>
      <c r="K74" s="190" t="s">
        <v>693</v>
      </c>
      <c r="L74" s="192" t="s">
        <v>712</v>
      </c>
      <c r="M74" s="193" t="s">
        <v>2194</v>
      </c>
      <c r="N74" s="191"/>
      <c r="O74" s="191"/>
      <c r="P74" s="191"/>
      <c r="Q74" s="191"/>
      <c r="R74" s="191"/>
      <c r="S74" s="191"/>
      <c r="T74" s="191"/>
      <c r="U74" s="194"/>
      <c r="V74" s="194"/>
      <c r="W74" s="194"/>
      <c r="X74" s="194"/>
      <c r="Y74" s="194"/>
      <c r="Z74" s="194"/>
      <c r="AA74" s="194"/>
      <c r="AB74" s="194"/>
    </row>
    <row r="75" spans="1:28" s="195" customFormat="1">
      <c r="A75" s="189" t="s">
        <v>2198</v>
      </c>
      <c r="B75" s="189" t="s">
        <v>2198</v>
      </c>
      <c r="C75" s="190" t="s">
        <v>2199</v>
      </c>
      <c r="D75" s="190" t="s">
        <v>2199</v>
      </c>
      <c r="E75" s="190" t="s">
        <v>2199</v>
      </c>
      <c r="F75" s="192" t="s">
        <v>1795</v>
      </c>
      <c r="G75" s="190" t="s">
        <v>2200</v>
      </c>
      <c r="H75" s="190">
        <v>31</v>
      </c>
      <c r="I75" s="190">
        <v>0</v>
      </c>
      <c r="J75" s="192">
        <f t="shared" si="0"/>
        <v>32</v>
      </c>
      <c r="K75" s="190" t="s">
        <v>693</v>
      </c>
      <c r="L75" s="192" t="s">
        <v>712</v>
      </c>
      <c r="M75" s="193" t="s">
        <v>2194</v>
      </c>
      <c r="N75" s="191"/>
      <c r="O75" s="191"/>
      <c r="P75" s="191"/>
      <c r="Q75" s="191"/>
      <c r="R75" s="191"/>
      <c r="S75" s="191"/>
      <c r="T75" s="191"/>
      <c r="U75" s="194"/>
      <c r="V75" s="194"/>
      <c r="W75" s="194"/>
      <c r="X75" s="194"/>
      <c r="Y75" s="194"/>
      <c r="Z75" s="194"/>
      <c r="AA75" s="194"/>
      <c r="AB75" s="194"/>
    </row>
    <row r="76" spans="1:28" s="195" customFormat="1">
      <c r="A76" s="189" t="s">
        <v>2201</v>
      </c>
      <c r="B76" s="189" t="s">
        <v>2201</v>
      </c>
      <c r="C76" s="190" t="s">
        <v>2202</v>
      </c>
      <c r="D76" s="190" t="s">
        <v>2202</v>
      </c>
      <c r="E76" s="190" t="s">
        <v>2202</v>
      </c>
      <c r="F76" s="192" t="s">
        <v>1795</v>
      </c>
      <c r="G76" s="190" t="s">
        <v>2203</v>
      </c>
      <c r="H76" s="190">
        <v>31</v>
      </c>
      <c r="I76" s="190">
        <v>0</v>
      </c>
      <c r="J76" s="192">
        <f t="shared" si="0"/>
        <v>32</v>
      </c>
      <c r="K76" s="190" t="s">
        <v>693</v>
      </c>
      <c r="L76" s="192" t="s">
        <v>712</v>
      </c>
      <c r="M76" s="193" t="s">
        <v>2194</v>
      </c>
      <c r="N76" s="191"/>
      <c r="O76" s="191"/>
      <c r="P76" s="191"/>
      <c r="Q76" s="191"/>
      <c r="R76" s="191"/>
      <c r="S76" s="191"/>
      <c r="T76" s="191"/>
      <c r="U76" s="194"/>
      <c r="V76" s="194"/>
      <c r="W76" s="194"/>
      <c r="X76" s="194"/>
      <c r="Y76" s="194"/>
      <c r="Z76" s="194"/>
      <c r="AA76" s="194"/>
      <c r="AB76" s="194"/>
    </row>
    <row r="77" spans="1:28" s="195" customFormat="1">
      <c r="A77" s="189" t="s">
        <v>2204</v>
      </c>
      <c r="B77" s="189" t="s">
        <v>2204</v>
      </c>
      <c r="C77" s="190" t="s">
        <v>2205</v>
      </c>
      <c r="D77" s="190" t="s">
        <v>2205</v>
      </c>
      <c r="E77" s="190" t="s">
        <v>2205</v>
      </c>
      <c r="F77" s="192" t="s">
        <v>1795</v>
      </c>
      <c r="G77" s="190" t="s">
        <v>2206</v>
      </c>
      <c r="H77" s="190">
        <v>31</v>
      </c>
      <c r="I77" s="190">
        <v>0</v>
      </c>
      <c r="J77" s="192">
        <f t="shared" si="0"/>
        <v>32</v>
      </c>
      <c r="K77" s="190" t="s">
        <v>693</v>
      </c>
      <c r="L77" s="192" t="s">
        <v>712</v>
      </c>
      <c r="M77" s="193" t="s">
        <v>2194</v>
      </c>
      <c r="N77" s="191"/>
      <c r="O77" s="191"/>
      <c r="P77" s="191"/>
      <c r="Q77" s="191"/>
      <c r="R77" s="191"/>
      <c r="S77" s="191"/>
      <c r="T77" s="191"/>
      <c r="U77" s="194"/>
      <c r="V77" s="194"/>
      <c r="W77" s="194"/>
      <c r="X77" s="194"/>
      <c r="Y77" s="194"/>
      <c r="Z77" s="194"/>
      <c r="AA77" s="194"/>
      <c r="AB77" s="194"/>
    </row>
    <row r="78" spans="1:28" s="195" customFormat="1">
      <c r="A78" s="189" t="s">
        <v>2207</v>
      </c>
      <c r="B78" s="189" t="s">
        <v>2207</v>
      </c>
      <c r="C78" s="190" t="s">
        <v>2208</v>
      </c>
      <c r="D78" s="190" t="s">
        <v>2208</v>
      </c>
      <c r="E78" s="190" t="s">
        <v>2208</v>
      </c>
      <c r="F78" s="192" t="s">
        <v>1795</v>
      </c>
      <c r="G78" s="190" t="s">
        <v>2209</v>
      </c>
      <c r="H78" s="190">
        <v>31</v>
      </c>
      <c r="I78" s="190">
        <v>0</v>
      </c>
      <c r="J78" s="192">
        <f t="shared" si="0"/>
        <v>32</v>
      </c>
      <c r="K78" s="190" t="s">
        <v>693</v>
      </c>
      <c r="L78" s="192" t="s">
        <v>712</v>
      </c>
      <c r="M78" s="193" t="s">
        <v>2194</v>
      </c>
      <c r="N78" s="191"/>
      <c r="O78" s="191"/>
      <c r="P78" s="191"/>
      <c r="Q78" s="191"/>
      <c r="R78" s="191"/>
      <c r="S78" s="191"/>
      <c r="T78" s="191"/>
      <c r="U78" s="194"/>
      <c r="V78" s="194"/>
      <c r="W78" s="194"/>
      <c r="X78" s="194"/>
      <c r="Y78" s="194"/>
      <c r="Z78" s="194"/>
      <c r="AA78" s="194"/>
      <c r="AB78" s="194"/>
    </row>
    <row r="79" spans="1:28" s="195" customFormat="1">
      <c r="A79" s="189" t="s">
        <v>2210</v>
      </c>
      <c r="B79" s="189" t="s">
        <v>2210</v>
      </c>
      <c r="C79" s="190" t="s">
        <v>2211</v>
      </c>
      <c r="D79" s="190" t="s">
        <v>2211</v>
      </c>
      <c r="E79" s="190" t="s">
        <v>2211</v>
      </c>
      <c r="F79" s="192" t="s">
        <v>1795</v>
      </c>
      <c r="G79" s="190" t="s">
        <v>2212</v>
      </c>
      <c r="H79" s="190">
        <v>31</v>
      </c>
      <c r="I79" s="190">
        <v>0</v>
      </c>
      <c r="J79" s="192">
        <f t="shared" si="0"/>
        <v>32</v>
      </c>
      <c r="K79" s="190" t="s">
        <v>693</v>
      </c>
      <c r="L79" s="192" t="s">
        <v>712</v>
      </c>
      <c r="M79" s="193" t="s">
        <v>2194</v>
      </c>
      <c r="N79" s="191"/>
      <c r="O79" s="191"/>
      <c r="P79" s="191"/>
      <c r="Q79" s="191"/>
      <c r="R79" s="191"/>
      <c r="S79" s="191"/>
      <c r="T79" s="191"/>
      <c r="U79" s="194"/>
      <c r="V79" s="194"/>
      <c r="W79" s="194"/>
      <c r="X79" s="194"/>
      <c r="Y79" s="194"/>
      <c r="Z79" s="194"/>
      <c r="AA79" s="194"/>
      <c r="AB79" s="194"/>
    </row>
    <row r="80" spans="1:28" s="195" customFormat="1">
      <c r="A80" s="189" t="s">
        <v>2213</v>
      </c>
      <c r="B80" s="189" t="s">
        <v>2213</v>
      </c>
      <c r="C80" s="190" t="s">
        <v>2214</v>
      </c>
      <c r="D80" s="190" t="s">
        <v>2214</v>
      </c>
      <c r="E80" s="190" t="s">
        <v>2214</v>
      </c>
      <c r="F80" s="192" t="s">
        <v>1795</v>
      </c>
      <c r="G80" s="190" t="s">
        <v>2215</v>
      </c>
      <c r="H80" s="190">
        <v>31</v>
      </c>
      <c r="I80" s="190">
        <v>0</v>
      </c>
      <c r="J80" s="192">
        <f t="shared" si="0"/>
        <v>32</v>
      </c>
      <c r="K80" s="190" t="s">
        <v>693</v>
      </c>
      <c r="L80" s="192" t="s">
        <v>712</v>
      </c>
      <c r="M80" s="193" t="s">
        <v>2194</v>
      </c>
      <c r="N80" s="191"/>
      <c r="O80" s="191"/>
      <c r="P80" s="191"/>
      <c r="Q80" s="191"/>
      <c r="R80" s="191"/>
      <c r="S80" s="191"/>
      <c r="T80" s="191"/>
      <c r="U80" s="194"/>
      <c r="V80" s="194"/>
      <c r="W80" s="194"/>
      <c r="X80" s="194"/>
      <c r="Y80" s="194"/>
      <c r="Z80" s="194"/>
      <c r="AA80" s="194"/>
      <c r="AB80" s="194"/>
    </row>
    <row r="81" spans="1:28" s="195" customFormat="1">
      <c r="A81" s="189" t="s">
        <v>2216</v>
      </c>
      <c r="B81" s="189" t="s">
        <v>2216</v>
      </c>
      <c r="C81" s="190" t="s">
        <v>2217</v>
      </c>
      <c r="D81" s="190" t="s">
        <v>2217</v>
      </c>
      <c r="E81" s="190" t="s">
        <v>2217</v>
      </c>
      <c r="F81" s="192" t="s">
        <v>1795</v>
      </c>
      <c r="G81" s="190" t="s">
        <v>2218</v>
      </c>
      <c r="H81" s="190">
        <v>31</v>
      </c>
      <c r="I81" s="190">
        <v>0</v>
      </c>
      <c r="J81" s="192">
        <f t="shared" si="0"/>
        <v>32</v>
      </c>
      <c r="K81" s="190" t="s">
        <v>693</v>
      </c>
      <c r="L81" s="192" t="s">
        <v>712</v>
      </c>
      <c r="M81" s="193" t="s">
        <v>2194</v>
      </c>
      <c r="N81" s="191"/>
      <c r="O81" s="191"/>
      <c r="P81" s="191"/>
      <c r="Q81" s="191"/>
      <c r="R81" s="191"/>
      <c r="S81" s="191"/>
      <c r="T81" s="191"/>
      <c r="U81" s="194"/>
      <c r="V81" s="194"/>
      <c r="W81" s="194"/>
      <c r="X81" s="194"/>
      <c r="Y81" s="194"/>
      <c r="Z81" s="194"/>
      <c r="AA81" s="194"/>
      <c r="AB81" s="194"/>
    </row>
    <row r="82" spans="1:28" s="195" customFormat="1">
      <c r="A82" s="189" t="s">
        <v>2219</v>
      </c>
      <c r="B82" s="189" t="s">
        <v>2219</v>
      </c>
      <c r="C82" s="190" t="s">
        <v>2220</v>
      </c>
      <c r="D82" s="190" t="s">
        <v>2220</v>
      </c>
      <c r="E82" s="190" t="s">
        <v>2220</v>
      </c>
      <c r="F82" s="192" t="s">
        <v>1795</v>
      </c>
      <c r="G82" s="190" t="s">
        <v>2221</v>
      </c>
      <c r="H82" s="190">
        <v>31</v>
      </c>
      <c r="I82" s="190">
        <v>0</v>
      </c>
      <c r="J82" s="192">
        <f t="shared" si="0"/>
        <v>32</v>
      </c>
      <c r="K82" s="190" t="s">
        <v>693</v>
      </c>
      <c r="L82" s="192" t="s">
        <v>712</v>
      </c>
      <c r="M82" s="193" t="s">
        <v>2194</v>
      </c>
      <c r="N82" s="191"/>
      <c r="O82" s="191"/>
      <c r="P82" s="191"/>
      <c r="Q82" s="191"/>
      <c r="R82" s="191"/>
      <c r="S82" s="191"/>
      <c r="T82" s="191"/>
      <c r="U82" s="194"/>
      <c r="V82" s="194"/>
      <c r="W82" s="194"/>
      <c r="X82" s="194"/>
      <c r="Y82" s="194"/>
      <c r="Z82" s="194"/>
      <c r="AA82" s="194"/>
      <c r="AB82" s="194"/>
    </row>
    <row r="83" spans="1:28" s="195" customFormat="1">
      <c r="A83" s="189" t="s">
        <v>2222</v>
      </c>
      <c r="B83" s="189" t="s">
        <v>2222</v>
      </c>
      <c r="C83" s="190" t="s">
        <v>2223</v>
      </c>
      <c r="D83" s="190" t="s">
        <v>2223</v>
      </c>
      <c r="E83" s="190" t="s">
        <v>2223</v>
      </c>
      <c r="F83" s="192" t="s">
        <v>1795</v>
      </c>
      <c r="G83" s="190" t="s">
        <v>2224</v>
      </c>
      <c r="H83" s="190">
        <v>31</v>
      </c>
      <c r="I83" s="190">
        <v>0</v>
      </c>
      <c r="J83" s="192">
        <f t="shared" si="0"/>
        <v>32</v>
      </c>
      <c r="K83" s="190" t="s">
        <v>693</v>
      </c>
      <c r="L83" s="192" t="s">
        <v>712</v>
      </c>
      <c r="M83" s="193" t="s">
        <v>2194</v>
      </c>
      <c r="N83" s="191"/>
      <c r="O83" s="191"/>
      <c r="P83" s="191"/>
      <c r="Q83" s="191"/>
      <c r="R83" s="191"/>
      <c r="S83" s="191"/>
      <c r="T83" s="191"/>
      <c r="U83" s="194"/>
      <c r="V83" s="194"/>
      <c r="W83" s="194"/>
      <c r="X83" s="194"/>
      <c r="Y83" s="194"/>
      <c r="Z83" s="194"/>
      <c r="AA83" s="194"/>
      <c r="AB83" s="194"/>
    </row>
    <row r="84" spans="1:28" s="197" customFormat="1">
      <c r="A84" s="189" t="s">
        <v>2225</v>
      </c>
      <c r="B84" s="189" t="s">
        <v>2225</v>
      </c>
      <c r="C84" s="190" t="s">
        <v>2226</v>
      </c>
      <c r="D84" s="190" t="s">
        <v>2226</v>
      </c>
      <c r="E84" s="190" t="s">
        <v>2226</v>
      </c>
      <c r="F84" s="192" t="s">
        <v>1795</v>
      </c>
      <c r="G84" s="190" t="s">
        <v>2227</v>
      </c>
      <c r="H84" s="190">
        <v>31</v>
      </c>
      <c r="I84" s="190">
        <v>0</v>
      </c>
      <c r="J84" s="192">
        <f t="shared" si="0"/>
        <v>32</v>
      </c>
      <c r="K84" s="190" t="s">
        <v>693</v>
      </c>
      <c r="L84" s="192" t="s">
        <v>712</v>
      </c>
      <c r="M84" s="193" t="s">
        <v>2194</v>
      </c>
      <c r="N84" s="196"/>
      <c r="O84" s="196"/>
      <c r="P84" s="196"/>
      <c r="Q84" s="196"/>
      <c r="R84" s="196"/>
      <c r="S84" s="196"/>
      <c r="T84" s="196"/>
      <c r="U84" s="196"/>
      <c r="V84" s="196"/>
      <c r="W84" s="196"/>
      <c r="X84" s="196"/>
      <c r="Y84" s="196"/>
      <c r="Z84" s="196"/>
      <c r="AA84" s="196"/>
      <c r="AB84" s="196"/>
    </row>
    <row r="85" spans="1:28" s="197" customFormat="1">
      <c r="A85" s="189" t="s">
        <v>2228</v>
      </c>
      <c r="B85" s="189" t="s">
        <v>2228</v>
      </c>
      <c r="C85" s="190" t="s">
        <v>2229</v>
      </c>
      <c r="D85" s="190" t="s">
        <v>2229</v>
      </c>
      <c r="E85" s="190" t="s">
        <v>2229</v>
      </c>
      <c r="F85" s="192" t="s">
        <v>1795</v>
      </c>
      <c r="G85" s="190" t="s">
        <v>2230</v>
      </c>
      <c r="H85" s="190">
        <v>31</v>
      </c>
      <c r="I85" s="190">
        <v>0</v>
      </c>
      <c r="J85" s="192">
        <f t="shared" si="0"/>
        <v>32</v>
      </c>
      <c r="K85" s="190" t="s">
        <v>693</v>
      </c>
      <c r="L85" s="192" t="s">
        <v>712</v>
      </c>
      <c r="M85" s="193" t="s">
        <v>2194</v>
      </c>
      <c r="N85" s="196"/>
      <c r="O85" s="196"/>
      <c r="P85" s="196"/>
      <c r="Q85" s="196"/>
      <c r="R85" s="196"/>
      <c r="S85" s="196"/>
      <c r="T85" s="196"/>
      <c r="U85" s="196"/>
      <c r="V85" s="196"/>
      <c r="W85" s="196"/>
      <c r="X85" s="196"/>
      <c r="Y85" s="196"/>
      <c r="Z85" s="196"/>
      <c r="AA85" s="196"/>
      <c r="AB85" s="196"/>
    </row>
    <row r="86" spans="1:28" s="197" customFormat="1">
      <c r="A86" s="189" t="s">
        <v>2231</v>
      </c>
      <c r="B86" s="189" t="s">
        <v>2231</v>
      </c>
      <c r="C86" s="190" t="s">
        <v>2232</v>
      </c>
      <c r="D86" s="190" t="s">
        <v>2232</v>
      </c>
      <c r="E86" s="190" t="s">
        <v>2232</v>
      </c>
      <c r="F86" s="192" t="s">
        <v>1795</v>
      </c>
      <c r="G86" s="190" t="s">
        <v>2233</v>
      </c>
      <c r="H86" s="190">
        <v>31</v>
      </c>
      <c r="I86" s="190">
        <v>0</v>
      </c>
      <c r="J86" s="192">
        <f t="shared" si="0"/>
        <v>32</v>
      </c>
      <c r="K86" s="190" t="s">
        <v>693</v>
      </c>
      <c r="L86" s="192" t="s">
        <v>712</v>
      </c>
      <c r="M86" s="193" t="s">
        <v>2194</v>
      </c>
      <c r="N86" s="196"/>
      <c r="O86" s="196"/>
      <c r="P86" s="196"/>
      <c r="Q86" s="196"/>
      <c r="R86" s="196"/>
      <c r="S86" s="196"/>
      <c r="T86" s="196"/>
      <c r="U86" s="196"/>
      <c r="V86" s="196"/>
      <c r="W86" s="196"/>
      <c r="X86" s="196"/>
      <c r="Y86" s="196"/>
      <c r="Z86" s="196"/>
      <c r="AA86" s="196"/>
      <c r="AB86" s="196"/>
    </row>
    <row r="87" spans="1:28" s="197" customFormat="1">
      <c r="A87" s="189" t="s">
        <v>2234</v>
      </c>
      <c r="B87" s="189" t="s">
        <v>2234</v>
      </c>
      <c r="C87" s="190" t="s">
        <v>2235</v>
      </c>
      <c r="D87" s="190" t="s">
        <v>2235</v>
      </c>
      <c r="E87" s="190" t="s">
        <v>2235</v>
      </c>
      <c r="F87" s="192" t="s">
        <v>1795</v>
      </c>
      <c r="G87" s="190" t="s">
        <v>2236</v>
      </c>
      <c r="H87" s="190">
        <v>31</v>
      </c>
      <c r="I87" s="190">
        <v>0</v>
      </c>
      <c r="J87" s="192">
        <f t="shared" si="0"/>
        <v>32</v>
      </c>
      <c r="K87" s="190" t="s">
        <v>693</v>
      </c>
      <c r="L87" s="192" t="s">
        <v>712</v>
      </c>
      <c r="M87" s="193" t="s">
        <v>2194</v>
      </c>
      <c r="N87" s="196"/>
      <c r="O87" s="196"/>
      <c r="P87" s="196"/>
      <c r="Q87" s="196"/>
      <c r="R87" s="196"/>
      <c r="S87" s="196"/>
      <c r="T87" s="196"/>
      <c r="U87" s="196"/>
      <c r="V87" s="196"/>
      <c r="W87" s="196"/>
      <c r="X87" s="196"/>
      <c r="Y87" s="196"/>
      <c r="Z87" s="196"/>
      <c r="AA87" s="196"/>
      <c r="AB87" s="196"/>
    </row>
    <row r="88" spans="1:28" s="197" customFormat="1">
      <c r="A88" s="189" t="s">
        <v>2237</v>
      </c>
      <c r="B88" s="189" t="s">
        <v>2237</v>
      </c>
      <c r="C88" s="190" t="s">
        <v>2238</v>
      </c>
      <c r="D88" s="190" t="s">
        <v>2238</v>
      </c>
      <c r="E88" s="190" t="s">
        <v>2238</v>
      </c>
      <c r="F88" s="192" t="s">
        <v>1795</v>
      </c>
      <c r="G88" s="190" t="s">
        <v>2239</v>
      </c>
      <c r="H88" s="190">
        <v>31</v>
      </c>
      <c r="I88" s="190">
        <v>0</v>
      </c>
      <c r="J88" s="192">
        <f t="shared" ref="J88:J104" si="1">H88-I88+1</f>
        <v>32</v>
      </c>
      <c r="K88" s="190" t="s">
        <v>693</v>
      </c>
      <c r="L88" s="192" t="s">
        <v>712</v>
      </c>
      <c r="M88" s="193" t="s">
        <v>2194</v>
      </c>
      <c r="N88" s="196"/>
      <c r="O88" s="196"/>
      <c r="P88" s="196"/>
      <c r="Q88" s="196"/>
      <c r="R88" s="196"/>
      <c r="S88" s="196"/>
      <c r="T88" s="196"/>
      <c r="U88" s="196"/>
      <c r="V88" s="196"/>
      <c r="W88" s="196"/>
      <c r="X88" s="196"/>
      <c r="Y88" s="196"/>
      <c r="Z88" s="196"/>
      <c r="AA88" s="196"/>
      <c r="AB88" s="196"/>
    </row>
    <row r="89" spans="1:28" s="197" customFormat="1">
      <c r="A89" s="189" t="s">
        <v>2240</v>
      </c>
      <c r="B89" s="189" t="s">
        <v>2240</v>
      </c>
      <c r="C89" s="190" t="s">
        <v>2241</v>
      </c>
      <c r="D89" s="190" t="s">
        <v>2241</v>
      </c>
      <c r="E89" s="190" t="s">
        <v>2241</v>
      </c>
      <c r="F89" s="192" t="s">
        <v>1795</v>
      </c>
      <c r="G89" s="190" t="s">
        <v>2242</v>
      </c>
      <c r="H89" s="190">
        <v>31</v>
      </c>
      <c r="I89" s="190">
        <v>0</v>
      </c>
      <c r="J89" s="192">
        <f t="shared" si="1"/>
        <v>32</v>
      </c>
      <c r="K89" s="190" t="s">
        <v>693</v>
      </c>
      <c r="L89" s="192" t="s">
        <v>712</v>
      </c>
      <c r="M89" s="193" t="s">
        <v>2194</v>
      </c>
      <c r="N89" s="196"/>
      <c r="O89" s="196"/>
      <c r="P89" s="196"/>
      <c r="Q89" s="196"/>
      <c r="R89" s="196"/>
      <c r="S89" s="196"/>
      <c r="T89" s="196"/>
      <c r="U89" s="196"/>
      <c r="V89" s="196"/>
      <c r="W89" s="196"/>
      <c r="X89" s="196"/>
      <c r="Y89" s="196"/>
      <c r="Z89" s="196"/>
      <c r="AA89" s="196"/>
      <c r="AB89" s="196"/>
    </row>
    <row r="90" spans="1:28" s="197" customFormat="1">
      <c r="A90" s="189" t="s">
        <v>2243</v>
      </c>
      <c r="B90" s="189" t="s">
        <v>2243</v>
      </c>
      <c r="C90" s="190" t="s">
        <v>2244</v>
      </c>
      <c r="D90" s="190" t="s">
        <v>2244</v>
      </c>
      <c r="E90" s="190" t="s">
        <v>2244</v>
      </c>
      <c r="F90" s="192" t="s">
        <v>1795</v>
      </c>
      <c r="G90" s="190" t="s">
        <v>2245</v>
      </c>
      <c r="H90" s="190">
        <v>31</v>
      </c>
      <c r="I90" s="190">
        <v>0</v>
      </c>
      <c r="J90" s="192">
        <f t="shared" si="1"/>
        <v>32</v>
      </c>
      <c r="K90" s="190" t="s">
        <v>693</v>
      </c>
      <c r="L90" s="192" t="s">
        <v>712</v>
      </c>
      <c r="M90" s="193" t="s">
        <v>2194</v>
      </c>
      <c r="N90" s="196"/>
      <c r="O90" s="196"/>
      <c r="P90" s="196"/>
      <c r="Q90" s="196"/>
      <c r="R90" s="196"/>
      <c r="S90" s="196"/>
      <c r="T90" s="196"/>
      <c r="U90" s="196"/>
      <c r="V90" s="196"/>
      <c r="W90" s="196"/>
      <c r="X90" s="196"/>
      <c r="Y90" s="196"/>
      <c r="Z90" s="196"/>
      <c r="AA90" s="196"/>
      <c r="AB90" s="196"/>
    </row>
    <row r="91" spans="1:28" s="197" customFormat="1">
      <c r="A91" s="189" t="s">
        <v>2246</v>
      </c>
      <c r="B91" s="189" t="s">
        <v>2246</v>
      </c>
      <c r="C91" s="190" t="s">
        <v>2247</v>
      </c>
      <c r="D91" s="190" t="s">
        <v>2247</v>
      </c>
      <c r="E91" s="190" t="s">
        <v>2247</v>
      </c>
      <c r="F91" s="192" t="s">
        <v>1795</v>
      </c>
      <c r="G91" s="190" t="s">
        <v>2248</v>
      </c>
      <c r="H91" s="190">
        <v>31</v>
      </c>
      <c r="I91" s="190">
        <v>0</v>
      </c>
      <c r="J91" s="192">
        <f t="shared" si="1"/>
        <v>32</v>
      </c>
      <c r="K91" s="190" t="s">
        <v>693</v>
      </c>
      <c r="L91" s="192" t="s">
        <v>712</v>
      </c>
      <c r="M91" s="193" t="s">
        <v>2194</v>
      </c>
      <c r="N91" s="196"/>
      <c r="O91" s="196"/>
      <c r="P91" s="196"/>
      <c r="Q91" s="196"/>
      <c r="R91" s="196"/>
      <c r="S91" s="196"/>
      <c r="T91" s="196"/>
      <c r="U91" s="196"/>
      <c r="V91" s="196"/>
      <c r="W91" s="196"/>
      <c r="X91" s="196"/>
      <c r="Y91" s="196"/>
      <c r="Z91" s="196"/>
      <c r="AA91" s="196"/>
      <c r="AB91" s="196"/>
    </row>
    <row r="92" spans="1:28" s="197" customFormat="1">
      <c r="A92" s="189" t="s">
        <v>2249</v>
      </c>
      <c r="B92" s="189" t="s">
        <v>2249</v>
      </c>
      <c r="C92" s="190" t="s">
        <v>2250</v>
      </c>
      <c r="D92" s="190" t="s">
        <v>2250</v>
      </c>
      <c r="E92" s="190" t="s">
        <v>2250</v>
      </c>
      <c r="F92" s="192" t="s">
        <v>1795</v>
      </c>
      <c r="G92" s="190" t="s">
        <v>2251</v>
      </c>
      <c r="H92" s="190">
        <v>31</v>
      </c>
      <c r="I92" s="190">
        <v>0</v>
      </c>
      <c r="J92" s="192">
        <f t="shared" si="1"/>
        <v>32</v>
      </c>
      <c r="K92" s="190" t="s">
        <v>693</v>
      </c>
      <c r="L92" s="192" t="s">
        <v>712</v>
      </c>
      <c r="M92" s="193" t="s">
        <v>2194</v>
      </c>
      <c r="N92" s="196"/>
      <c r="O92" s="196"/>
      <c r="P92" s="196"/>
      <c r="Q92" s="196"/>
      <c r="R92" s="196"/>
      <c r="S92" s="196"/>
      <c r="T92" s="196"/>
      <c r="U92" s="196"/>
      <c r="V92" s="196"/>
      <c r="W92" s="196"/>
      <c r="X92" s="196"/>
      <c r="Y92" s="196"/>
      <c r="Z92" s="196"/>
      <c r="AA92" s="196"/>
      <c r="AB92" s="196"/>
    </row>
    <row r="93" spans="1:28" s="197" customFormat="1">
      <c r="A93" s="189" t="s">
        <v>2252</v>
      </c>
      <c r="B93" s="189" t="s">
        <v>2252</v>
      </c>
      <c r="C93" s="190" t="s">
        <v>2253</v>
      </c>
      <c r="D93" s="190" t="s">
        <v>2253</v>
      </c>
      <c r="E93" s="190" t="s">
        <v>2253</v>
      </c>
      <c r="F93" s="192" t="s">
        <v>1795</v>
      </c>
      <c r="G93" s="190" t="s">
        <v>2254</v>
      </c>
      <c r="H93" s="190">
        <v>31</v>
      </c>
      <c r="I93" s="190">
        <v>0</v>
      </c>
      <c r="J93" s="192">
        <f t="shared" si="1"/>
        <v>32</v>
      </c>
      <c r="K93" s="190" t="s">
        <v>693</v>
      </c>
      <c r="L93" s="192" t="s">
        <v>712</v>
      </c>
      <c r="M93" s="193" t="s">
        <v>2194</v>
      </c>
      <c r="N93" s="196"/>
      <c r="O93" s="196"/>
      <c r="P93" s="196"/>
      <c r="Q93" s="196"/>
      <c r="R93" s="196"/>
      <c r="S93" s="196"/>
      <c r="T93" s="196"/>
      <c r="U93" s="196"/>
      <c r="V93" s="196"/>
      <c r="W93" s="196"/>
      <c r="X93" s="196"/>
      <c r="Y93" s="196"/>
      <c r="Z93" s="196"/>
      <c r="AA93" s="196"/>
      <c r="AB93" s="196"/>
    </row>
    <row r="94" spans="1:28" s="197" customFormat="1">
      <c r="A94" s="189" t="s">
        <v>2255</v>
      </c>
      <c r="B94" s="189" t="s">
        <v>2255</v>
      </c>
      <c r="C94" s="190" t="s">
        <v>2256</v>
      </c>
      <c r="D94" s="190" t="s">
        <v>2256</v>
      </c>
      <c r="E94" s="190" t="s">
        <v>2256</v>
      </c>
      <c r="F94" s="192" t="s">
        <v>1795</v>
      </c>
      <c r="G94" s="190" t="s">
        <v>2257</v>
      </c>
      <c r="H94" s="190">
        <v>31</v>
      </c>
      <c r="I94" s="190">
        <v>0</v>
      </c>
      <c r="J94" s="192">
        <f t="shared" si="1"/>
        <v>32</v>
      </c>
      <c r="K94" s="190" t="s">
        <v>693</v>
      </c>
      <c r="L94" s="192" t="s">
        <v>712</v>
      </c>
      <c r="M94" s="193" t="s">
        <v>2194</v>
      </c>
      <c r="N94" s="196"/>
      <c r="O94" s="196"/>
      <c r="P94" s="196"/>
      <c r="Q94" s="196"/>
      <c r="R94" s="196"/>
      <c r="S94" s="196"/>
      <c r="T94" s="196"/>
      <c r="U94" s="196"/>
      <c r="V94" s="196"/>
      <c r="W94" s="196"/>
      <c r="X94" s="196"/>
      <c r="Y94" s="196"/>
      <c r="Z94" s="196"/>
      <c r="AA94" s="196"/>
      <c r="AB94" s="196"/>
    </row>
    <row r="95" spans="1:28" s="197" customFormat="1">
      <c r="A95" s="189" t="s">
        <v>2258</v>
      </c>
      <c r="B95" s="189" t="s">
        <v>2258</v>
      </c>
      <c r="C95" s="190" t="s">
        <v>2259</v>
      </c>
      <c r="D95" s="190" t="s">
        <v>2259</v>
      </c>
      <c r="E95" s="190" t="s">
        <v>2259</v>
      </c>
      <c r="F95" s="192" t="s">
        <v>1795</v>
      </c>
      <c r="G95" s="190" t="s">
        <v>2260</v>
      </c>
      <c r="H95" s="190">
        <v>31</v>
      </c>
      <c r="I95" s="190">
        <v>0</v>
      </c>
      <c r="J95" s="192">
        <f t="shared" si="1"/>
        <v>32</v>
      </c>
      <c r="K95" s="190" t="s">
        <v>693</v>
      </c>
      <c r="L95" s="192" t="s">
        <v>712</v>
      </c>
      <c r="M95" s="193" t="s">
        <v>2194</v>
      </c>
      <c r="N95" s="196"/>
      <c r="O95" s="196"/>
      <c r="P95" s="196"/>
      <c r="Q95" s="196"/>
      <c r="R95" s="196"/>
      <c r="S95" s="196"/>
      <c r="T95" s="196"/>
      <c r="U95" s="196"/>
      <c r="V95" s="196"/>
      <c r="W95" s="196"/>
      <c r="X95" s="196"/>
      <c r="Y95" s="196"/>
      <c r="Z95" s="196"/>
      <c r="AA95" s="196"/>
      <c r="AB95" s="196"/>
    </row>
    <row r="96" spans="1:28" s="197" customFormat="1">
      <c r="A96" s="189" t="s">
        <v>2261</v>
      </c>
      <c r="B96" s="189" t="s">
        <v>2261</v>
      </c>
      <c r="C96" s="190" t="s">
        <v>2262</v>
      </c>
      <c r="D96" s="190" t="s">
        <v>2262</v>
      </c>
      <c r="E96" s="190" t="s">
        <v>2262</v>
      </c>
      <c r="F96" s="192" t="s">
        <v>1795</v>
      </c>
      <c r="G96" s="190" t="s">
        <v>2263</v>
      </c>
      <c r="H96" s="190">
        <v>31</v>
      </c>
      <c r="I96" s="190">
        <v>0</v>
      </c>
      <c r="J96" s="192">
        <f t="shared" si="1"/>
        <v>32</v>
      </c>
      <c r="K96" s="190" t="s">
        <v>693</v>
      </c>
      <c r="L96" s="192" t="s">
        <v>712</v>
      </c>
      <c r="M96" s="193" t="s">
        <v>2194</v>
      </c>
      <c r="N96" s="196"/>
      <c r="O96" s="196"/>
      <c r="P96" s="196"/>
      <c r="Q96" s="196"/>
      <c r="R96" s="196"/>
      <c r="S96" s="196"/>
      <c r="T96" s="196"/>
      <c r="U96" s="196"/>
      <c r="V96" s="196"/>
      <c r="W96" s="196"/>
      <c r="X96" s="196"/>
      <c r="Y96" s="196"/>
      <c r="Z96" s="196"/>
      <c r="AA96" s="196"/>
      <c r="AB96" s="196"/>
    </row>
    <row r="97" spans="1:28" s="197" customFormat="1">
      <c r="A97" s="189" t="s">
        <v>2264</v>
      </c>
      <c r="B97" s="189" t="s">
        <v>2264</v>
      </c>
      <c r="C97" s="190" t="s">
        <v>2265</v>
      </c>
      <c r="D97" s="190" t="s">
        <v>2265</v>
      </c>
      <c r="E97" s="190" t="s">
        <v>2265</v>
      </c>
      <c r="F97" s="192" t="s">
        <v>1795</v>
      </c>
      <c r="G97" s="190" t="s">
        <v>2266</v>
      </c>
      <c r="H97" s="190">
        <v>31</v>
      </c>
      <c r="I97" s="190">
        <v>0</v>
      </c>
      <c r="J97" s="192">
        <f t="shared" si="1"/>
        <v>32</v>
      </c>
      <c r="K97" s="190" t="s">
        <v>693</v>
      </c>
      <c r="L97" s="192" t="s">
        <v>712</v>
      </c>
      <c r="M97" s="193" t="s">
        <v>2194</v>
      </c>
      <c r="N97" s="196"/>
      <c r="O97" s="196"/>
      <c r="P97" s="196"/>
      <c r="Q97" s="196"/>
      <c r="R97" s="196"/>
      <c r="S97" s="196"/>
      <c r="T97" s="196"/>
      <c r="U97" s="196"/>
      <c r="V97" s="196"/>
      <c r="W97" s="196"/>
      <c r="X97" s="196"/>
      <c r="Y97" s="196"/>
      <c r="Z97" s="196"/>
      <c r="AA97" s="196"/>
      <c r="AB97" s="196"/>
    </row>
    <row r="98" spans="1:28" s="197" customFormat="1">
      <c r="A98" s="189" t="s">
        <v>2267</v>
      </c>
      <c r="B98" s="189" t="s">
        <v>2267</v>
      </c>
      <c r="C98" s="190" t="s">
        <v>2268</v>
      </c>
      <c r="D98" s="190" t="s">
        <v>2268</v>
      </c>
      <c r="E98" s="190" t="s">
        <v>2268</v>
      </c>
      <c r="F98" s="192" t="s">
        <v>1795</v>
      </c>
      <c r="G98" s="190" t="s">
        <v>2269</v>
      </c>
      <c r="H98" s="190">
        <v>31</v>
      </c>
      <c r="I98" s="190">
        <v>0</v>
      </c>
      <c r="J98" s="192">
        <f t="shared" si="1"/>
        <v>32</v>
      </c>
      <c r="K98" s="190" t="s">
        <v>693</v>
      </c>
      <c r="L98" s="192" t="s">
        <v>712</v>
      </c>
      <c r="M98" s="193" t="s">
        <v>2194</v>
      </c>
      <c r="N98" s="196"/>
      <c r="O98" s="196"/>
      <c r="P98" s="196"/>
      <c r="Q98" s="196"/>
      <c r="R98" s="196"/>
      <c r="S98" s="196"/>
      <c r="T98" s="196"/>
      <c r="U98" s="196"/>
      <c r="V98" s="196"/>
      <c r="W98" s="196"/>
      <c r="X98" s="196"/>
      <c r="Y98" s="196"/>
      <c r="Z98" s="196"/>
      <c r="AA98" s="196"/>
      <c r="AB98" s="196"/>
    </row>
    <row r="99" spans="1:28" s="197" customFormat="1">
      <c r="A99" s="189" t="s">
        <v>2270</v>
      </c>
      <c r="B99" s="189" t="s">
        <v>2270</v>
      </c>
      <c r="C99" s="190" t="s">
        <v>2271</v>
      </c>
      <c r="D99" s="190" t="s">
        <v>2271</v>
      </c>
      <c r="E99" s="190" t="s">
        <v>2271</v>
      </c>
      <c r="F99" s="192" t="s">
        <v>1795</v>
      </c>
      <c r="G99" s="190" t="s">
        <v>2272</v>
      </c>
      <c r="H99" s="190">
        <v>31</v>
      </c>
      <c r="I99" s="190">
        <v>0</v>
      </c>
      <c r="J99" s="192">
        <f t="shared" si="1"/>
        <v>32</v>
      </c>
      <c r="K99" s="190" t="s">
        <v>693</v>
      </c>
      <c r="L99" s="192" t="s">
        <v>712</v>
      </c>
      <c r="M99" s="193" t="s">
        <v>2194</v>
      </c>
      <c r="N99" s="196"/>
      <c r="O99" s="196"/>
      <c r="P99" s="196"/>
      <c r="Q99" s="196"/>
      <c r="R99" s="196"/>
      <c r="S99" s="196"/>
      <c r="T99" s="196"/>
      <c r="U99" s="196"/>
      <c r="V99" s="196"/>
      <c r="W99" s="196"/>
      <c r="X99" s="196"/>
      <c r="Y99" s="196"/>
      <c r="Z99" s="196"/>
      <c r="AA99" s="196"/>
      <c r="AB99" s="196"/>
    </row>
    <row r="100" spans="1:28" s="197" customFormat="1">
      <c r="A100" s="189" t="s">
        <v>2273</v>
      </c>
      <c r="B100" s="189" t="s">
        <v>2273</v>
      </c>
      <c r="C100" s="190" t="s">
        <v>2274</v>
      </c>
      <c r="D100" s="190" t="s">
        <v>2274</v>
      </c>
      <c r="E100" s="190" t="s">
        <v>2274</v>
      </c>
      <c r="F100" s="192" t="s">
        <v>1795</v>
      </c>
      <c r="G100" s="190" t="s">
        <v>2275</v>
      </c>
      <c r="H100" s="190">
        <v>31</v>
      </c>
      <c r="I100" s="190">
        <v>0</v>
      </c>
      <c r="J100" s="192">
        <f t="shared" si="1"/>
        <v>32</v>
      </c>
      <c r="K100" s="190" t="s">
        <v>693</v>
      </c>
      <c r="L100" s="192" t="s">
        <v>712</v>
      </c>
      <c r="M100" s="193" t="s">
        <v>2194</v>
      </c>
      <c r="N100" s="196"/>
      <c r="O100" s="196"/>
      <c r="P100" s="196"/>
      <c r="Q100" s="196"/>
      <c r="R100" s="196"/>
      <c r="S100" s="196"/>
      <c r="T100" s="196"/>
      <c r="U100" s="196"/>
      <c r="V100" s="196"/>
      <c r="W100" s="196"/>
      <c r="X100" s="196"/>
      <c r="Y100" s="196"/>
      <c r="Z100" s="196"/>
      <c r="AA100" s="196"/>
      <c r="AB100" s="196"/>
    </row>
    <row r="101" spans="1:28" s="197" customFormat="1">
      <c r="A101" s="189" t="s">
        <v>2276</v>
      </c>
      <c r="B101" s="189" t="s">
        <v>2276</v>
      </c>
      <c r="C101" s="190" t="s">
        <v>2277</v>
      </c>
      <c r="D101" s="190" t="s">
        <v>2277</v>
      </c>
      <c r="E101" s="190" t="s">
        <v>2277</v>
      </c>
      <c r="F101" s="192" t="s">
        <v>1795</v>
      </c>
      <c r="G101" s="190" t="s">
        <v>2278</v>
      </c>
      <c r="H101" s="190">
        <v>31</v>
      </c>
      <c r="I101" s="190">
        <v>0</v>
      </c>
      <c r="J101" s="192">
        <f t="shared" si="1"/>
        <v>32</v>
      </c>
      <c r="K101" s="190" t="s">
        <v>693</v>
      </c>
      <c r="L101" s="192" t="s">
        <v>712</v>
      </c>
      <c r="M101" s="193" t="s">
        <v>2194</v>
      </c>
      <c r="N101" s="196"/>
      <c r="O101" s="196"/>
      <c r="P101" s="196"/>
      <c r="Q101" s="196"/>
      <c r="R101" s="196"/>
      <c r="S101" s="196"/>
      <c r="T101" s="196"/>
      <c r="U101" s="196"/>
      <c r="V101" s="196"/>
      <c r="W101" s="196"/>
      <c r="X101" s="196"/>
      <c r="Y101" s="196"/>
      <c r="Z101" s="196"/>
      <c r="AA101" s="196"/>
      <c r="AB101" s="196"/>
    </row>
    <row r="102" spans="1:28" s="197" customFormat="1">
      <c r="A102" s="189" t="s">
        <v>2279</v>
      </c>
      <c r="B102" s="189" t="s">
        <v>2279</v>
      </c>
      <c r="C102" s="190" t="s">
        <v>2280</v>
      </c>
      <c r="D102" s="190" t="s">
        <v>2280</v>
      </c>
      <c r="E102" s="190" t="s">
        <v>2280</v>
      </c>
      <c r="F102" s="192" t="s">
        <v>1795</v>
      </c>
      <c r="G102" s="190" t="s">
        <v>2281</v>
      </c>
      <c r="H102" s="190">
        <v>31</v>
      </c>
      <c r="I102" s="190">
        <v>0</v>
      </c>
      <c r="J102" s="192">
        <f t="shared" si="1"/>
        <v>32</v>
      </c>
      <c r="K102" s="190" t="s">
        <v>693</v>
      </c>
      <c r="L102" s="192" t="s">
        <v>712</v>
      </c>
      <c r="M102" s="193" t="s">
        <v>2194</v>
      </c>
      <c r="N102" s="196"/>
      <c r="O102" s="196"/>
      <c r="P102" s="196"/>
      <c r="Q102" s="196"/>
      <c r="R102" s="196"/>
      <c r="S102" s="196"/>
      <c r="T102" s="196"/>
      <c r="U102" s="196"/>
      <c r="V102" s="196"/>
      <c r="W102" s="196"/>
      <c r="X102" s="196"/>
      <c r="Y102" s="196"/>
      <c r="Z102" s="196"/>
      <c r="AA102" s="196"/>
      <c r="AB102" s="196"/>
    </row>
    <row r="103" spans="1:28" s="197" customFormat="1">
      <c r="A103" s="189" t="s">
        <v>2282</v>
      </c>
      <c r="B103" s="189" t="s">
        <v>2282</v>
      </c>
      <c r="C103" s="190" t="s">
        <v>2283</v>
      </c>
      <c r="D103" s="190" t="s">
        <v>2283</v>
      </c>
      <c r="E103" s="190" t="s">
        <v>2283</v>
      </c>
      <c r="F103" s="192" t="s">
        <v>1795</v>
      </c>
      <c r="G103" s="190" t="s">
        <v>2284</v>
      </c>
      <c r="H103" s="190">
        <v>31</v>
      </c>
      <c r="I103" s="190">
        <v>0</v>
      </c>
      <c r="J103" s="192">
        <f t="shared" si="1"/>
        <v>32</v>
      </c>
      <c r="K103" s="190" t="s">
        <v>693</v>
      </c>
      <c r="L103" s="192" t="s">
        <v>712</v>
      </c>
      <c r="M103" s="193" t="s">
        <v>2194</v>
      </c>
      <c r="N103" s="196"/>
      <c r="O103" s="196"/>
      <c r="P103" s="196"/>
      <c r="Q103" s="196"/>
      <c r="R103" s="196"/>
      <c r="S103" s="196"/>
      <c r="T103" s="196"/>
      <c r="U103" s="196"/>
      <c r="V103" s="196"/>
      <c r="W103" s="196"/>
      <c r="X103" s="196"/>
      <c r="Y103" s="196"/>
      <c r="Z103" s="196"/>
      <c r="AA103" s="196"/>
      <c r="AB103" s="196"/>
    </row>
    <row r="104" spans="1:28" s="197" customFormat="1">
      <c r="A104" s="189" t="s">
        <v>2285</v>
      </c>
      <c r="B104" s="189" t="s">
        <v>2285</v>
      </c>
      <c r="C104" s="190" t="s">
        <v>2286</v>
      </c>
      <c r="D104" s="190" t="s">
        <v>2286</v>
      </c>
      <c r="E104" s="190" t="s">
        <v>2286</v>
      </c>
      <c r="F104" s="192" t="s">
        <v>1795</v>
      </c>
      <c r="G104" s="190" t="s">
        <v>2287</v>
      </c>
      <c r="H104" s="190">
        <v>31</v>
      </c>
      <c r="I104" s="190">
        <v>0</v>
      </c>
      <c r="J104" s="192">
        <f t="shared" si="1"/>
        <v>32</v>
      </c>
      <c r="K104" s="190" t="s">
        <v>693</v>
      </c>
      <c r="L104" s="192" t="s">
        <v>712</v>
      </c>
      <c r="M104" s="193" t="s">
        <v>2194</v>
      </c>
      <c r="N104" s="196"/>
      <c r="O104" s="196"/>
      <c r="P104" s="196"/>
      <c r="Q104" s="196"/>
      <c r="R104" s="196"/>
      <c r="S104" s="196"/>
      <c r="T104" s="196"/>
      <c r="U104" s="196"/>
      <c r="V104" s="196"/>
      <c r="W104" s="196"/>
      <c r="X104" s="196"/>
      <c r="Y104" s="196"/>
      <c r="Z104" s="196"/>
      <c r="AA104" s="196"/>
      <c r="AB104" s="196"/>
    </row>
    <row r="105" spans="1:28">
      <c r="A105" s="159" t="s">
        <v>1897</v>
      </c>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row>
  </sheetData>
  <mergeCells count="12">
    <mergeCell ref="E24:E29"/>
    <mergeCell ref="F24:F29"/>
    <mergeCell ref="A32:A36"/>
    <mergeCell ref="B32:B36"/>
    <mergeCell ref="C32:C36"/>
    <mergeCell ref="D32:D36"/>
    <mergeCell ref="E32:E36"/>
    <mergeCell ref="F32:F36"/>
    <mergeCell ref="A24:A29"/>
    <mergeCell ref="B24:B29"/>
    <mergeCell ref="C24:C29"/>
    <mergeCell ref="D24:D29"/>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0"/>
  <sheetViews>
    <sheetView topLeftCell="A13" zoomScale="55" zoomScaleNormal="55" workbookViewId="0">
      <selection activeCell="M67" sqref="M67"/>
    </sheetView>
  </sheetViews>
  <sheetFormatPr defaultColWidth="6.5" defaultRowHeight="15"/>
  <cols>
    <col min="1" max="2" width="16" style="135" customWidth="1"/>
    <col min="3" max="3" width="23" style="135" customWidth="1"/>
    <col min="4" max="4" width="26.875" style="135" bestFit="1" customWidth="1"/>
    <col min="5" max="5" width="26.375" style="135" bestFit="1" customWidth="1"/>
    <col min="6" max="6" width="7.625" style="135" customWidth="1"/>
    <col min="7" max="7" width="23.375" style="135" customWidth="1"/>
    <col min="8" max="8" width="4.625" style="135" bestFit="1" customWidth="1"/>
    <col min="9" max="9" width="3.875" style="135" bestFit="1" customWidth="1"/>
    <col min="10" max="10" width="4.625" style="135" bestFit="1" customWidth="1"/>
    <col min="11" max="11" width="8.25" style="135" customWidth="1"/>
    <col min="12" max="12" width="7.5" style="135" customWidth="1"/>
    <col min="13" max="13" width="67.75" style="135" customWidth="1"/>
    <col min="14" max="14" width="6.75" style="135" customWidth="1"/>
    <col min="15" max="15" width="7.625" style="135" bestFit="1" customWidth="1"/>
    <col min="16" max="16" width="8.75" style="135" bestFit="1" customWidth="1"/>
    <col min="17" max="17" width="11.375" style="135" customWidth="1"/>
    <col min="18" max="18" width="15.125" style="135" customWidth="1"/>
    <col min="19" max="19" width="7.625" style="135" bestFit="1" customWidth="1"/>
    <col min="20" max="20" width="11" style="135" bestFit="1" customWidth="1"/>
    <col min="21" max="27" width="6.5" style="135"/>
    <col min="28" max="28" width="12.5" style="135" customWidth="1"/>
    <col min="29" max="256" width="6.5" style="135"/>
    <col min="257" max="258" width="16" style="135" customWidth="1"/>
    <col min="259" max="259" width="23" style="135" customWidth="1"/>
    <col min="260" max="260" width="26.875" style="135" bestFit="1" customWidth="1"/>
    <col min="261" max="261" width="26.375" style="135" bestFit="1" customWidth="1"/>
    <col min="262" max="262" width="7.625" style="135" customWidth="1"/>
    <col min="263" max="263" width="23.375" style="135" customWidth="1"/>
    <col min="264" max="264" width="4.625" style="135" bestFit="1" customWidth="1"/>
    <col min="265" max="265" width="3.875" style="135" bestFit="1" customWidth="1"/>
    <col min="266" max="266" width="4.625" style="135" bestFit="1" customWidth="1"/>
    <col min="267" max="267" width="8.25" style="135" customWidth="1"/>
    <col min="268" max="268" width="7.5" style="135" customWidth="1"/>
    <col min="269" max="269" width="67.75" style="135" customWidth="1"/>
    <col min="270" max="270" width="6.75" style="135" customWidth="1"/>
    <col min="271" max="271" width="7.625" style="135" bestFit="1" customWidth="1"/>
    <col min="272" max="272" width="8.75" style="135" bestFit="1" customWidth="1"/>
    <col min="273" max="273" width="11.375" style="135" customWidth="1"/>
    <col min="274" max="274" width="15.125" style="135" customWidth="1"/>
    <col min="275" max="275" width="7.625" style="135" bestFit="1" customWidth="1"/>
    <col min="276" max="276" width="11" style="135" bestFit="1" customWidth="1"/>
    <col min="277" max="283" width="6.5" style="135"/>
    <col min="284" max="284" width="12.5" style="135" customWidth="1"/>
    <col min="285" max="512" width="6.5" style="135"/>
    <col min="513" max="514" width="16" style="135" customWidth="1"/>
    <col min="515" max="515" width="23" style="135" customWidth="1"/>
    <col min="516" max="516" width="26.875" style="135" bestFit="1" customWidth="1"/>
    <col min="517" max="517" width="26.375" style="135" bestFit="1" customWidth="1"/>
    <col min="518" max="518" width="7.625" style="135" customWidth="1"/>
    <col min="519" max="519" width="23.375" style="135" customWidth="1"/>
    <col min="520" max="520" width="4.625" style="135" bestFit="1" customWidth="1"/>
    <col min="521" max="521" width="3.875" style="135" bestFit="1" customWidth="1"/>
    <col min="522" max="522" width="4.625" style="135" bestFit="1" customWidth="1"/>
    <col min="523" max="523" width="8.25" style="135" customWidth="1"/>
    <col min="524" max="524" width="7.5" style="135" customWidth="1"/>
    <col min="525" max="525" width="67.75" style="135" customWidth="1"/>
    <col min="526" max="526" width="6.75" style="135" customWidth="1"/>
    <col min="527" max="527" width="7.625" style="135" bestFit="1" customWidth="1"/>
    <col min="528" max="528" width="8.75" style="135" bestFit="1" customWidth="1"/>
    <col min="529" max="529" width="11.375" style="135" customWidth="1"/>
    <col min="530" max="530" width="15.125" style="135" customWidth="1"/>
    <col min="531" max="531" width="7.625" style="135" bestFit="1" customWidth="1"/>
    <col min="532" max="532" width="11" style="135" bestFit="1" customWidth="1"/>
    <col min="533" max="539" width="6.5" style="135"/>
    <col min="540" max="540" width="12.5" style="135" customWidth="1"/>
    <col min="541" max="768" width="6.5" style="135"/>
    <col min="769" max="770" width="16" style="135" customWidth="1"/>
    <col min="771" max="771" width="23" style="135" customWidth="1"/>
    <col min="772" max="772" width="26.875" style="135" bestFit="1" customWidth="1"/>
    <col min="773" max="773" width="26.375" style="135" bestFit="1" customWidth="1"/>
    <col min="774" max="774" width="7.625" style="135" customWidth="1"/>
    <col min="775" max="775" width="23.375" style="135" customWidth="1"/>
    <col min="776" max="776" width="4.625" style="135" bestFit="1" customWidth="1"/>
    <col min="777" max="777" width="3.875" style="135" bestFit="1" customWidth="1"/>
    <col min="778" max="778" width="4.625" style="135" bestFit="1" customWidth="1"/>
    <col min="779" max="779" width="8.25" style="135" customWidth="1"/>
    <col min="780" max="780" width="7.5" style="135" customWidth="1"/>
    <col min="781" max="781" width="67.75" style="135" customWidth="1"/>
    <col min="782" max="782" width="6.75" style="135" customWidth="1"/>
    <col min="783" max="783" width="7.625" style="135" bestFit="1" customWidth="1"/>
    <col min="784" max="784" width="8.75" style="135" bestFit="1" customWidth="1"/>
    <col min="785" max="785" width="11.375" style="135" customWidth="1"/>
    <col min="786" max="786" width="15.125" style="135" customWidth="1"/>
    <col min="787" max="787" width="7.625" style="135" bestFit="1" customWidth="1"/>
    <col min="788" max="788" width="11" style="135" bestFit="1" customWidth="1"/>
    <col min="789" max="795" width="6.5" style="135"/>
    <col min="796" max="796" width="12.5" style="135" customWidth="1"/>
    <col min="797" max="1024" width="6.5" style="135"/>
    <col min="1025" max="1026" width="16" style="135" customWidth="1"/>
    <col min="1027" max="1027" width="23" style="135" customWidth="1"/>
    <col min="1028" max="1028" width="26.875" style="135" bestFit="1" customWidth="1"/>
    <col min="1029" max="1029" width="26.375" style="135" bestFit="1" customWidth="1"/>
    <col min="1030" max="1030" width="7.625" style="135" customWidth="1"/>
    <col min="1031" max="1031" width="23.375" style="135" customWidth="1"/>
    <col min="1032" max="1032" width="4.625" style="135" bestFit="1" customWidth="1"/>
    <col min="1033" max="1033" width="3.875" style="135" bestFit="1" customWidth="1"/>
    <col min="1034" max="1034" width="4.625" style="135" bestFit="1" customWidth="1"/>
    <col min="1035" max="1035" width="8.25" style="135" customWidth="1"/>
    <col min="1036" max="1036" width="7.5" style="135" customWidth="1"/>
    <col min="1037" max="1037" width="67.75" style="135" customWidth="1"/>
    <col min="1038" max="1038" width="6.75" style="135" customWidth="1"/>
    <col min="1039" max="1039" width="7.625" style="135" bestFit="1" customWidth="1"/>
    <col min="1040" max="1040" width="8.75" style="135" bestFit="1" customWidth="1"/>
    <col min="1041" max="1041" width="11.375" style="135" customWidth="1"/>
    <col min="1042" max="1042" width="15.125" style="135" customWidth="1"/>
    <col min="1043" max="1043" width="7.625" style="135" bestFit="1" customWidth="1"/>
    <col min="1044" max="1044" width="11" style="135" bestFit="1" customWidth="1"/>
    <col min="1045" max="1051" width="6.5" style="135"/>
    <col min="1052" max="1052" width="12.5" style="135" customWidth="1"/>
    <col min="1053" max="1280" width="6.5" style="135"/>
    <col min="1281" max="1282" width="16" style="135" customWidth="1"/>
    <col min="1283" max="1283" width="23" style="135" customWidth="1"/>
    <col min="1284" max="1284" width="26.875" style="135" bestFit="1" customWidth="1"/>
    <col min="1285" max="1285" width="26.375" style="135" bestFit="1" customWidth="1"/>
    <col min="1286" max="1286" width="7.625" style="135" customWidth="1"/>
    <col min="1287" max="1287" width="23.375" style="135" customWidth="1"/>
    <col min="1288" max="1288" width="4.625" style="135" bestFit="1" customWidth="1"/>
    <col min="1289" max="1289" width="3.875" style="135" bestFit="1" customWidth="1"/>
    <col min="1290" max="1290" width="4.625" style="135" bestFit="1" customWidth="1"/>
    <col min="1291" max="1291" width="8.25" style="135" customWidth="1"/>
    <col min="1292" max="1292" width="7.5" style="135" customWidth="1"/>
    <col min="1293" max="1293" width="67.75" style="135" customWidth="1"/>
    <col min="1294" max="1294" width="6.75" style="135" customWidth="1"/>
    <col min="1295" max="1295" width="7.625" style="135" bestFit="1" customWidth="1"/>
    <col min="1296" max="1296" width="8.75" style="135" bestFit="1" customWidth="1"/>
    <col min="1297" max="1297" width="11.375" style="135" customWidth="1"/>
    <col min="1298" max="1298" width="15.125" style="135" customWidth="1"/>
    <col min="1299" max="1299" width="7.625" style="135" bestFit="1" customWidth="1"/>
    <col min="1300" max="1300" width="11" style="135" bestFit="1" customWidth="1"/>
    <col min="1301" max="1307" width="6.5" style="135"/>
    <col min="1308" max="1308" width="12.5" style="135" customWidth="1"/>
    <col min="1309" max="1536" width="6.5" style="135"/>
    <col min="1537" max="1538" width="16" style="135" customWidth="1"/>
    <col min="1539" max="1539" width="23" style="135" customWidth="1"/>
    <col min="1540" max="1540" width="26.875" style="135" bestFit="1" customWidth="1"/>
    <col min="1541" max="1541" width="26.375" style="135" bestFit="1" customWidth="1"/>
    <col min="1542" max="1542" width="7.625" style="135" customWidth="1"/>
    <col min="1543" max="1543" width="23.375" style="135" customWidth="1"/>
    <col min="1544" max="1544" width="4.625" style="135" bestFit="1" customWidth="1"/>
    <col min="1545" max="1545" width="3.875" style="135" bestFit="1" customWidth="1"/>
    <col min="1546" max="1546" width="4.625" style="135" bestFit="1" customWidth="1"/>
    <col min="1547" max="1547" width="8.25" style="135" customWidth="1"/>
    <col min="1548" max="1548" width="7.5" style="135" customWidth="1"/>
    <col min="1549" max="1549" width="67.75" style="135" customWidth="1"/>
    <col min="1550" max="1550" width="6.75" style="135" customWidth="1"/>
    <col min="1551" max="1551" width="7.625" style="135" bestFit="1" customWidth="1"/>
    <col min="1552" max="1552" width="8.75" style="135" bestFit="1" customWidth="1"/>
    <col min="1553" max="1553" width="11.375" style="135" customWidth="1"/>
    <col min="1554" max="1554" width="15.125" style="135" customWidth="1"/>
    <col min="1555" max="1555" width="7.625" style="135" bestFit="1" customWidth="1"/>
    <col min="1556" max="1556" width="11" style="135" bestFit="1" customWidth="1"/>
    <col min="1557" max="1563" width="6.5" style="135"/>
    <col min="1564" max="1564" width="12.5" style="135" customWidth="1"/>
    <col min="1565" max="1792" width="6.5" style="135"/>
    <col min="1793" max="1794" width="16" style="135" customWidth="1"/>
    <col min="1795" max="1795" width="23" style="135" customWidth="1"/>
    <col min="1796" max="1796" width="26.875" style="135" bestFit="1" customWidth="1"/>
    <col min="1797" max="1797" width="26.375" style="135" bestFit="1" customWidth="1"/>
    <col min="1798" max="1798" width="7.625" style="135" customWidth="1"/>
    <col min="1799" max="1799" width="23.375" style="135" customWidth="1"/>
    <col min="1800" max="1800" width="4.625" style="135" bestFit="1" customWidth="1"/>
    <col min="1801" max="1801" width="3.875" style="135" bestFit="1" customWidth="1"/>
    <col min="1802" max="1802" width="4.625" style="135" bestFit="1" customWidth="1"/>
    <col min="1803" max="1803" width="8.25" style="135" customWidth="1"/>
    <col min="1804" max="1804" width="7.5" style="135" customWidth="1"/>
    <col min="1805" max="1805" width="67.75" style="135" customWidth="1"/>
    <col min="1806" max="1806" width="6.75" style="135" customWidth="1"/>
    <col min="1807" max="1807" width="7.625" style="135" bestFit="1" customWidth="1"/>
    <col min="1808" max="1808" width="8.75" style="135" bestFit="1" customWidth="1"/>
    <col min="1809" max="1809" width="11.375" style="135" customWidth="1"/>
    <col min="1810" max="1810" width="15.125" style="135" customWidth="1"/>
    <col min="1811" max="1811" width="7.625" style="135" bestFit="1" customWidth="1"/>
    <col min="1812" max="1812" width="11" style="135" bestFit="1" customWidth="1"/>
    <col min="1813" max="1819" width="6.5" style="135"/>
    <col min="1820" max="1820" width="12.5" style="135" customWidth="1"/>
    <col min="1821" max="2048" width="6.5" style="135"/>
    <col min="2049" max="2050" width="16" style="135" customWidth="1"/>
    <col min="2051" max="2051" width="23" style="135" customWidth="1"/>
    <col min="2052" max="2052" width="26.875" style="135" bestFit="1" customWidth="1"/>
    <col min="2053" max="2053" width="26.375" style="135" bestFit="1" customWidth="1"/>
    <col min="2054" max="2054" width="7.625" style="135" customWidth="1"/>
    <col min="2055" max="2055" width="23.375" style="135" customWidth="1"/>
    <col min="2056" max="2056" width="4.625" style="135" bestFit="1" customWidth="1"/>
    <col min="2057" max="2057" width="3.875" style="135" bestFit="1" customWidth="1"/>
    <col min="2058" max="2058" width="4.625" style="135" bestFit="1" customWidth="1"/>
    <col min="2059" max="2059" width="8.25" style="135" customWidth="1"/>
    <col min="2060" max="2060" width="7.5" style="135" customWidth="1"/>
    <col min="2061" max="2061" width="67.75" style="135" customWidth="1"/>
    <col min="2062" max="2062" width="6.75" style="135" customWidth="1"/>
    <col min="2063" max="2063" width="7.625" style="135" bestFit="1" customWidth="1"/>
    <col min="2064" max="2064" width="8.75" style="135" bestFit="1" customWidth="1"/>
    <col min="2065" max="2065" width="11.375" style="135" customWidth="1"/>
    <col min="2066" max="2066" width="15.125" style="135" customWidth="1"/>
    <col min="2067" max="2067" width="7.625" style="135" bestFit="1" customWidth="1"/>
    <col min="2068" max="2068" width="11" style="135" bestFit="1" customWidth="1"/>
    <col min="2069" max="2075" width="6.5" style="135"/>
    <col min="2076" max="2076" width="12.5" style="135" customWidth="1"/>
    <col min="2077" max="2304" width="6.5" style="135"/>
    <col min="2305" max="2306" width="16" style="135" customWidth="1"/>
    <col min="2307" max="2307" width="23" style="135" customWidth="1"/>
    <col min="2308" max="2308" width="26.875" style="135" bestFit="1" customWidth="1"/>
    <col min="2309" max="2309" width="26.375" style="135" bestFit="1" customWidth="1"/>
    <col min="2310" max="2310" width="7.625" style="135" customWidth="1"/>
    <col min="2311" max="2311" width="23.375" style="135" customWidth="1"/>
    <col min="2312" max="2312" width="4.625" style="135" bestFit="1" customWidth="1"/>
    <col min="2313" max="2313" width="3.875" style="135" bestFit="1" customWidth="1"/>
    <col min="2314" max="2314" width="4.625" style="135" bestFit="1" customWidth="1"/>
    <col min="2315" max="2315" width="8.25" style="135" customWidth="1"/>
    <col min="2316" max="2316" width="7.5" style="135" customWidth="1"/>
    <col min="2317" max="2317" width="67.75" style="135" customWidth="1"/>
    <col min="2318" max="2318" width="6.75" style="135" customWidth="1"/>
    <col min="2319" max="2319" width="7.625" style="135" bestFit="1" customWidth="1"/>
    <col min="2320" max="2320" width="8.75" style="135" bestFit="1" customWidth="1"/>
    <col min="2321" max="2321" width="11.375" style="135" customWidth="1"/>
    <col min="2322" max="2322" width="15.125" style="135" customWidth="1"/>
    <col min="2323" max="2323" width="7.625" style="135" bestFit="1" customWidth="1"/>
    <col min="2324" max="2324" width="11" style="135" bestFit="1" customWidth="1"/>
    <col min="2325" max="2331" width="6.5" style="135"/>
    <col min="2332" max="2332" width="12.5" style="135" customWidth="1"/>
    <col min="2333" max="2560" width="6.5" style="135"/>
    <col min="2561" max="2562" width="16" style="135" customWidth="1"/>
    <col min="2563" max="2563" width="23" style="135" customWidth="1"/>
    <col min="2564" max="2564" width="26.875" style="135" bestFit="1" customWidth="1"/>
    <col min="2565" max="2565" width="26.375" style="135" bestFit="1" customWidth="1"/>
    <col min="2566" max="2566" width="7.625" style="135" customWidth="1"/>
    <col min="2567" max="2567" width="23.375" style="135" customWidth="1"/>
    <col min="2568" max="2568" width="4.625" style="135" bestFit="1" customWidth="1"/>
    <col min="2569" max="2569" width="3.875" style="135" bestFit="1" customWidth="1"/>
    <col min="2570" max="2570" width="4.625" style="135" bestFit="1" customWidth="1"/>
    <col min="2571" max="2571" width="8.25" style="135" customWidth="1"/>
    <col min="2572" max="2572" width="7.5" style="135" customWidth="1"/>
    <col min="2573" max="2573" width="67.75" style="135" customWidth="1"/>
    <col min="2574" max="2574" width="6.75" style="135" customWidth="1"/>
    <col min="2575" max="2575" width="7.625" style="135" bestFit="1" customWidth="1"/>
    <col min="2576" max="2576" width="8.75" style="135" bestFit="1" customWidth="1"/>
    <col min="2577" max="2577" width="11.375" style="135" customWidth="1"/>
    <col min="2578" max="2578" width="15.125" style="135" customWidth="1"/>
    <col min="2579" max="2579" width="7.625" style="135" bestFit="1" customWidth="1"/>
    <col min="2580" max="2580" width="11" style="135" bestFit="1" customWidth="1"/>
    <col min="2581" max="2587" width="6.5" style="135"/>
    <col min="2588" max="2588" width="12.5" style="135" customWidth="1"/>
    <col min="2589" max="2816" width="6.5" style="135"/>
    <col min="2817" max="2818" width="16" style="135" customWidth="1"/>
    <col min="2819" max="2819" width="23" style="135" customWidth="1"/>
    <col min="2820" max="2820" width="26.875" style="135" bestFit="1" customWidth="1"/>
    <col min="2821" max="2821" width="26.375" style="135" bestFit="1" customWidth="1"/>
    <col min="2822" max="2822" width="7.625" style="135" customWidth="1"/>
    <col min="2823" max="2823" width="23.375" style="135" customWidth="1"/>
    <col min="2824" max="2824" width="4.625" style="135" bestFit="1" customWidth="1"/>
    <col min="2825" max="2825" width="3.875" style="135" bestFit="1" customWidth="1"/>
    <col min="2826" max="2826" width="4.625" style="135" bestFit="1" customWidth="1"/>
    <col min="2827" max="2827" width="8.25" style="135" customWidth="1"/>
    <col min="2828" max="2828" width="7.5" style="135" customWidth="1"/>
    <col min="2829" max="2829" width="67.75" style="135" customWidth="1"/>
    <col min="2830" max="2830" width="6.75" style="135" customWidth="1"/>
    <col min="2831" max="2831" width="7.625" style="135" bestFit="1" customWidth="1"/>
    <col min="2832" max="2832" width="8.75" style="135" bestFit="1" customWidth="1"/>
    <col min="2833" max="2833" width="11.375" style="135" customWidth="1"/>
    <col min="2834" max="2834" width="15.125" style="135" customWidth="1"/>
    <col min="2835" max="2835" width="7.625" style="135" bestFit="1" customWidth="1"/>
    <col min="2836" max="2836" width="11" style="135" bestFit="1" customWidth="1"/>
    <col min="2837" max="2843" width="6.5" style="135"/>
    <col min="2844" max="2844" width="12.5" style="135" customWidth="1"/>
    <col min="2845" max="3072" width="6.5" style="135"/>
    <col min="3073" max="3074" width="16" style="135" customWidth="1"/>
    <col min="3075" max="3075" width="23" style="135" customWidth="1"/>
    <col min="3076" max="3076" width="26.875" style="135" bestFit="1" customWidth="1"/>
    <col min="3077" max="3077" width="26.375" style="135" bestFit="1" customWidth="1"/>
    <col min="3078" max="3078" width="7.625" style="135" customWidth="1"/>
    <col min="3079" max="3079" width="23.375" style="135" customWidth="1"/>
    <col min="3080" max="3080" width="4.625" style="135" bestFit="1" customWidth="1"/>
    <col min="3081" max="3081" width="3.875" style="135" bestFit="1" customWidth="1"/>
    <col min="3082" max="3082" width="4.625" style="135" bestFit="1" customWidth="1"/>
    <col min="3083" max="3083" width="8.25" style="135" customWidth="1"/>
    <col min="3084" max="3084" width="7.5" style="135" customWidth="1"/>
    <col min="3085" max="3085" width="67.75" style="135" customWidth="1"/>
    <col min="3086" max="3086" width="6.75" style="135" customWidth="1"/>
    <col min="3087" max="3087" width="7.625" style="135" bestFit="1" customWidth="1"/>
    <col min="3088" max="3088" width="8.75" style="135" bestFit="1" customWidth="1"/>
    <col min="3089" max="3089" width="11.375" style="135" customWidth="1"/>
    <col min="3090" max="3090" width="15.125" style="135" customWidth="1"/>
    <col min="3091" max="3091" width="7.625" style="135" bestFit="1" customWidth="1"/>
    <col min="3092" max="3092" width="11" style="135" bestFit="1" customWidth="1"/>
    <col min="3093" max="3099" width="6.5" style="135"/>
    <col min="3100" max="3100" width="12.5" style="135" customWidth="1"/>
    <col min="3101" max="3328" width="6.5" style="135"/>
    <col min="3329" max="3330" width="16" style="135" customWidth="1"/>
    <col min="3331" max="3331" width="23" style="135" customWidth="1"/>
    <col min="3332" max="3332" width="26.875" style="135" bestFit="1" customWidth="1"/>
    <col min="3333" max="3333" width="26.375" style="135" bestFit="1" customWidth="1"/>
    <col min="3334" max="3334" width="7.625" style="135" customWidth="1"/>
    <col min="3335" max="3335" width="23.375" style="135" customWidth="1"/>
    <col min="3336" max="3336" width="4.625" style="135" bestFit="1" customWidth="1"/>
    <col min="3337" max="3337" width="3.875" style="135" bestFit="1" customWidth="1"/>
    <col min="3338" max="3338" width="4.625" style="135" bestFit="1" customWidth="1"/>
    <col min="3339" max="3339" width="8.25" style="135" customWidth="1"/>
    <col min="3340" max="3340" width="7.5" style="135" customWidth="1"/>
    <col min="3341" max="3341" width="67.75" style="135" customWidth="1"/>
    <col min="3342" max="3342" width="6.75" style="135" customWidth="1"/>
    <col min="3343" max="3343" width="7.625" style="135" bestFit="1" customWidth="1"/>
    <col min="3344" max="3344" width="8.75" style="135" bestFit="1" customWidth="1"/>
    <col min="3345" max="3345" width="11.375" style="135" customWidth="1"/>
    <col min="3346" max="3346" width="15.125" style="135" customWidth="1"/>
    <col min="3347" max="3347" width="7.625" style="135" bestFit="1" customWidth="1"/>
    <col min="3348" max="3348" width="11" style="135" bestFit="1" customWidth="1"/>
    <col min="3349" max="3355" width="6.5" style="135"/>
    <col min="3356" max="3356" width="12.5" style="135" customWidth="1"/>
    <col min="3357" max="3584" width="6.5" style="135"/>
    <col min="3585" max="3586" width="16" style="135" customWidth="1"/>
    <col min="3587" max="3587" width="23" style="135" customWidth="1"/>
    <col min="3588" max="3588" width="26.875" style="135" bestFit="1" customWidth="1"/>
    <col min="3589" max="3589" width="26.375" style="135" bestFit="1" customWidth="1"/>
    <col min="3590" max="3590" width="7.625" style="135" customWidth="1"/>
    <col min="3591" max="3591" width="23.375" style="135" customWidth="1"/>
    <col min="3592" max="3592" width="4.625" style="135" bestFit="1" customWidth="1"/>
    <col min="3593" max="3593" width="3.875" style="135" bestFit="1" customWidth="1"/>
    <col min="3594" max="3594" width="4.625" style="135" bestFit="1" customWidth="1"/>
    <col min="3595" max="3595" width="8.25" style="135" customWidth="1"/>
    <col min="3596" max="3596" width="7.5" style="135" customWidth="1"/>
    <col min="3597" max="3597" width="67.75" style="135" customWidth="1"/>
    <col min="3598" max="3598" width="6.75" style="135" customWidth="1"/>
    <col min="3599" max="3599" width="7.625" style="135" bestFit="1" customWidth="1"/>
    <col min="3600" max="3600" width="8.75" style="135" bestFit="1" customWidth="1"/>
    <col min="3601" max="3601" width="11.375" style="135" customWidth="1"/>
    <col min="3602" max="3602" width="15.125" style="135" customWidth="1"/>
    <col min="3603" max="3603" width="7.625" style="135" bestFit="1" customWidth="1"/>
    <col min="3604" max="3604" width="11" style="135" bestFit="1" customWidth="1"/>
    <col min="3605" max="3611" width="6.5" style="135"/>
    <col min="3612" max="3612" width="12.5" style="135" customWidth="1"/>
    <col min="3613" max="3840" width="6.5" style="135"/>
    <col min="3841" max="3842" width="16" style="135" customWidth="1"/>
    <col min="3843" max="3843" width="23" style="135" customWidth="1"/>
    <col min="3844" max="3844" width="26.875" style="135" bestFit="1" customWidth="1"/>
    <col min="3845" max="3845" width="26.375" style="135" bestFit="1" customWidth="1"/>
    <col min="3846" max="3846" width="7.625" style="135" customWidth="1"/>
    <col min="3847" max="3847" width="23.375" style="135" customWidth="1"/>
    <col min="3848" max="3848" width="4.625" style="135" bestFit="1" customWidth="1"/>
    <col min="3849" max="3849" width="3.875" style="135" bestFit="1" customWidth="1"/>
    <col min="3850" max="3850" width="4.625" style="135" bestFit="1" customWidth="1"/>
    <col min="3851" max="3851" width="8.25" style="135" customWidth="1"/>
    <col min="3852" max="3852" width="7.5" style="135" customWidth="1"/>
    <col min="3853" max="3853" width="67.75" style="135" customWidth="1"/>
    <col min="3854" max="3854" width="6.75" style="135" customWidth="1"/>
    <col min="3855" max="3855" width="7.625" style="135" bestFit="1" customWidth="1"/>
    <col min="3856" max="3856" width="8.75" style="135" bestFit="1" customWidth="1"/>
    <col min="3857" max="3857" width="11.375" style="135" customWidth="1"/>
    <col min="3858" max="3858" width="15.125" style="135" customWidth="1"/>
    <col min="3859" max="3859" width="7.625" style="135" bestFit="1" customWidth="1"/>
    <col min="3860" max="3860" width="11" style="135" bestFit="1" customWidth="1"/>
    <col min="3861" max="3867" width="6.5" style="135"/>
    <col min="3868" max="3868" width="12.5" style="135" customWidth="1"/>
    <col min="3869" max="4096" width="6.5" style="135"/>
    <col min="4097" max="4098" width="16" style="135" customWidth="1"/>
    <col min="4099" max="4099" width="23" style="135" customWidth="1"/>
    <col min="4100" max="4100" width="26.875" style="135" bestFit="1" customWidth="1"/>
    <col min="4101" max="4101" width="26.375" style="135" bestFit="1" customWidth="1"/>
    <col min="4102" max="4102" width="7.625" style="135" customWidth="1"/>
    <col min="4103" max="4103" width="23.375" style="135" customWidth="1"/>
    <col min="4104" max="4104" width="4.625" style="135" bestFit="1" customWidth="1"/>
    <col min="4105" max="4105" width="3.875" style="135" bestFit="1" customWidth="1"/>
    <col min="4106" max="4106" width="4.625" style="135" bestFit="1" customWidth="1"/>
    <col min="4107" max="4107" width="8.25" style="135" customWidth="1"/>
    <col min="4108" max="4108" width="7.5" style="135" customWidth="1"/>
    <col min="4109" max="4109" width="67.75" style="135" customWidth="1"/>
    <col min="4110" max="4110" width="6.75" style="135" customWidth="1"/>
    <col min="4111" max="4111" width="7.625" style="135" bestFit="1" customWidth="1"/>
    <col min="4112" max="4112" width="8.75" style="135" bestFit="1" customWidth="1"/>
    <col min="4113" max="4113" width="11.375" style="135" customWidth="1"/>
    <col min="4114" max="4114" width="15.125" style="135" customWidth="1"/>
    <col min="4115" max="4115" width="7.625" style="135" bestFit="1" customWidth="1"/>
    <col min="4116" max="4116" width="11" style="135" bestFit="1" customWidth="1"/>
    <col min="4117" max="4123" width="6.5" style="135"/>
    <col min="4124" max="4124" width="12.5" style="135" customWidth="1"/>
    <col min="4125" max="4352" width="6.5" style="135"/>
    <col min="4353" max="4354" width="16" style="135" customWidth="1"/>
    <col min="4355" max="4355" width="23" style="135" customWidth="1"/>
    <col min="4356" max="4356" width="26.875" style="135" bestFit="1" customWidth="1"/>
    <col min="4357" max="4357" width="26.375" style="135" bestFit="1" customWidth="1"/>
    <col min="4358" max="4358" width="7.625" style="135" customWidth="1"/>
    <col min="4359" max="4359" width="23.375" style="135" customWidth="1"/>
    <col min="4360" max="4360" width="4.625" style="135" bestFit="1" customWidth="1"/>
    <col min="4361" max="4361" width="3.875" style="135" bestFit="1" customWidth="1"/>
    <col min="4362" max="4362" width="4.625" style="135" bestFit="1" customWidth="1"/>
    <col min="4363" max="4363" width="8.25" style="135" customWidth="1"/>
    <col min="4364" max="4364" width="7.5" style="135" customWidth="1"/>
    <col min="4365" max="4365" width="67.75" style="135" customWidth="1"/>
    <col min="4366" max="4366" width="6.75" style="135" customWidth="1"/>
    <col min="4367" max="4367" width="7.625" style="135" bestFit="1" customWidth="1"/>
    <col min="4368" max="4368" width="8.75" style="135" bestFit="1" customWidth="1"/>
    <col min="4369" max="4369" width="11.375" style="135" customWidth="1"/>
    <col min="4370" max="4370" width="15.125" style="135" customWidth="1"/>
    <col min="4371" max="4371" width="7.625" style="135" bestFit="1" customWidth="1"/>
    <col min="4372" max="4372" width="11" style="135" bestFit="1" customWidth="1"/>
    <col min="4373" max="4379" width="6.5" style="135"/>
    <col min="4380" max="4380" width="12.5" style="135" customWidth="1"/>
    <col min="4381" max="4608" width="6.5" style="135"/>
    <col min="4609" max="4610" width="16" style="135" customWidth="1"/>
    <col min="4611" max="4611" width="23" style="135" customWidth="1"/>
    <col min="4612" max="4612" width="26.875" style="135" bestFit="1" customWidth="1"/>
    <col min="4613" max="4613" width="26.375" style="135" bestFit="1" customWidth="1"/>
    <col min="4614" max="4614" width="7.625" style="135" customWidth="1"/>
    <col min="4615" max="4615" width="23.375" style="135" customWidth="1"/>
    <col min="4616" max="4616" width="4.625" style="135" bestFit="1" customWidth="1"/>
    <col min="4617" max="4617" width="3.875" style="135" bestFit="1" customWidth="1"/>
    <col min="4618" max="4618" width="4.625" style="135" bestFit="1" customWidth="1"/>
    <col min="4619" max="4619" width="8.25" style="135" customWidth="1"/>
    <col min="4620" max="4620" width="7.5" style="135" customWidth="1"/>
    <col min="4621" max="4621" width="67.75" style="135" customWidth="1"/>
    <col min="4622" max="4622" width="6.75" style="135" customWidth="1"/>
    <col min="4623" max="4623" width="7.625" style="135" bestFit="1" customWidth="1"/>
    <col min="4624" max="4624" width="8.75" style="135" bestFit="1" customWidth="1"/>
    <col min="4625" max="4625" width="11.375" style="135" customWidth="1"/>
    <col min="4626" max="4626" width="15.125" style="135" customWidth="1"/>
    <col min="4627" max="4627" width="7.625" style="135" bestFit="1" customWidth="1"/>
    <col min="4628" max="4628" width="11" style="135" bestFit="1" customWidth="1"/>
    <col min="4629" max="4635" width="6.5" style="135"/>
    <col min="4636" max="4636" width="12.5" style="135" customWidth="1"/>
    <col min="4637" max="4864" width="6.5" style="135"/>
    <col min="4865" max="4866" width="16" style="135" customWidth="1"/>
    <col min="4867" max="4867" width="23" style="135" customWidth="1"/>
    <col min="4868" max="4868" width="26.875" style="135" bestFit="1" customWidth="1"/>
    <col min="4869" max="4869" width="26.375" style="135" bestFit="1" customWidth="1"/>
    <col min="4870" max="4870" width="7.625" style="135" customWidth="1"/>
    <col min="4871" max="4871" width="23.375" style="135" customWidth="1"/>
    <col min="4872" max="4872" width="4.625" style="135" bestFit="1" customWidth="1"/>
    <col min="4873" max="4873" width="3.875" style="135" bestFit="1" customWidth="1"/>
    <col min="4874" max="4874" width="4.625" style="135" bestFit="1" customWidth="1"/>
    <col min="4875" max="4875" width="8.25" style="135" customWidth="1"/>
    <col min="4876" max="4876" width="7.5" style="135" customWidth="1"/>
    <col min="4877" max="4877" width="67.75" style="135" customWidth="1"/>
    <col min="4878" max="4878" width="6.75" style="135" customWidth="1"/>
    <col min="4879" max="4879" width="7.625" style="135" bestFit="1" customWidth="1"/>
    <col min="4880" max="4880" width="8.75" style="135" bestFit="1" customWidth="1"/>
    <col min="4881" max="4881" width="11.375" style="135" customWidth="1"/>
    <col min="4882" max="4882" width="15.125" style="135" customWidth="1"/>
    <col min="4883" max="4883" width="7.625" style="135" bestFit="1" customWidth="1"/>
    <col min="4884" max="4884" width="11" style="135" bestFit="1" customWidth="1"/>
    <col min="4885" max="4891" width="6.5" style="135"/>
    <col min="4892" max="4892" width="12.5" style="135" customWidth="1"/>
    <col min="4893" max="5120" width="6.5" style="135"/>
    <col min="5121" max="5122" width="16" style="135" customWidth="1"/>
    <col min="5123" max="5123" width="23" style="135" customWidth="1"/>
    <col min="5124" max="5124" width="26.875" style="135" bestFit="1" customWidth="1"/>
    <col min="5125" max="5125" width="26.375" style="135" bestFit="1" customWidth="1"/>
    <col min="5126" max="5126" width="7.625" style="135" customWidth="1"/>
    <col min="5127" max="5127" width="23.375" style="135" customWidth="1"/>
    <col min="5128" max="5128" width="4.625" style="135" bestFit="1" customWidth="1"/>
    <col min="5129" max="5129" width="3.875" style="135" bestFit="1" customWidth="1"/>
    <col min="5130" max="5130" width="4.625" style="135" bestFit="1" customWidth="1"/>
    <col min="5131" max="5131" width="8.25" style="135" customWidth="1"/>
    <col min="5132" max="5132" width="7.5" style="135" customWidth="1"/>
    <col min="5133" max="5133" width="67.75" style="135" customWidth="1"/>
    <col min="5134" max="5134" width="6.75" style="135" customWidth="1"/>
    <col min="5135" max="5135" width="7.625" style="135" bestFit="1" customWidth="1"/>
    <col min="5136" max="5136" width="8.75" style="135" bestFit="1" customWidth="1"/>
    <col min="5137" max="5137" width="11.375" style="135" customWidth="1"/>
    <col min="5138" max="5138" width="15.125" style="135" customWidth="1"/>
    <col min="5139" max="5139" width="7.625" style="135" bestFit="1" customWidth="1"/>
    <col min="5140" max="5140" width="11" style="135" bestFit="1" customWidth="1"/>
    <col min="5141" max="5147" width="6.5" style="135"/>
    <col min="5148" max="5148" width="12.5" style="135" customWidth="1"/>
    <col min="5149" max="5376" width="6.5" style="135"/>
    <col min="5377" max="5378" width="16" style="135" customWidth="1"/>
    <col min="5379" max="5379" width="23" style="135" customWidth="1"/>
    <col min="5380" max="5380" width="26.875" style="135" bestFit="1" customWidth="1"/>
    <col min="5381" max="5381" width="26.375" style="135" bestFit="1" customWidth="1"/>
    <col min="5382" max="5382" width="7.625" style="135" customWidth="1"/>
    <col min="5383" max="5383" width="23.375" style="135" customWidth="1"/>
    <col min="5384" max="5384" width="4.625" style="135" bestFit="1" customWidth="1"/>
    <col min="5385" max="5385" width="3.875" style="135" bestFit="1" customWidth="1"/>
    <col min="5386" max="5386" width="4.625" style="135" bestFit="1" customWidth="1"/>
    <col min="5387" max="5387" width="8.25" style="135" customWidth="1"/>
    <col min="5388" max="5388" width="7.5" style="135" customWidth="1"/>
    <col min="5389" max="5389" width="67.75" style="135" customWidth="1"/>
    <col min="5390" max="5390" width="6.75" style="135" customWidth="1"/>
    <col min="5391" max="5391" width="7.625" style="135" bestFit="1" customWidth="1"/>
    <col min="5392" max="5392" width="8.75" style="135" bestFit="1" customWidth="1"/>
    <col min="5393" max="5393" width="11.375" style="135" customWidth="1"/>
    <col min="5394" max="5394" width="15.125" style="135" customWidth="1"/>
    <col min="5395" max="5395" width="7.625" style="135" bestFit="1" customWidth="1"/>
    <col min="5396" max="5396" width="11" style="135" bestFit="1" customWidth="1"/>
    <col min="5397" max="5403" width="6.5" style="135"/>
    <col min="5404" max="5404" width="12.5" style="135" customWidth="1"/>
    <col min="5405" max="5632" width="6.5" style="135"/>
    <col min="5633" max="5634" width="16" style="135" customWidth="1"/>
    <col min="5635" max="5635" width="23" style="135" customWidth="1"/>
    <col min="5636" max="5636" width="26.875" style="135" bestFit="1" customWidth="1"/>
    <col min="5637" max="5637" width="26.375" style="135" bestFit="1" customWidth="1"/>
    <col min="5638" max="5638" width="7.625" style="135" customWidth="1"/>
    <col min="5639" max="5639" width="23.375" style="135" customWidth="1"/>
    <col min="5640" max="5640" width="4.625" style="135" bestFit="1" customWidth="1"/>
    <col min="5641" max="5641" width="3.875" style="135" bestFit="1" customWidth="1"/>
    <col min="5642" max="5642" width="4.625" style="135" bestFit="1" customWidth="1"/>
    <col min="5643" max="5643" width="8.25" style="135" customWidth="1"/>
    <col min="5644" max="5644" width="7.5" style="135" customWidth="1"/>
    <col min="5645" max="5645" width="67.75" style="135" customWidth="1"/>
    <col min="5646" max="5646" width="6.75" style="135" customWidth="1"/>
    <col min="5647" max="5647" width="7.625" style="135" bestFit="1" customWidth="1"/>
    <col min="5648" max="5648" width="8.75" style="135" bestFit="1" customWidth="1"/>
    <col min="5649" max="5649" width="11.375" style="135" customWidth="1"/>
    <col min="5650" max="5650" width="15.125" style="135" customWidth="1"/>
    <col min="5651" max="5651" width="7.625" style="135" bestFit="1" customWidth="1"/>
    <col min="5652" max="5652" width="11" style="135" bestFit="1" customWidth="1"/>
    <col min="5653" max="5659" width="6.5" style="135"/>
    <col min="5660" max="5660" width="12.5" style="135" customWidth="1"/>
    <col min="5661" max="5888" width="6.5" style="135"/>
    <col min="5889" max="5890" width="16" style="135" customWidth="1"/>
    <col min="5891" max="5891" width="23" style="135" customWidth="1"/>
    <col min="5892" max="5892" width="26.875" style="135" bestFit="1" customWidth="1"/>
    <col min="5893" max="5893" width="26.375" style="135" bestFit="1" customWidth="1"/>
    <col min="5894" max="5894" width="7.625" style="135" customWidth="1"/>
    <col min="5895" max="5895" width="23.375" style="135" customWidth="1"/>
    <col min="5896" max="5896" width="4.625" style="135" bestFit="1" customWidth="1"/>
    <col min="5897" max="5897" width="3.875" style="135" bestFit="1" customWidth="1"/>
    <col min="5898" max="5898" width="4.625" style="135" bestFit="1" customWidth="1"/>
    <col min="5899" max="5899" width="8.25" style="135" customWidth="1"/>
    <col min="5900" max="5900" width="7.5" style="135" customWidth="1"/>
    <col min="5901" max="5901" width="67.75" style="135" customWidth="1"/>
    <col min="5902" max="5902" width="6.75" style="135" customWidth="1"/>
    <col min="5903" max="5903" width="7.625" style="135" bestFit="1" customWidth="1"/>
    <col min="5904" max="5904" width="8.75" style="135" bestFit="1" customWidth="1"/>
    <col min="5905" max="5905" width="11.375" style="135" customWidth="1"/>
    <col min="5906" max="5906" width="15.125" style="135" customWidth="1"/>
    <col min="5907" max="5907" width="7.625" style="135" bestFit="1" customWidth="1"/>
    <col min="5908" max="5908" width="11" style="135" bestFit="1" customWidth="1"/>
    <col min="5909" max="5915" width="6.5" style="135"/>
    <col min="5916" max="5916" width="12.5" style="135" customWidth="1"/>
    <col min="5917" max="6144" width="6.5" style="135"/>
    <col min="6145" max="6146" width="16" style="135" customWidth="1"/>
    <col min="6147" max="6147" width="23" style="135" customWidth="1"/>
    <col min="6148" max="6148" width="26.875" style="135" bestFit="1" customWidth="1"/>
    <col min="6149" max="6149" width="26.375" style="135" bestFit="1" customWidth="1"/>
    <col min="6150" max="6150" width="7.625" style="135" customWidth="1"/>
    <col min="6151" max="6151" width="23.375" style="135" customWidth="1"/>
    <col min="6152" max="6152" width="4.625" style="135" bestFit="1" customWidth="1"/>
    <col min="6153" max="6153" width="3.875" style="135" bestFit="1" customWidth="1"/>
    <col min="6154" max="6154" width="4.625" style="135" bestFit="1" customWidth="1"/>
    <col min="6155" max="6155" width="8.25" style="135" customWidth="1"/>
    <col min="6156" max="6156" width="7.5" style="135" customWidth="1"/>
    <col min="6157" max="6157" width="67.75" style="135" customWidth="1"/>
    <col min="6158" max="6158" width="6.75" style="135" customWidth="1"/>
    <col min="6159" max="6159" width="7.625" style="135" bestFit="1" customWidth="1"/>
    <col min="6160" max="6160" width="8.75" style="135" bestFit="1" customWidth="1"/>
    <col min="6161" max="6161" width="11.375" style="135" customWidth="1"/>
    <col min="6162" max="6162" width="15.125" style="135" customWidth="1"/>
    <col min="6163" max="6163" width="7.625" style="135" bestFit="1" customWidth="1"/>
    <col min="6164" max="6164" width="11" style="135" bestFit="1" customWidth="1"/>
    <col min="6165" max="6171" width="6.5" style="135"/>
    <col min="6172" max="6172" width="12.5" style="135" customWidth="1"/>
    <col min="6173" max="6400" width="6.5" style="135"/>
    <col min="6401" max="6402" width="16" style="135" customWidth="1"/>
    <col min="6403" max="6403" width="23" style="135" customWidth="1"/>
    <col min="6404" max="6404" width="26.875" style="135" bestFit="1" customWidth="1"/>
    <col min="6405" max="6405" width="26.375" style="135" bestFit="1" customWidth="1"/>
    <col min="6406" max="6406" width="7.625" style="135" customWidth="1"/>
    <col min="6407" max="6407" width="23.375" style="135" customWidth="1"/>
    <col min="6408" max="6408" width="4.625" style="135" bestFit="1" customWidth="1"/>
    <col min="6409" max="6409" width="3.875" style="135" bestFit="1" customWidth="1"/>
    <col min="6410" max="6410" width="4.625" style="135" bestFit="1" customWidth="1"/>
    <col min="6411" max="6411" width="8.25" style="135" customWidth="1"/>
    <col min="6412" max="6412" width="7.5" style="135" customWidth="1"/>
    <col min="6413" max="6413" width="67.75" style="135" customWidth="1"/>
    <col min="6414" max="6414" width="6.75" style="135" customWidth="1"/>
    <col min="6415" max="6415" width="7.625" style="135" bestFit="1" customWidth="1"/>
    <col min="6416" max="6416" width="8.75" style="135" bestFit="1" customWidth="1"/>
    <col min="6417" max="6417" width="11.375" style="135" customWidth="1"/>
    <col min="6418" max="6418" width="15.125" style="135" customWidth="1"/>
    <col min="6419" max="6419" width="7.625" style="135" bestFit="1" customWidth="1"/>
    <col min="6420" max="6420" width="11" style="135" bestFit="1" customWidth="1"/>
    <col min="6421" max="6427" width="6.5" style="135"/>
    <col min="6428" max="6428" width="12.5" style="135" customWidth="1"/>
    <col min="6429" max="6656" width="6.5" style="135"/>
    <col min="6657" max="6658" width="16" style="135" customWidth="1"/>
    <col min="6659" max="6659" width="23" style="135" customWidth="1"/>
    <col min="6660" max="6660" width="26.875" style="135" bestFit="1" customWidth="1"/>
    <col min="6661" max="6661" width="26.375" style="135" bestFit="1" customWidth="1"/>
    <col min="6662" max="6662" width="7.625" style="135" customWidth="1"/>
    <col min="6663" max="6663" width="23.375" style="135" customWidth="1"/>
    <col min="6664" max="6664" width="4.625" style="135" bestFit="1" customWidth="1"/>
    <col min="6665" max="6665" width="3.875" style="135" bestFit="1" customWidth="1"/>
    <col min="6666" max="6666" width="4.625" style="135" bestFit="1" customWidth="1"/>
    <col min="6667" max="6667" width="8.25" style="135" customWidth="1"/>
    <col min="6668" max="6668" width="7.5" style="135" customWidth="1"/>
    <col min="6669" max="6669" width="67.75" style="135" customWidth="1"/>
    <col min="6670" max="6670" width="6.75" style="135" customWidth="1"/>
    <col min="6671" max="6671" width="7.625" style="135" bestFit="1" customWidth="1"/>
    <col min="6672" max="6672" width="8.75" style="135" bestFit="1" customWidth="1"/>
    <col min="6673" max="6673" width="11.375" style="135" customWidth="1"/>
    <col min="6674" max="6674" width="15.125" style="135" customWidth="1"/>
    <col min="6675" max="6675" width="7.625" style="135" bestFit="1" customWidth="1"/>
    <col min="6676" max="6676" width="11" style="135" bestFit="1" customWidth="1"/>
    <col min="6677" max="6683" width="6.5" style="135"/>
    <col min="6684" max="6684" width="12.5" style="135" customWidth="1"/>
    <col min="6685" max="6912" width="6.5" style="135"/>
    <col min="6913" max="6914" width="16" style="135" customWidth="1"/>
    <col min="6915" max="6915" width="23" style="135" customWidth="1"/>
    <col min="6916" max="6916" width="26.875" style="135" bestFit="1" customWidth="1"/>
    <col min="6917" max="6917" width="26.375" style="135" bestFit="1" customWidth="1"/>
    <col min="6918" max="6918" width="7.625" style="135" customWidth="1"/>
    <col min="6919" max="6919" width="23.375" style="135" customWidth="1"/>
    <col min="6920" max="6920" width="4.625" style="135" bestFit="1" customWidth="1"/>
    <col min="6921" max="6921" width="3.875" style="135" bestFit="1" customWidth="1"/>
    <col min="6922" max="6922" width="4.625" style="135" bestFit="1" customWidth="1"/>
    <col min="6923" max="6923" width="8.25" style="135" customWidth="1"/>
    <col min="6924" max="6924" width="7.5" style="135" customWidth="1"/>
    <col min="6925" max="6925" width="67.75" style="135" customWidth="1"/>
    <col min="6926" max="6926" width="6.75" style="135" customWidth="1"/>
    <col min="6927" max="6927" width="7.625" style="135" bestFit="1" customWidth="1"/>
    <col min="6928" max="6928" width="8.75" style="135" bestFit="1" customWidth="1"/>
    <col min="6929" max="6929" width="11.375" style="135" customWidth="1"/>
    <col min="6930" max="6930" width="15.125" style="135" customWidth="1"/>
    <col min="6931" max="6931" width="7.625" style="135" bestFit="1" customWidth="1"/>
    <col min="6932" max="6932" width="11" style="135" bestFit="1" customWidth="1"/>
    <col min="6933" max="6939" width="6.5" style="135"/>
    <col min="6940" max="6940" width="12.5" style="135" customWidth="1"/>
    <col min="6941" max="7168" width="6.5" style="135"/>
    <col min="7169" max="7170" width="16" style="135" customWidth="1"/>
    <col min="7171" max="7171" width="23" style="135" customWidth="1"/>
    <col min="7172" max="7172" width="26.875" style="135" bestFit="1" customWidth="1"/>
    <col min="7173" max="7173" width="26.375" style="135" bestFit="1" customWidth="1"/>
    <col min="7174" max="7174" width="7.625" style="135" customWidth="1"/>
    <col min="7175" max="7175" width="23.375" style="135" customWidth="1"/>
    <col min="7176" max="7176" width="4.625" style="135" bestFit="1" customWidth="1"/>
    <col min="7177" max="7177" width="3.875" style="135" bestFit="1" customWidth="1"/>
    <col min="7178" max="7178" width="4.625" style="135" bestFit="1" customWidth="1"/>
    <col min="7179" max="7179" width="8.25" style="135" customWidth="1"/>
    <col min="7180" max="7180" width="7.5" style="135" customWidth="1"/>
    <col min="7181" max="7181" width="67.75" style="135" customWidth="1"/>
    <col min="7182" max="7182" width="6.75" style="135" customWidth="1"/>
    <col min="7183" max="7183" width="7.625" style="135" bestFit="1" customWidth="1"/>
    <col min="7184" max="7184" width="8.75" style="135" bestFit="1" customWidth="1"/>
    <col min="7185" max="7185" width="11.375" style="135" customWidth="1"/>
    <col min="7186" max="7186" width="15.125" style="135" customWidth="1"/>
    <col min="7187" max="7187" width="7.625" style="135" bestFit="1" customWidth="1"/>
    <col min="7188" max="7188" width="11" style="135" bestFit="1" customWidth="1"/>
    <col min="7189" max="7195" width="6.5" style="135"/>
    <col min="7196" max="7196" width="12.5" style="135" customWidth="1"/>
    <col min="7197" max="7424" width="6.5" style="135"/>
    <col min="7425" max="7426" width="16" style="135" customWidth="1"/>
    <col min="7427" max="7427" width="23" style="135" customWidth="1"/>
    <col min="7428" max="7428" width="26.875" style="135" bestFit="1" customWidth="1"/>
    <col min="7429" max="7429" width="26.375" style="135" bestFit="1" customWidth="1"/>
    <col min="7430" max="7430" width="7.625" style="135" customWidth="1"/>
    <col min="7431" max="7431" width="23.375" style="135" customWidth="1"/>
    <col min="7432" max="7432" width="4.625" style="135" bestFit="1" customWidth="1"/>
    <col min="7433" max="7433" width="3.875" style="135" bestFit="1" customWidth="1"/>
    <col min="7434" max="7434" width="4.625" style="135" bestFit="1" customWidth="1"/>
    <col min="7435" max="7435" width="8.25" style="135" customWidth="1"/>
    <col min="7436" max="7436" width="7.5" style="135" customWidth="1"/>
    <col min="7437" max="7437" width="67.75" style="135" customWidth="1"/>
    <col min="7438" max="7438" width="6.75" style="135" customWidth="1"/>
    <col min="7439" max="7439" width="7.625" style="135" bestFit="1" customWidth="1"/>
    <col min="7440" max="7440" width="8.75" style="135" bestFit="1" customWidth="1"/>
    <col min="7441" max="7441" width="11.375" style="135" customWidth="1"/>
    <col min="7442" max="7442" width="15.125" style="135" customWidth="1"/>
    <col min="7443" max="7443" width="7.625" style="135" bestFit="1" customWidth="1"/>
    <col min="7444" max="7444" width="11" style="135" bestFit="1" customWidth="1"/>
    <col min="7445" max="7451" width="6.5" style="135"/>
    <col min="7452" max="7452" width="12.5" style="135" customWidth="1"/>
    <col min="7453" max="7680" width="6.5" style="135"/>
    <col min="7681" max="7682" width="16" style="135" customWidth="1"/>
    <col min="7683" max="7683" width="23" style="135" customWidth="1"/>
    <col min="7684" max="7684" width="26.875" style="135" bestFit="1" customWidth="1"/>
    <col min="7685" max="7685" width="26.375" style="135" bestFit="1" customWidth="1"/>
    <col min="7686" max="7686" width="7.625" style="135" customWidth="1"/>
    <col min="7687" max="7687" width="23.375" style="135" customWidth="1"/>
    <col min="7688" max="7688" width="4.625" style="135" bestFit="1" customWidth="1"/>
    <col min="7689" max="7689" width="3.875" style="135" bestFit="1" customWidth="1"/>
    <col min="7690" max="7690" width="4.625" style="135" bestFit="1" customWidth="1"/>
    <col min="7691" max="7691" width="8.25" style="135" customWidth="1"/>
    <col min="7692" max="7692" width="7.5" style="135" customWidth="1"/>
    <col min="7693" max="7693" width="67.75" style="135" customWidth="1"/>
    <col min="7694" max="7694" width="6.75" style="135" customWidth="1"/>
    <col min="7695" max="7695" width="7.625" style="135" bestFit="1" customWidth="1"/>
    <col min="7696" max="7696" width="8.75" style="135" bestFit="1" customWidth="1"/>
    <col min="7697" max="7697" width="11.375" style="135" customWidth="1"/>
    <col min="7698" max="7698" width="15.125" style="135" customWidth="1"/>
    <col min="7699" max="7699" width="7.625" style="135" bestFit="1" customWidth="1"/>
    <col min="7700" max="7700" width="11" style="135" bestFit="1" customWidth="1"/>
    <col min="7701" max="7707" width="6.5" style="135"/>
    <col min="7708" max="7708" width="12.5" style="135" customWidth="1"/>
    <col min="7709" max="7936" width="6.5" style="135"/>
    <col min="7937" max="7938" width="16" style="135" customWidth="1"/>
    <col min="7939" max="7939" width="23" style="135" customWidth="1"/>
    <col min="7940" max="7940" width="26.875" style="135" bestFit="1" customWidth="1"/>
    <col min="7941" max="7941" width="26.375" style="135" bestFit="1" customWidth="1"/>
    <col min="7942" max="7942" width="7.625" style="135" customWidth="1"/>
    <col min="7943" max="7943" width="23.375" style="135" customWidth="1"/>
    <col min="7944" max="7944" width="4.625" style="135" bestFit="1" customWidth="1"/>
    <col min="7945" max="7945" width="3.875" style="135" bestFit="1" customWidth="1"/>
    <col min="7946" max="7946" width="4.625" style="135" bestFit="1" customWidth="1"/>
    <col min="7947" max="7947" width="8.25" style="135" customWidth="1"/>
    <col min="7948" max="7948" width="7.5" style="135" customWidth="1"/>
    <col min="7949" max="7949" width="67.75" style="135" customWidth="1"/>
    <col min="7950" max="7950" width="6.75" style="135" customWidth="1"/>
    <col min="7951" max="7951" width="7.625" style="135" bestFit="1" customWidth="1"/>
    <col min="7952" max="7952" width="8.75" style="135" bestFit="1" customWidth="1"/>
    <col min="7953" max="7953" width="11.375" style="135" customWidth="1"/>
    <col min="7954" max="7954" width="15.125" style="135" customWidth="1"/>
    <col min="7955" max="7955" width="7.625" style="135" bestFit="1" customWidth="1"/>
    <col min="7956" max="7956" width="11" style="135" bestFit="1" customWidth="1"/>
    <col min="7957" max="7963" width="6.5" style="135"/>
    <col min="7964" max="7964" width="12.5" style="135" customWidth="1"/>
    <col min="7965" max="8192" width="6.5" style="135"/>
    <col min="8193" max="8194" width="16" style="135" customWidth="1"/>
    <col min="8195" max="8195" width="23" style="135" customWidth="1"/>
    <col min="8196" max="8196" width="26.875" style="135" bestFit="1" customWidth="1"/>
    <col min="8197" max="8197" width="26.375" style="135" bestFit="1" customWidth="1"/>
    <col min="8198" max="8198" width="7.625" style="135" customWidth="1"/>
    <col min="8199" max="8199" width="23.375" style="135" customWidth="1"/>
    <col min="8200" max="8200" width="4.625" style="135" bestFit="1" customWidth="1"/>
    <col min="8201" max="8201" width="3.875" style="135" bestFit="1" customWidth="1"/>
    <col min="8202" max="8202" width="4.625" style="135" bestFit="1" customWidth="1"/>
    <col min="8203" max="8203" width="8.25" style="135" customWidth="1"/>
    <col min="8204" max="8204" width="7.5" style="135" customWidth="1"/>
    <col min="8205" max="8205" width="67.75" style="135" customWidth="1"/>
    <col min="8206" max="8206" width="6.75" style="135" customWidth="1"/>
    <col min="8207" max="8207" width="7.625" style="135" bestFit="1" customWidth="1"/>
    <col min="8208" max="8208" width="8.75" style="135" bestFit="1" customWidth="1"/>
    <col min="8209" max="8209" width="11.375" style="135" customWidth="1"/>
    <col min="8210" max="8210" width="15.125" style="135" customWidth="1"/>
    <col min="8211" max="8211" width="7.625" style="135" bestFit="1" customWidth="1"/>
    <col min="8212" max="8212" width="11" style="135" bestFit="1" customWidth="1"/>
    <col min="8213" max="8219" width="6.5" style="135"/>
    <col min="8220" max="8220" width="12.5" style="135" customWidth="1"/>
    <col min="8221" max="8448" width="6.5" style="135"/>
    <col min="8449" max="8450" width="16" style="135" customWidth="1"/>
    <col min="8451" max="8451" width="23" style="135" customWidth="1"/>
    <col min="8452" max="8452" width="26.875" style="135" bestFit="1" customWidth="1"/>
    <col min="8453" max="8453" width="26.375" style="135" bestFit="1" customWidth="1"/>
    <col min="8454" max="8454" width="7.625" style="135" customWidth="1"/>
    <col min="8455" max="8455" width="23.375" style="135" customWidth="1"/>
    <col min="8456" max="8456" width="4.625" style="135" bestFit="1" customWidth="1"/>
    <col min="8457" max="8457" width="3.875" style="135" bestFit="1" customWidth="1"/>
    <col min="8458" max="8458" width="4.625" style="135" bestFit="1" customWidth="1"/>
    <col min="8459" max="8459" width="8.25" style="135" customWidth="1"/>
    <col min="8460" max="8460" width="7.5" style="135" customWidth="1"/>
    <col min="8461" max="8461" width="67.75" style="135" customWidth="1"/>
    <col min="8462" max="8462" width="6.75" style="135" customWidth="1"/>
    <col min="8463" max="8463" width="7.625" style="135" bestFit="1" customWidth="1"/>
    <col min="8464" max="8464" width="8.75" style="135" bestFit="1" customWidth="1"/>
    <col min="8465" max="8465" width="11.375" style="135" customWidth="1"/>
    <col min="8466" max="8466" width="15.125" style="135" customWidth="1"/>
    <col min="8467" max="8467" width="7.625" style="135" bestFit="1" customWidth="1"/>
    <col min="8468" max="8468" width="11" style="135" bestFit="1" customWidth="1"/>
    <col min="8469" max="8475" width="6.5" style="135"/>
    <col min="8476" max="8476" width="12.5" style="135" customWidth="1"/>
    <col min="8477" max="8704" width="6.5" style="135"/>
    <col min="8705" max="8706" width="16" style="135" customWidth="1"/>
    <col min="8707" max="8707" width="23" style="135" customWidth="1"/>
    <col min="8708" max="8708" width="26.875" style="135" bestFit="1" customWidth="1"/>
    <col min="8709" max="8709" width="26.375" style="135" bestFit="1" customWidth="1"/>
    <col min="8710" max="8710" width="7.625" style="135" customWidth="1"/>
    <col min="8711" max="8711" width="23.375" style="135" customWidth="1"/>
    <col min="8712" max="8712" width="4.625" style="135" bestFit="1" customWidth="1"/>
    <col min="8713" max="8713" width="3.875" style="135" bestFit="1" customWidth="1"/>
    <col min="8714" max="8714" width="4.625" style="135" bestFit="1" customWidth="1"/>
    <col min="8715" max="8715" width="8.25" style="135" customWidth="1"/>
    <col min="8716" max="8716" width="7.5" style="135" customWidth="1"/>
    <col min="8717" max="8717" width="67.75" style="135" customWidth="1"/>
    <col min="8718" max="8718" width="6.75" style="135" customWidth="1"/>
    <col min="8719" max="8719" width="7.625" style="135" bestFit="1" customWidth="1"/>
    <col min="8720" max="8720" width="8.75" style="135" bestFit="1" customWidth="1"/>
    <col min="8721" max="8721" width="11.375" style="135" customWidth="1"/>
    <col min="8722" max="8722" width="15.125" style="135" customWidth="1"/>
    <col min="8723" max="8723" width="7.625" style="135" bestFit="1" customWidth="1"/>
    <col min="8724" max="8724" width="11" style="135" bestFit="1" customWidth="1"/>
    <col min="8725" max="8731" width="6.5" style="135"/>
    <col min="8732" max="8732" width="12.5" style="135" customWidth="1"/>
    <col min="8733" max="8960" width="6.5" style="135"/>
    <col min="8961" max="8962" width="16" style="135" customWidth="1"/>
    <col min="8963" max="8963" width="23" style="135" customWidth="1"/>
    <col min="8964" max="8964" width="26.875" style="135" bestFit="1" customWidth="1"/>
    <col min="8965" max="8965" width="26.375" style="135" bestFit="1" customWidth="1"/>
    <col min="8966" max="8966" width="7.625" style="135" customWidth="1"/>
    <col min="8967" max="8967" width="23.375" style="135" customWidth="1"/>
    <col min="8968" max="8968" width="4.625" style="135" bestFit="1" customWidth="1"/>
    <col min="8969" max="8969" width="3.875" style="135" bestFit="1" customWidth="1"/>
    <col min="8970" max="8970" width="4.625" style="135" bestFit="1" customWidth="1"/>
    <col min="8971" max="8971" width="8.25" style="135" customWidth="1"/>
    <col min="8972" max="8972" width="7.5" style="135" customWidth="1"/>
    <col min="8973" max="8973" width="67.75" style="135" customWidth="1"/>
    <col min="8974" max="8974" width="6.75" style="135" customWidth="1"/>
    <col min="8975" max="8975" width="7.625" style="135" bestFit="1" customWidth="1"/>
    <col min="8976" max="8976" width="8.75" style="135" bestFit="1" customWidth="1"/>
    <col min="8977" max="8977" width="11.375" style="135" customWidth="1"/>
    <col min="8978" max="8978" width="15.125" style="135" customWidth="1"/>
    <col min="8979" max="8979" width="7.625" style="135" bestFit="1" customWidth="1"/>
    <col min="8980" max="8980" width="11" style="135" bestFit="1" customWidth="1"/>
    <col min="8981" max="8987" width="6.5" style="135"/>
    <col min="8988" max="8988" width="12.5" style="135" customWidth="1"/>
    <col min="8989" max="9216" width="6.5" style="135"/>
    <col min="9217" max="9218" width="16" style="135" customWidth="1"/>
    <col min="9219" max="9219" width="23" style="135" customWidth="1"/>
    <col min="9220" max="9220" width="26.875" style="135" bestFit="1" customWidth="1"/>
    <col min="9221" max="9221" width="26.375" style="135" bestFit="1" customWidth="1"/>
    <col min="9222" max="9222" width="7.625" style="135" customWidth="1"/>
    <col min="9223" max="9223" width="23.375" style="135" customWidth="1"/>
    <col min="9224" max="9224" width="4.625" style="135" bestFit="1" customWidth="1"/>
    <col min="9225" max="9225" width="3.875" style="135" bestFit="1" customWidth="1"/>
    <col min="9226" max="9226" width="4.625" style="135" bestFit="1" customWidth="1"/>
    <col min="9227" max="9227" width="8.25" style="135" customWidth="1"/>
    <col min="9228" max="9228" width="7.5" style="135" customWidth="1"/>
    <col min="9229" max="9229" width="67.75" style="135" customWidth="1"/>
    <col min="9230" max="9230" width="6.75" style="135" customWidth="1"/>
    <col min="9231" max="9231" width="7.625" style="135" bestFit="1" customWidth="1"/>
    <col min="9232" max="9232" width="8.75" style="135" bestFit="1" customWidth="1"/>
    <col min="9233" max="9233" width="11.375" style="135" customWidth="1"/>
    <col min="9234" max="9234" width="15.125" style="135" customWidth="1"/>
    <col min="9235" max="9235" width="7.625" style="135" bestFit="1" customWidth="1"/>
    <col min="9236" max="9236" width="11" style="135" bestFit="1" customWidth="1"/>
    <col min="9237" max="9243" width="6.5" style="135"/>
    <col min="9244" max="9244" width="12.5" style="135" customWidth="1"/>
    <col min="9245" max="9472" width="6.5" style="135"/>
    <col min="9473" max="9474" width="16" style="135" customWidth="1"/>
    <col min="9475" max="9475" width="23" style="135" customWidth="1"/>
    <col min="9476" max="9476" width="26.875" style="135" bestFit="1" customWidth="1"/>
    <col min="9477" max="9477" width="26.375" style="135" bestFit="1" customWidth="1"/>
    <col min="9478" max="9478" width="7.625" style="135" customWidth="1"/>
    <col min="9479" max="9479" width="23.375" style="135" customWidth="1"/>
    <col min="9480" max="9480" width="4.625" style="135" bestFit="1" customWidth="1"/>
    <col min="9481" max="9481" width="3.875" style="135" bestFit="1" customWidth="1"/>
    <col min="9482" max="9482" width="4.625" style="135" bestFit="1" customWidth="1"/>
    <col min="9483" max="9483" width="8.25" style="135" customWidth="1"/>
    <col min="9484" max="9484" width="7.5" style="135" customWidth="1"/>
    <col min="9485" max="9485" width="67.75" style="135" customWidth="1"/>
    <col min="9486" max="9486" width="6.75" style="135" customWidth="1"/>
    <col min="9487" max="9487" width="7.625" style="135" bestFit="1" customWidth="1"/>
    <col min="9488" max="9488" width="8.75" style="135" bestFit="1" customWidth="1"/>
    <col min="9489" max="9489" width="11.375" style="135" customWidth="1"/>
    <col min="9490" max="9490" width="15.125" style="135" customWidth="1"/>
    <col min="9491" max="9491" width="7.625" style="135" bestFit="1" customWidth="1"/>
    <col min="9492" max="9492" width="11" style="135" bestFit="1" customWidth="1"/>
    <col min="9493" max="9499" width="6.5" style="135"/>
    <col min="9500" max="9500" width="12.5" style="135" customWidth="1"/>
    <col min="9501" max="9728" width="6.5" style="135"/>
    <col min="9729" max="9730" width="16" style="135" customWidth="1"/>
    <col min="9731" max="9731" width="23" style="135" customWidth="1"/>
    <col min="9732" max="9732" width="26.875" style="135" bestFit="1" customWidth="1"/>
    <col min="9733" max="9733" width="26.375" style="135" bestFit="1" customWidth="1"/>
    <col min="9734" max="9734" width="7.625" style="135" customWidth="1"/>
    <col min="9735" max="9735" width="23.375" style="135" customWidth="1"/>
    <col min="9736" max="9736" width="4.625" style="135" bestFit="1" customWidth="1"/>
    <col min="9737" max="9737" width="3.875" style="135" bestFit="1" customWidth="1"/>
    <col min="9738" max="9738" width="4.625" style="135" bestFit="1" customWidth="1"/>
    <col min="9739" max="9739" width="8.25" style="135" customWidth="1"/>
    <col min="9740" max="9740" width="7.5" style="135" customWidth="1"/>
    <col min="9741" max="9741" width="67.75" style="135" customWidth="1"/>
    <col min="9742" max="9742" width="6.75" style="135" customWidth="1"/>
    <col min="9743" max="9743" width="7.625" style="135" bestFit="1" customWidth="1"/>
    <col min="9744" max="9744" width="8.75" style="135" bestFit="1" customWidth="1"/>
    <col min="9745" max="9745" width="11.375" style="135" customWidth="1"/>
    <col min="9746" max="9746" width="15.125" style="135" customWidth="1"/>
    <col min="9747" max="9747" width="7.625" style="135" bestFit="1" customWidth="1"/>
    <col min="9748" max="9748" width="11" style="135" bestFit="1" customWidth="1"/>
    <col min="9749" max="9755" width="6.5" style="135"/>
    <col min="9756" max="9756" width="12.5" style="135" customWidth="1"/>
    <col min="9757" max="9984" width="6.5" style="135"/>
    <col min="9985" max="9986" width="16" style="135" customWidth="1"/>
    <col min="9987" max="9987" width="23" style="135" customWidth="1"/>
    <col min="9988" max="9988" width="26.875" style="135" bestFit="1" customWidth="1"/>
    <col min="9989" max="9989" width="26.375" style="135" bestFit="1" customWidth="1"/>
    <col min="9990" max="9990" width="7.625" style="135" customWidth="1"/>
    <col min="9991" max="9991" width="23.375" style="135" customWidth="1"/>
    <col min="9992" max="9992" width="4.625" style="135" bestFit="1" customWidth="1"/>
    <col min="9993" max="9993" width="3.875" style="135" bestFit="1" customWidth="1"/>
    <col min="9994" max="9994" width="4.625" style="135" bestFit="1" customWidth="1"/>
    <col min="9995" max="9995" width="8.25" style="135" customWidth="1"/>
    <col min="9996" max="9996" width="7.5" style="135" customWidth="1"/>
    <col min="9997" max="9997" width="67.75" style="135" customWidth="1"/>
    <col min="9998" max="9998" width="6.75" style="135" customWidth="1"/>
    <col min="9999" max="9999" width="7.625" style="135" bestFit="1" customWidth="1"/>
    <col min="10000" max="10000" width="8.75" style="135" bestFit="1" customWidth="1"/>
    <col min="10001" max="10001" width="11.375" style="135" customWidth="1"/>
    <col min="10002" max="10002" width="15.125" style="135" customWidth="1"/>
    <col min="10003" max="10003" width="7.625" style="135" bestFit="1" customWidth="1"/>
    <col min="10004" max="10004" width="11" style="135" bestFit="1" customWidth="1"/>
    <col min="10005" max="10011" width="6.5" style="135"/>
    <col min="10012" max="10012" width="12.5" style="135" customWidth="1"/>
    <col min="10013" max="10240" width="6.5" style="135"/>
    <col min="10241" max="10242" width="16" style="135" customWidth="1"/>
    <col min="10243" max="10243" width="23" style="135" customWidth="1"/>
    <col min="10244" max="10244" width="26.875" style="135" bestFit="1" customWidth="1"/>
    <col min="10245" max="10245" width="26.375" style="135" bestFit="1" customWidth="1"/>
    <col min="10246" max="10246" width="7.625" style="135" customWidth="1"/>
    <col min="10247" max="10247" width="23.375" style="135" customWidth="1"/>
    <col min="10248" max="10248" width="4.625" style="135" bestFit="1" customWidth="1"/>
    <col min="10249" max="10249" width="3.875" style="135" bestFit="1" customWidth="1"/>
    <col min="10250" max="10250" width="4.625" style="135" bestFit="1" customWidth="1"/>
    <col min="10251" max="10251" width="8.25" style="135" customWidth="1"/>
    <col min="10252" max="10252" width="7.5" style="135" customWidth="1"/>
    <col min="10253" max="10253" width="67.75" style="135" customWidth="1"/>
    <col min="10254" max="10254" width="6.75" style="135" customWidth="1"/>
    <col min="10255" max="10255" width="7.625" style="135" bestFit="1" customWidth="1"/>
    <col min="10256" max="10256" width="8.75" style="135" bestFit="1" customWidth="1"/>
    <col min="10257" max="10257" width="11.375" style="135" customWidth="1"/>
    <col min="10258" max="10258" width="15.125" style="135" customWidth="1"/>
    <col min="10259" max="10259" width="7.625" style="135" bestFit="1" customWidth="1"/>
    <col min="10260" max="10260" width="11" style="135" bestFit="1" customWidth="1"/>
    <col min="10261" max="10267" width="6.5" style="135"/>
    <col min="10268" max="10268" width="12.5" style="135" customWidth="1"/>
    <col min="10269" max="10496" width="6.5" style="135"/>
    <col min="10497" max="10498" width="16" style="135" customWidth="1"/>
    <col min="10499" max="10499" width="23" style="135" customWidth="1"/>
    <col min="10500" max="10500" width="26.875" style="135" bestFit="1" customWidth="1"/>
    <col min="10501" max="10501" width="26.375" style="135" bestFit="1" customWidth="1"/>
    <col min="10502" max="10502" width="7.625" style="135" customWidth="1"/>
    <col min="10503" max="10503" width="23.375" style="135" customWidth="1"/>
    <col min="10504" max="10504" width="4.625" style="135" bestFit="1" customWidth="1"/>
    <col min="10505" max="10505" width="3.875" style="135" bestFit="1" customWidth="1"/>
    <col min="10506" max="10506" width="4.625" style="135" bestFit="1" customWidth="1"/>
    <col min="10507" max="10507" width="8.25" style="135" customWidth="1"/>
    <col min="10508" max="10508" width="7.5" style="135" customWidth="1"/>
    <col min="10509" max="10509" width="67.75" style="135" customWidth="1"/>
    <col min="10510" max="10510" width="6.75" style="135" customWidth="1"/>
    <col min="10511" max="10511" width="7.625" style="135" bestFit="1" customWidth="1"/>
    <col min="10512" max="10512" width="8.75" style="135" bestFit="1" customWidth="1"/>
    <col min="10513" max="10513" width="11.375" style="135" customWidth="1"/>
    <col min="10514" max="10514" width="15.125" style="135" customWidth="1"/>
    <col min="10515" max="10515" width="7.625" style="135" bestFit="1" customWidth="1"/>
    <col min="10516" max="10516" width="11" style="135" bestFit="1" customWidth="1"/>
    <col min="10517" max="10523" width="6.5" style="135"/>
    <col min="10524" max="10524" width="12.5" style="135" customWidth="1"/>
    <col min="10525" max="10752" width="6.5" style="135"/>
    <col min="10753" max="10754" width="16" style="135" customWidth="1"/>
    <col min="10755" max="10755" width="23" style="135" customWidth="1"/>
    <col min="10756" max="10756" width="26.875" style="135" bestFit="1" customWidth="1"/>
    <col min="10757" max="10757" width="26.375" style="135" bestFit="1" customWidth="1"/>
    <col min="10758" max="10758" width="7.625" style="135" customWidth="1"/>
    <col min="10759" max="10759" width="23.375" style="135" customWidth="1"/>
    <col min="10760" max="10760" width="4.625" style="135" bestFit="1" customWidth="1"/>
    <col min="10761" max="10761" width="3.875" style="135" bestFit="1" customWidth="1"/>
    <col min="10762" max="10762" width="4.625" style="135" bestFit="1" customWidth="1"/>
    <col min="10763" max="10763" width="8.25" style="135" customWidth="1"/>
    <col min="10764" max="10764" width="7.5" style="135" customWidth="1"/>
    <col min="10765" max="10765" width="67.75" style="135" customWidth="1"/>
    <col min="10766" max="10766" width="6.75" style="135" customWidth="1"/>
    <col min="10767" max="10767" width="7.625" style="135" bestFit="1" customWidth="1"/>
    <col min="10768" max="10768" width="8.75" style="135" bestFit="1" customWidth="1"/>
    <col min="10769" max="10769" width="11.375" style="135" customWidth="1"/>
    <col min="10770" max="10770" width="15.125" style="135" customWidth="1"/>
    <col min="10771" max="10771" width="7.625" style="135" bestFit="1" customWidth="1"/>
    <col min="10772" max="10772" width="11" style="135" bestFit="1" customWidth="1"/>
    <col min="10773" max="10779" width="6.5" style="135"/>
    <col min="10780" max="10780" width="12.5" style="135" customWidth="1"/>
    <col min="10781" max="11008" width="6.5" style="135"/>
    <col min="11009" max="11010" width="16" style="135" customWidth="1"/>
    <col min="11011" max="11011" width="23" style="135" customWidth="1"/>
    <col min="11012" max="11012" width="26.875" style="135" bestFit="1" customWidth="1"/>
    <col min="11013" max="11013" width="26.375" style="135" bestFit="1" customWidth="1"/>
    <col min="11014" max="11014" width="7.625" style="135" customWidth="1"/>
    <col min="11015" max="11015" width="23.375" style="135" customWidth="1"/>
    <col min="11016" max="11016" width="4.625" style="135" bestFit="1" customWidth="1"/>
    <col min="11017" max="11017" width="3.875" style="135" bestFit="1" customWidth="1"/>
    <col min="11018" max="11018" width="4.625" style="135" bestFit="1" customWidth="1"/>
    <col min="11019" max="11019" width="8.25" style="135" customWidth="1"/>
    <col min="11020" max="11020" width="7.5" style="135" customWidth="1"/>
    <col min="11021" max="11021" width="67.75" style="135" customWidth="1"/>
    <col min="11022" max="11022" width="6.75" style="135" customWidth="1"/>
    <col min="11023" max="11023" width="7.625" style="135" bestFit="1" customWidth="1"/>
    <col min="11024" max="11024" width="8.75" style="135" bestFit="1" customWidth="1"/>
    <col min="11025" max="11025" width="11.375" style="135" customWidth="1"/>
    <col min="11026" max="11026" width="15.125" style="135" customWidth="1"/>
    <col min="11027" max="11027" width="7.625" style="135" bestFit="1" customWidth="1"/>
    <col min="11028" max="11028" width="11" style="135" bestFit="1" customWidth="1"/>
    <col min="11029" max="11035" width="6.5" style="135"/>
    <col min="11036" max="11036" width="12.5" style="135" customWidth="1"/>
    <col min="11037" max="11264" width="6.5" style="135"/>
    <col min="11265" max="11266" width="16" style="135" customWidth="1"/>
    <col min="11267" max="11267" width="23" style="135" customWidth="1"/>
    <col min="11268" max="11268" width="26.875" style="135" bestFit="1" customWidth="1"/>
    <col min="11269" max="11269" width="26.375" style="135" bestFit="1" customWidth="1"/>
    <col min="11270" max="11270" width="7.625" style="135" customWidth="1"/>
    <col min="11271" max="11271" width="23.375" style="135" customWidth="1"/>
    <col min="11272" max="11272" width="4.625" style="135" bestFit="1" customWidth="1"/>
    <col min="11273" max="11273" width="3.875" style="135" bestFit="1" customWidth="1"/>
    <col min="11274" max="11274" width="4.625" style="135" bestFit="1" customWidth="1"/>
    <col min="11275" max="11275" width="8.25" style="135" customWidth="1"/>
    <col min="11276" max="11276" width="7.5" style="135" customWidth="1"/>
    <col min="11277" max="11277" width="67.75" style="135" customWidth="1"/>
    <col min="11278" max="11278" width="6.75" style="135" customWidth="1"/>
    <col min="11279" max="11279" width="7.625" style="135" bestFit="1" customWidth="1"/>
    <col min="11280" max="11280" width="8.75" style="135" bestFit="1" customWidth="1"/>
    <col min="11281" max="11281" width="11.375" style="135" customWidth="1"/>
    <col min="11282" max="11282" width="15.125" style="135" customWidth="1"/>
    <col min="11283" max="11283" width="7.625" style="135" bestFit="1" customWidth="1"/>
    <col min="11284" max="11284" width="11" style="135" bestFit="1" customWidth="1"/>
    <col min="11285" max="11291" width="6.5" style="135"/>
    <col min="11292" max="11292" width="12.5" style="135" customWidth="1"/>
    <col min="11293" max="11520" width="6.5" style="135"/>
    <col min="11521" max="11522" width="16" style="135" customWidth="1"/>
    <col min="11523" max="11523" width="23" style="135" customWidth="1"/>
    <col min="11524" max="11524" width="26.875" style="135" bestFit="1" customWidth="1"/>
    <col min="11525" max="11525" width="26.375" style="135" bestFit="1" customWidth="1"/>
    <col min="11526" max="11526" width="7.625" style="135" customWidth="1"/>
    <col min="11527" max="11527" width="23.375" style="135" customWidth="1"/>
    <col min="11528" max="11528" width="4.625" style="135" bestFit="1" customWidth="1"/>
    <col min="11529" max="11529" width="3.875" style="135" bestFit="1" customWidth="1"/>
    <col min="11530" max="11530" width="4.625" style="135" bestFit="1" customWidth="1"/>
    <col min="11531" max="11531" width="8.25" style="135" customWidth="1"/>
    <col min="11532" max="11532" width="7.5" style="135" customWidth="1"/>
    <col min="11533" max="11533" width="67.75" style="135" customWidth="1"/>
    <col min="11534" max="11534" width="6.75" style="135" customWidth="1"/>
    <col min="11535" max="11535" width="7.625" style="135" bestFit="1" customWidth="1"/>
    <col min="11536" max="11536" width="8.75" style="135" bestFit="1" customWidth="1"/>
    <col min="11537" max="11537" width="11.375" style="135" customWidth="1"/>
    <col min="11538" max="11538" width="15.125" style="135" customWidth="1"/>
    <col min="11539" max="11539" width="7.625" style="135" bestFit="1" customWidth="1"/>
    <col min="11540" max="11540" width="11" style="135" bestFit="1" customWidth="1"/>
    <col min="11541" max="11547" width="6.5" style="135"/>
    <col min="11548" max="11548" width="12.5" style="135" customWidth="1"/>
    <col min="11549" max="11776" width="6.5" style="135"/>
    <col min="11777" max="11778" width="16" style="135" customWidth="1"/>
    <col min="11779" max="11779" width="23" style="135" customWidth="1"/>
    <col min="11780" max="11780" width="26.875" style="135" bestFit="1" customWidth="1"/>
    <col min="11781" max="11781" width="26.375" style="135" bestFit="1" customWidth="1"/>
    <col min="11782" max="11782" width="7.625" style="135" customWidth="1"/>
    <col min="11783" max="11783" width="23.375" style="135" customWidth="1"/>
    <col min="11784" max="11784" width="4.625" style="135" bestFit="1" customWidth="1"/>
    <col min="11785" max="11785" width="3.875" style="135" bestFit="1" customWidth="1"/>
    <col min="11786" max="11786" width="4.625" style="135" bestFit="1" customWidth="1"/>
    <col min="11787" max="11787" width="8.25" style="135" customWidth="1"/>
    <col min="11788" max="11788" width="7.5" style="135" customWidth="1"/>
    <col min="11789" max="11789" width="67.75" style="135" customWidth="1"/>
    <col min="11790" max="11790" width="6.75" style="135" customWidth="1"/>
    <col min="11791" max="11791" width="7.625" style="135" bestFit="1" customWidth="1"/>
    <col min="11792" max="11792" width="8.75" style="135" bestFit="1" customWidth="1"/>
    <col min="11793" max="11793" width="11.375" style="135" customWidth="1"/>
    <col min="11794" max="11794" width="15.125" style="135" customWidth="1"/>
    <col min="11795" max="11795" width="7.625" style="135" bestFit="1" customWidth="1"/>
    <col min="11796" max="11796" width="11" style="135" bestFit="1" customWidth="1"/>
    <col min="11797" max="11803" width="6.5" style="135"/>
    <col min="11804" max="11804" width="12.5" style="135" customWidth="1"/>
    <col min="11805" max="12032" width="6.5" style="135"/>
    <col min="12033" max="12034" width="16" style="135" customWidth="1"/>
    <col min="12035" max="12035" width="23" style="135" customWidth="1"/>
    <col min="12036" max="12036" width="26.875" style="135" bestFit="1" customWidth="1"/>
    <col min="12037" max="12037" width="26.375" style="135" bestFit="1" customWidth="1"/>
    <col min="12038" max="12038" width="7.625" style="135" customWidth="1"/>
    <col min="12039" max="12039" width="23.375" style="135" customWidth="1"/>
    <col min="12040" max="12040" width="4.625" style="135" bestFit="1" customWidth="1"/>
    <col min="12041" max="12041" width="3.875" style="135" bestFit="1" customWidth="1"/>
    <col min="12042" max="12042" width="4.625" style="135" bestFit="1" customWidth="1"/>
    <col min="12043" max="12043" width="8.25" style="135" customWidth="1"/>
    <col min="12044" max="12044" width="7.5" style="135" customWidth="1"/>
    <col min="12045" max="12045" width="67.75" style="135" customWidth="1"/>
    <col min="12046" max="12046" width="6.75" style="135" customWidth="1"/>
    <col min="12047" max="12047" width="7.625" style="135" bestFit="1" customWidth="1"/>
    <col min="12048" max="12048" width="8.75" style="135" bestFit="1" customWidth="1"/>
    <col min="12049" max="12049" width="11.375" style="135" customWidth="1"/>
    <col min="12050" max="12050" width="15.125" style="135" customWidth="1"/>
    <col min="12051" max="12051" width="7.625" style="135" bestFit="1" customWidth="1"/>
    <col min="12052" max="12052" width="11" style="135" bestFit="1" customWidth="1"/>
    <col min="12053" max="12059" width="6.5" style="135"/>
    <col min="12060" max="12060" width="12.5" style="135" customWidth="1"/>
    <col min="12061" max="12288" width="6.5" style="135"/>
    <col min="12289" max="12290" width="16" style="135" customWidth="1"/>
    <col min="12291" max="12291" width="23" style="135" customWidth="1"/>
    <col min="12292" max="12292" width="26.875" style="135" bestFit="1" customWidth="1"/>
    <col min="12293" max="12293" width="26.375" style="135" bestFit="1" customWidth="1"/>
    <col min="12294" max="12294" width="7.625" style="135" customWidth="1"/>
    <col min="12295" max="12295" width="23.375" style="135" customWidth="1"/>
    <col min="12296" max="12296" width="4.625" style="135" bestFit="1" customWidth="1"/>
    <col min="12297" max="12297" width="3.875" style="135" bestFit="1" customWidth="1"/>
    <col min="12298" max="12298" width="4.625" style="135" bestFit="1" customWidth="1"/>
    <col min="12299" max="12299" width="8.25" style="135" customWidth="1"/>
    <col min="12300" max="12300" width="7.5" style="135" customWidth="1"/>
    <col min="12301" max="12301" width="67.75" style="135" customWidth="1"/>
    <col min="12302" max="12302" width="6.75" style="135" customWidth="1"/>
    <col min="12303" max="12303" width="7.625" style="135" bestFit="1" customWidth="1"/>
    <col min="12304" max="12304" width="8.75" style="135" bestFit="1" customWidth="1"/>
    <col min="12305" max="12305" width="11.375" style="135" customWidth="1"/>
    <col min="12306" max="12306" width="15.125" style="135" customWidth="1"/>
    <col min="12307" max="12307" width="7.625" style="135" bestFit="1" customWidth="1"/>
    <col min="12308" max="12308" width="11" style="135" bestFit="1" customWidth="1"/>
    <col min="12309" max="12315" width="6.5" style="135"/>
    <col min="12316" max="12316" width="12.5" style="135" customWidth="1"/>
    <col min="12317" max="12544" width="6.5" style="135"/>
    <col min="12545" max="12546" width="16" style="135" customWidth="1"/>
    <col min="12547" max="12547" width="23" style="135" customWidth="1"/>
    <col min="12548" max="12548" width="26.875" style="135" bestFit="1" customWidth="1"/>
    <col min="12549" max="12549" width="26.375" style="135" bestFit="1" customWidth="1"/>
    <col min="12550" max="12550" width="7.625" style="135" customWidth="1"/>
    <col min="12551" max="12551" width="23.375" style="135" customWidth="1"/>
    <col min="12552" max="12552" width="4.625" style="135" bestFit="1" customWidth="1"/>
    <col min="12553" max="12553" width="3.875" style="135" bestFit="1" customWidth="1"/>
    <col min="12554" max="12554" width="4.625" style="135" bestFit="1" customWidth="1"/>
    <col min="12555" max="12555" width="8.25" style="135" customWidth="1"/>
    <col min="12556" max="12556" width="7.5" style="135" customWidth="1"/>
    <col min="12557" max="12557" width="67.75" style="135" customWidth="1"/>
    <col min="12558" max="12558" width="6.75" style="135" customWidth="1"/>
    <col min="12559" max="12559" width="7.625" style="135" bestFit="1" customWidth="1"/>
    <col min="12560" max="12560" width="8.75" style="135" bestFit="1" customWidth="1"/>
    <col min="12561" max="12561" width="11.375" style="135" customWidth="1"/>
    <col min="12562" max="12562" width="15.125" style="135" customWidth="1"/>
    <col min="12563" max="12563" width="7.625" style="135" bestFit="1" customWidth="1"/>
    <col min="12564" max="12564" width="11" style="135" bestFit="1" customWidth="1"/>
    <col min="12565" max="12571" width="6.5" style="135"/>
    <col min="12572" max="12572" width="12.5" style="135" customWidth="1"/>
    <col min="12573" max="12800" width="6.5" style="135"/>
    <col min="12801" max="12802" width="16" style="135" customWidth="1"/>
    <col min="12803" max="12803" width="23" style="135" customWidth="1"/>
    <col min="12804" max="12804" width="26.875" style="135" bestFit="1" customWidth="1"/>
    <col min="12805" max="12805" width="26.375" style="135" bestFit="1" customWidth="1"/>
    <col min="12806" max="12806" width="7.625" style="135" customWidth="1"/>
    <col min="12807" max="12807" width="23.375" style="135" customWidth="1"/>
    <col min="12808" max="12808" width="4.625" style="135" bestFit="1" customWidth="1"/>
    <col min="12809" max="12809" width="3.875" style="135" bestFit="1" customWidth="1"/>
    <col min="12810" max="12810" width="4.625" style="135" bestFit="1" customWidth="1"/>
    <col min="12811" max="12811" width="8.25" style="135" customWidth="1"/>
    <col min="12812" max="12812" width="7.5" style="135" customWidth="1"/>
    <col min="12813" max="12813" width="67.75" style="135" customWidth="1"/>
    <col min="12814" max="12814" width="6.75" style="135" customWidth="1"/>
    <col min="12815" max="12815" width="7.625" style="135" bestFit="1" customWidth="1"/>
    <col min="12816" max="12816" width="8.75" style="135" bestFit="1" customWidth="1"/>
    <col min="12817" max="12817" width="11.375" style="135" customWidth="1"/>
    <col min="12818" max="12818" width="15.125" style="135" customWidth="1"/>
    <col min="12819" max="12819" width="7.625" style="135" bestFit="1" customWidth="1"/>
    <col min="12820" max="12820" width="11" style="135" bestFit="1" customWidth="1"/>
    <col min="12821" max="12827" width="6.5" style="135"/>
    <col min="12828" max="12828" width="12.5" style="135" customWidth="1"/>
    <col min="12829" max="13056" width="6.5" style="135"/>
    <col min="13057" max="13058" width="16" style="135" customWidth="1"/>
    <col min="13059" max="13059" width="23" style="135" customWidth="1"/>
    <col min="13060" max="13060" width="26.875" style="135" bestFit="1" customWidth="1"/>
    <col min="13061" max="13061" width="26.375" style="135" bestFit="1" customWidth="1"/>
    <col min="13062" max="13062" width="7.625" style="135" customWidth="1"/>
    <col min="13063" max="13063" width="23.375" style="135" customWidth="1"/>
    <col min="13064" max="13064" width="4.625" style="135" bestFit="1" customWidth="1"/>
    <col min="13065" max="13065" width="3.875" style="135" bestFit="1" customWidth="1"/>
    <col min="13066" max="13066" width="4.625" style="135" bestFit="1" customWidth="1"/>
    <col min="13067" max="13067" width="8.25" style="135" customWidth="1"/>
    <col min="13068" max="13068" width="7.5" style="135" customWidth="1"/>
    <col min="13069" max="13069" width="67.75" style="135" customWidth="1"/>
    <col min="13070" max="13070" width="6.75" style="135" customWidth="1"/>
    <col min="13071" max="13071" width="7.625" style="135" bestFit="1" customWidth="1"/>
    <col min="13072" max="13072" width="8.75" style="135" bestFit="1" customWidth="1"/>
    <col min="13073" max="13073" width="11.375" style="135" customWidth="1"/>
    <col min="13074" max="13074" width="15.125" style="135" customWidth="1"/>
    <col min="13075" max="13075" width="7.625" style="135" bestFit="1" customWidth="1"/>
    <col min="13076" max="13076" width="11" style="135" bestFit="1" customWidth="1"/>
    <col min="13077" max="13083" width="6.5" style="135"/>
    <col min="13084" max="13084" width="12.5" style="135" customWidth="1"/>
    <col min="13085" max="13312" width="6.5" style="135"/>
    <col min="13313" max="13314" width="16" style="135" customWidth="1"/>
    <col min="13315" max="13315" width="23" style="135" customWidth="1"/>
    <col min="13316" max="13316" width="26.875" style="135" bestFit="1" customWidth="1"/>
    <col min="13317" max="13317" width="26.375" style="135" bestFit="1" customWidth="1"/>
    <col min="13318" max="13318" width="7.625" style="135" customWidth="1"/>
    <col min="13319" max="13319" width="23.375" style="135" customWidth="1"/>
    <col min="13320" max="13320" width="4.625" style="135" bestFit="1" customWidth="1"/>
    <col min="13321" max="13321" width="3.875" style="135" bestFit="1" customWidth="1"/>
    <col min="13322" max="13322" width="4.625" style="135" bestFit="1" customWidth="1"/>
    <col min="13323" max="13323" width="8.25" style="135" customWidth="1"/>
    <col min="13324" max="13324" width="7.5" style="135" customWidth="1"/>
    <col min="13325" max="13325" width="67.75" style="135" customWidth="1"/>
    <col min="13326" max="13326" width="6.75" style="135" customWidth="1"/>
    <col min="13327" max="13327" width="7.625" style="135" bestFit="1" customWidth="1"/>
    <col min="13328" max="13328" width="8.75" style="135" bestFit="1" customWidth="1"/>
    <col min="13329" max="13329" width="11.375" style="135" customWidth="1"/>
    <col min="13330" max="13330" width="15.125" style="135" customWidth="1"/>
    <col min="13331" max="13331" width="7.625" style="135" bestFit="1" customWidth="1"/>
    <col min="13332" max="13332" width="11" style="135" bestFit="1" customWidth="1"/>
    <col min="13333" max="13339" width="6.5" style="135"/>
    <col min="13340" max="13340" width="12.5" style="135" customWidth="1"/>
    <col min="13341" max="13568" width="6.5" style="135"/>
    <col min="13569" max="13570" width="16" style="135" customWidth="1"/>
    <col min="13571" max="13571" width="23" style="135" customWidth="1"/>
    <col min="13572" max="13572" width="26.875" style="135" bestFit="1" customWidth="1"/>
    <col min="13573" max="13573" width="26.375" style="135" bestFit="1" customWidth="1"/>
    <col min="13574" max="13574" width="7.625" style="135" customWidth="1"/>
    <col min="13575" max="13575" width="23.375" style="135" customWidth="1"/>
    <col min="13576" max="13576" width="4.625" style="135" bestFit="1" customWidth="1"/>
    <col min="13577" max="13577" width="3.875" style="135" bestFit="1" customWidth="1"/>
    <col min="13578" max="13578" width="4.625" style="135" bestFit="1" customWidth="1"/>
    <col min="13579" max="13579" width="8.25" style="135" customWidth="1"/>
    <col min="13580" max="13580" width="7.5" style="135" customWidth="1"/>
    <col min="13581" max="13581" width="67.75" style="135" customWidth="1"/>
    <col min="13582" max="13582" width="6.75" style="135" customWidth="1"/>
    <col min="13583" max="13583" width="7.625" style="135" bestFit="1" customWidth="1"/>
    <col min="13584" max="13584" width="8.75" style="135" bestFit="1" customWidth="1"/>
    <col min="13585" max="13585" width="11.375" style="135" customWidth="1"/>
    <col min="13586" max="13586" width="15.125" style="135" customWidth="1"/>
    <col min="13587" max="13587" width="7.625" style="135" bestFit="1" customWidth="1"/>
    <col min="13588" max="13588" width="11" style="135" bestFit="1" customWidth="1"/>
    <col min="13589" max="13595" width="6.5" style="135"/>
    <col min="13596" max="13596" width="12.5" style="135" customWidth="1"/>
    <col min="13597" max="13824" width="6.5" style="135"/>
    <col min="13825" max="13826" width="16" style="135" customWidth="1"/>
    <col min="13827" max="13827" width="23" style="135" customWidth="1"/>
    <col min="13828" max="13828" width="26.875" style="135" bestFit="1" customWidth="1"/>
    <col min="13829" max="13829" width="26.375" style="135" bestFit="1" customWidth="1"/>
    <col min="13830" max="13830" width="7.625" style="135" customWidth="1"/>
    <col min="13831" max="13831" width="23.375" style="135" customWidth="1"/>
    <col min="13832" max="13832" width="4.625" style="135" bestFit="1" customWidth="1"/>
    <col min="13833" max="13833" width="3.875" style="135" bestFit="1" customWidth="1"/>
    <col min="13834" max="13834" width="4.625" style="135" bestFit="1" customWidth="1"/>
    <col min="13835" max="13835" width="8.25" style="135" customWidth="1"/>
    <col min="13836" max="13836" width="7.5" style="135" customWidth="1"/>
    <col min="13837" max="13837" width="67.75" style="135" customWidth="1"/>
    <col min="13838" max="13838" width="6.75" style="135" customWidth="1"/>
    <col min="13839" max="13839" width="7.625" style="135" bestFit="1" customWidth="1"/>
    <col min="13840" max="13840" width="8.75" style="135" bestFit="1" customWidth="1"/>
    <col min="13841" max="13841" width="11.375" style="135" customWidth="1"/>
    <col min="13842" max="13842" width="15.125" style="135" customWidth="1"/>
    <col min="13843" max="13843" width="7.625" style="135" bestFit="1" customWidth="1"/>
    <col min="13844" max="13844" width="11" style="135" bestFit="1" customWidth="1"/>
    <col min="13845" max="13851" width="6.5" style="135"/>
    <col min="13852" max="13852" width="12.5" style="135" customWidth="1"/>
    <col min="13853" max="14080" width="6.5" style="135"/>
    <col min="14081" max="14082" width="16" style="135" customWidth="1"/>
    <col min="14083" max="14083" width="23" style="135" customWidth="1"/>
    <col min="14084" max="14084" width="26.875" style="135" bestFit="1" customWidth="1"/>
    <col min="14085" max="14085" width="26.375" style="135" bestFit="1" customWidth="1"/>
    <col min="14086" max="14086" width="7.625" style="135" customWidth="1"/>
    <col min="14087" max="14087" width="23.375" style="135" customWidth="1"/>
    <col min="14088" max="14088" width="4.625" style="135" bestFit="1" customWidth="1"/>
    <col min="14089" max="14089" width="3.875" style="135" bestFit="1" customWidth="1"/>
    <col min="14090" max="14090" width="4.625" style="135" bestFit="1" customWidth="1"/>
    <col min="14091" max="14091" width="8.25" style="135" customWidth="1"/>
    <col min="14092" max="14092" width="7.5" style="135" customWidth="1"/>
    <col min="14093" max="14093" width="67.75" style="135" customWidth="1"/>
    <col min="14094" max="14094" width="6.75" style="135" customWidth="1"/>
    <col min="14095" max="14095" width="7.625" style="135" bestFit="1" customWidth="1"/>
    <col min="14096" max="14096" width="8.75" style="135" bestFit="1" customWidth="1"/>
    <col min="14097" max="14097" width="11.375" style="135" customWidth="1"/>
    <col min="14098" max="14098" width="15.125" style="135" customWidth="1"/>
    <col min="14099" max="14099" width="7.625" style="135" bestFit="1" customWidth="1"/>
    <col min="14100" max="14100" width="11" style="135" bestFit="1" customWidth="1"/>
    <col min="14101" max="14107" width="6.5" style="135"/>
    <col min="14108" max="14108" width="12.5" style="135" customWidth="1"/>
    <col min="14109" max="14336" width="6.5" style="135"/>
    <col min="14337" max="14338" width="16" style="135" customWidth="1"/>
    <col min="14339" max="14339" width="23" style="135" customWidth="1"/>
    <col min="14340" max="14340" width="26.875" style="135" bestFit="1" customWidth="1"/>
    <col min="14341" max="14341" width="26.375" style="135" bestFit="1" customWidth="1"/>
    <col min="14342" max="14342" width="7.625" style="135" customWidth="1"/>
    <col min="14343" max="14343" width="23.375" style="135" customWidth="1"/>
    <col min="14344" max="14344" width="4.625" style="135" bestFit="1" customWidth="1"/>
    <col min="14345" max="14345" width="3.875" style="135" bestFit="1" customWidth="1"/>
    <col min="14346" max="14346" width="4.625" style="135" bestFit="1" customWidth="1"/>
    <col min="14347" max="14347" width="8.25" style="135" customWidth="1"/>
    <col min="14348" max="14348" width="7.5" style="135" customWidth="1"/>
    <col min="14349" max="14349" width="67.75" style="135" customWidth="1"/>
    <col min="14350" max="14350" width="6.75" style="135" customWidth="1"/>
    <col min="14351" max="14351" width="7.625" style="135" bestFit="1" customWidth="1"/>
    <col min="14352" max="14352" width="8.75" style="135" bestFit="1" customWidth="1"/>
    <col min="14353" max="14353" width="11.375" style="135" customWidth="1"/>
    <col min="14354" max="14354" width="15.125" style="135" customWidth="1"/>
    <col min="14355" max="14355" width="7.625" style="135" bestFit="1" customWidth="1"/>
    <col min="14356" max="14356" width="11" style="135" bestFit="1" customWidth="1"/>
    <col min="14357" max="14363" width="6.5" style="135"/>
    <col min="14364" max="14364" width="12.5" style="135" customWidth="1"/>
    <col min="14365" max="14592" width="6.5" style="135"/>
    <col min="14593" max="14594" width="16" style="135" customWidth="1"/>
    <col min="14595" max="14595" width="23" style="135" customWidth="1"/>
    <col min="14596" max="14596" width="26.875" style="135" bestFit="1" customWidth="1"/>
    <col min="14597" max="14597" width="26.375" style="135" bestFit="1" customWidth="1"/>
    <col min="14598" max="14598" width="7.625" style="135" customWidth="1"/>
    <col min="14599" max="14599" width="23.375" style="135" customWidth="1"/>
    <col min="14600" max="14600" width="4.625" style="135" bestFit="1" customWidth="1"/>
    <col min="14601" max="14601" width="3.875" style="135" bestFit="1" customWidth="1"/>
    <col min="14602" max="14602" width="4.625" style="135" bestFit="1" customWidth="1"/>
    <col min="14603" max="14603" width="8.25" style="135" customWidth="1"/>
    <col min="14604" max="14604" width="7.5" style="135" customWidth="1"/>
    <col min="14605" max="14605" width="67.75" style="135" customWidth="1"/>
    <col min="14606" max="14606" width="6.75" style="135" customWidth="1"/>
    <col min="14607" max="14607" width="7.625" style="135" bestFit="1" customWidth="1"/>
    <col min="14608" max="14608" width="8.75" style="135" bestFit="1" customWidth="1"/>
    <col min="14609" max="14609" width="11.375" style="135" customWidth="1"/>
    <col min="14610" max="14610" width="15.125" style="135" customWidth="1"/>
    <col min="14611" max="14611" width="7.625" style="135" bestFit="1" customWidth="1"/>
    <col min="14612" max="14612" width="11" style="135" bestFit="1" customWidth="1"/>
    <col min="14613" max="14619" width="6.5" style="135"/>
    <col min="14620" max="14620" width="12.5" style="135" customWidth="1"/>
    <col min="14621" max="14848" width="6.5" style="135"/>
    <col min="14849" max="14850" width="16" style="135" customWidth="1"/>
    <col min="14851" max="14851" width="23" style="135" customWidth="1"/>
    <col min="14852" max="14852" width="26.875" style="135" bestFit="1" customWidth="1"/>
    <col min="14853" max="14853" width="26.375" style="135" bestFit="1" customWidth="1"/>
    <col min="14854" max="14854" width="7.625" style="135" customWidth="1"/>
    <col min="14855" max="14855" width="23.375" style="135" customWidth="1"/>
    <col min="14856" max="14856" width="4.625" style="135" bestFit="1" customWidth="1"/>
    <col min="14857" max="14857" width="3.875" style="135" bestFit="1" customWidth="1"/>
    <col min="14858" max="14858" width="4.625" style="135" bestFit="1" customWidth="1"/>
    <col min="14859" max="14859" width="8.25" style="135" customWidth="1"/>
    <col min="14860" max="14860" width="7.5" style="135" customWidth="1"/>
    <col min="14861" max="14861" width="67.75" style="135" customWidth="1"/>
    <col min="14862" max="14862" width="6.75" style="135" customWidth="1"/>
    <col min="14863" max="14863" width="7.625" style="135" bestFit="1" customWidth="1"/>
    <col min="14864" max="14864" width="8.75" style="135" bestFit="1" customWidth="1"/>
    <col min="14865" max="14865" width="11.375" style="135" customWidth="1"/>
    <col min="14866" max="14866" width="15.125" style="135" customWidth="1"/>
    <col min="14867" max="14867" width="7.625" style="135" bestFit="1" customWidth="1"/>
    <col min="14868" max="14868" width="11" style="135" bestFit="1" customWidth="1"/>
    <col min="14869" max="14875" width="6.5" style="135"/>
    <col min="14876" max="14876" width="12.5" style="135" customWidth="1"/>
    <col min="14877" max="15104" width="6.5" style="135"/>
    <col min="15105" max="15106" width="16" style="135" customWidth="1"/>
    <col min="15107" max="15107" width="23" style="135" customWidth="1"/>
    <col min="15108" max="15108" width="26.875" style="135" bestFit="1" customWidth="1"/>
    <col min="15109" max="15109" width="26.375" style="135" bestFit="1" customWidth="1"/>
    <col min="15110" max="15110" width="7.625" style="135" customWidth="1"/>
    <col min="15111" max="15111" width="23.375" style="135" customWidth="1"/>
    <col min="15112" max="15112" width="4.625" style="135" bestFit="1" customWidth="1"/>
    <col min="15113" max="15113" width="3.875" style="135" bestFit="1" customWidth="1"/>
    <col min="15114" max="15114" width="4.625" style="135" bestFit="1" customWidth="1"/>
    <col min="15115" max="15115" width="8.25" style="135" customWidth="1"/>
    <col min="15116" max="15116" width="7.5" style="135" customWidth="1"/>
    <col min="15117" max="15117" width="67.75" style="135" customWidth="1"/>
    <col min="15118" max="15118" width="6.75" style="135" customWidth="1"/>
    <col min="15119" max="15119" width="7.625" style="135" bestFit="1" customWidth="1"/>
    <col min="15120" max="15120" width="8.75" style="135" bestFit="1" customWidth="1"/>
    <col min="15121" max="15121" width="11.375" style="135" customWidth="1"/>
    <col min="15122" max="15122" width="15.125" style="135" customWidth="1"/>
    <col min="15123" max="15123" width="7.625" style="135" bestFit="1" customWidth="1"/>
    <col min="15124" max="15124" width="11" style="135" bestFit="1" customWidth="1"/>
    <col min="15125" max="15131" width="6.5" style="135"/>
    <col min="15132" max="15132" width="12.5" style="135" customWidth="1"/>
    <col min="15133" max="15360" width="6.5" style="135"/>
    <col min="15361" max="15362" width="16" style="135" customWidth="1"/>
    <col min="15363" max="15363" width="23" style="135" customWidth="1"/>
    <col min="15364" max="15364" width="26.875" style="135" bestFit="1" customWidth="1"/>
    <col min="15365" max="15365" width="26.375" style="135" bestFit="1" customWidth="1"/>
    <col min="15366" max="15366" width="7.625" style="135" customWidth="1"/>
    <col min="15367" max="15367" width="23.375" style="135" customWidth="1"/>
    <col min="15368" max="15368" width="4.625" style="135" bestFit="1" customWidth="1"/>
    <col min="15369" max="15369" width="3.875" style="135" bestFit="1" customWidth="1"/>
    <col min="15370" max="15370" width="4.625" style="135" bestFit="1" customWidth="1"/>
    <col min="15371" max="15371" width="8.25" style="135" customWidth="1"/>
    <col min="15372" max="15372" width="7.5" style="135" customWidth="1"/>
    <col min="15373" max="15373" width="67.75" style="135" customWidth="1"/>
    <col min="15374" max="15374" width="6.75" style="135" customWidth="1"/>
    <col min="15375" max="15375" width="7.625" style="135" bestFit="1" customWidth="1"/>
    <col min="15376" max="15376" width="8.75" style="135" bestFit="1" customWidth="1"/>
    <col min="15377" max="15377" width="11.375" style="135" customWidth="1"/>
    <col min="15378" max="15378" width="15.125" style="135" customWidth="1"/>
    <col min="15379" max="15379" width="7.625" style="135" bestFit="1" customWidth="1"/>
    <col min="15380" max="15380" width="11" style="135" bestFit="1" customWidth="1"/>
    <col min="15381" max="15387" width="6.5" style="135"/>
    <col min="15388" max="15388" width="12.5" style="135" customWidth="1"/>
    <col min="15389" max="15616" width="6.5" style="135"/>
    <col min="15617" max="15618" width="16" style="135" customWidth="1"/>
    <col min="15619" max="15619" width="23" style="135" customWidth="1"/>
    <col min="15620" max="15620" width="26.875" style="135" bestFit="1" customWidth="1"/>
    <col min="15621" max="15621" width="26.375" style="135" bestFit="1" customWidth="1"/>
    <col min="15622" max="15622" width="7.625" style="135" customWidth="1"/>
    <col min="15623" max="15623" width="23.375" style="135" customWidth="1"/>
    <col min="15624" max="15624" width="4.625" style="135" bestFit="1" customWidth="1"/>
    <col min="15625" max="15625" width="3.875" style="135" bestFit="1" customWidth="1"/>
    <col min="15626" max="15626" width="4.625" style="135" bestFit="1" customWidth="1"/>
    <col min="15627" max="15627" width="8.25" style="135" customWidth="1"/>
    <col min="15628" max="15628" width="7.5" style="135" customWidth="1"/>
    <col min="15629" max="15629" width="67.75" style="135" customWidth="1"/>
    <col min="15630" max="15630" width="6.75" style="135" customWidth="1"/>
    <col min="15631" max="15631" width="7.625" style="135" bestFit="1" customWidth="1"/>
    <col min="15632" max="15632" width="8.75" style="135" bestFit="1" customWidth="1"/>
    <col min="15633" max="15633" width="11.375" style="135" customWidth="1"/>
    <col min="15634" max="15634" width="15.125" style="135" customWidth="1"/>
    <col min="15635" max="15635" width="7.625" style="135" bestFit="1" customWidth="1"/>
    <col min="15636" max="15636" width="11" style="135" bestFit="1" customWidth="1"/>
    <col min="15637" max="15643" width="6.5" style="135"/>
    <col min="15644" max="15644" width="12.5" style="135" customWidth="1"/>
    <col min="15645" max="15872" width="6.5" style="135"/>
    <col min="15873" max="15874" width="16" style="135" customWidth="1"/>
    <col min="15875" max="15875" width="23" style="135" customWidth="1"/>
    <col min="15876" max="15876" width="26.875" style="135" bestFit="1" customWidth="1"/>
    <col min="15877" max="15877" width="26.375" style="135" bestFit="1" customWidth="1"/>
    <col min="15878" max="15878" width="7.625" style="135" customWidth="1"/>
    <col min="15879" max="15879" width="23.375" style="135" customWidth="1"/>
    <col min="15880" max="15880" width="4.625" style="135" bestFit="1" customWidth="1"/>
    <col min="15881" max="15881" width="3.875" style="135" bestFit="1" customWidth="1"/>
    <col min="15882" max="15882" width="4.625" style="135" bestFit="1" customWidth="1"/>
    <col min="15883" max="15883" width="8.25" style="135" customWidth="1"/>
    <col min="15884" max="15884" width="7.5" style="135" customWidth="1"/>
    <col min="15885" max="15885" width="67.75" style="135" customWidth="1"/>
    <col min="15886" max="15886" width="6.75" style="135" customWidth="1"/>
    <col min="15887" max="15887" width="7.625" style="135" bestFit="1" customWidth="1"/>
    <col min="15888" max="15888" width="8.75" style="135" bestFit="1" customWidth="1"/>
    <col min="15889" max="15889" width="11.375" style="135" customWidth="1"/>
    <col min="15890" max="15890" width="15.125" style="135" customWidth="1"/>
    <col min="15891" max="15891" width="7.625" style="135" bestFit="1" customWidth="1"/>
    <col min="15892" max="15892" width="11" style="135" bestFit="1" customWidth="1"/>
    <col min="15893" max="15899" width="6.5" style="135"/>
    <col min="15900" max="15900" width="12.5" style="135" customWidth="1"/>
    <col min="15901" max="16128" width="6.5" style="135"/>
    <col min="16129" max="16130" width="16" style="135" customWidth="1"/>
    <col min="16131" max="16131" width="23" style="135" customWidth="1"/>
    <col min="16132" max="16132" width="26.875" style="135" bestFit="1" customWidth="1"/>
    <col min="16133" max="16133" width="26.375" style="135" bestFit="1" customWidth="1"/>
    <col min="16134" max="16134" width="7.625" style="135" customWidth="1"/>
    <col min="16135" max="16135" width="23.375" style="135" customWidth="1"/>
    <col min="16136" max="16136" width="4.625" style="135" bestFit="1" customWidth="1"/>
    <col min="16137" max="16137" width="3.875" style="135" bestFit="1" customWidth="1"/>
    <col min="16138" max="16138" width="4.625" style="135" bestFit="1" customWidth="1"/>
    <col min="16139" max="16139" width="8.25" style="135" customWidth="1"/>
    <col min="16140" max="16140" width="7.5" style="135" customWidth="1"/>
    <col min="16141" max="16141" width="67.75" style="135" customWidth="1"/>
    <col min="16142" max="16142" width="6.75" style="135" customWidth="1"/>
    <col min="16143" max="16143" width="7.625" style="135" bestFit="1" customWidth="1"/>
    <col min="16144" max="16144" width="8.75" style="135" bestFit="1" customWidth="1"/>
    <col min="16145" max="16145" width="11.375" style="135" customWidth="1"/>
    <col min="16146" max="16146" width="15.125" style="135" customWidth="1"/>
    <col min="16147" max="16147" width="7.625" style="135" bestFit="1" customWidth="1"/>
    <col min="16148" max="16148" width="11" style="135" bestFit="1" customWidth="1"/>
    <col min="16149" max="16155" width="6.5" style="135"/>
    <col min="16156" max="16156" width="12.5" style="135" customWidth="1"/>
    <col min="16157" max="16384" width="6.5" style="135"/>
  </cols>
  <sheetData>
    <row r="1" spans="1:29" s="153" customFormat="1">
      <c r="A1" s="153" t="s">
        <v>660</v>
      </c>
      <c r="B1" s="154" t="s">
        <v>1789</v>
      </c>
      <c r="C1" s="155"/>
      <c r="D1" s="154"/>
      <c r="E1" s="155"/>
      <c r="F1" s="155"/>
      <c r="AC1" s="156"/>
    </row>
    <row r="2" spans="1:29" s="153" customFormat="1">
      <c r="A2" s="153" t="s">
        <v>661</v>
      </c>
      <c r="B2" s="154" t="s">
        <v>1790</v>
      </c>
      <c r="C2" s="155"/>
      <c r="D2" s="154"/>
      <c r="E2" s="155"/>
      <c r="F2" s="155"/>
      <c r="AC2" s="156"/>
    </row>
    <row r="3" spans="1:29" s="153" customFormat="1">
      <c r="A3" s="153" t="s">
        <v>662</v>
      </c>
      <c r="B3" s="154" t="s">
        <v>2288</v>
      </c>
      <c r="C3" s="155"/>
      <c r="D3" s="154"/>
      <c r="E3" s="155"/>
      <c r="F3" s="155"/>
      <c r="I3" s="157"/>
      <c r="J3" s="157"/>
      <c r="K3" s="157"/>
      <c r="O3" s="157"/>
      <c r="AC3" s="156"/>
    </row>
    <row r="4" spans="1:29" s="153" customFormat="1">
      <c r="A4" s="153" t="s">
        <v>1791</v>
      </c>
      <c r="B4" s="154" t="s">
        <v>2288</v>
      </c>
      <c r="C4" s="155"/>
      <c r="D4" s="154"/>
      <c r="E4" s="155"/>
      <c r="F4" s="155"/>
      <c r="I4" s="157"/>
      <c r="J4" s="157"/>
      <c r="K4" s="157"/>
      <c r="O4" s="157"/>
      <c r="AC4" s="156"/>
    </row>
    <row r="5" spans="1:29" s="153" customFormat="1">
      <c r="A5" s="153" t="s">
        <v>898</v>
      </c>
      <c r="B5" s="154">
        <v>10</v>
      </c>
      <c r="C5" s="155"/>
      <c r="D5" s="154"/>
      <c r="E5" s="155"/>
      <c r="F5" s="155"/>
      <c r="I5" s="157"/>
      <c r="J5" s="157"/>
      <c r="K5" s="157"/>
      <c r="O5" s="157"/>
      <c r="AC5" s="156"/>
    </row>
    <row r="6" spans="1:29" s="153" customFormat="1">
      <c r="A6" s="153" t="s">
        <v>663</v>
      </c>
      <c r="B6" s="154" t="s">
        <v>1792</v>
      </c>
      <c r="C6" s="155"/>
      <c r="D6" s="154"/>
      <c r="E6" s="155"/>
      <c r="F6" s="155"/>
      <c r="I6" s="157"/>
      <c r="J6" s="157"/>
      <c r="K6" s="157"/>
      <c r="O6" s="157"/>
      <c r="AC6" s="156"/>
    </row>
    <row r="7" spans="1:29" s="153" customFormat="1">
      <c r="A7" s="153" t="s">
        <v>1793</v>
      </c>
      <c r="B7" s="154" t="s">
        <v>1794</v>
      </c>
      <c r="C7" s="155"/>
      <c r="D7" s="154"/>
      <c r="E7" s="155"/>
      <c r="F7" s="155"/>
      <c r="I7" s="157"/>
      <c r="J7" s="157"/>
      <c r="K7" s="157"/>
      <c r="O7" s="157"/>
      <c r="AC7" s="156"/>
    </row>
    <row r="8" spans="1:29" s="153" customFormat="1">
      <c r="A8" s="153" t="s">
        <v>664</v>
      </c>
      <c r="B8" s="154" t="s">
        <v>1795</v>
      </c>
      <c r="C8" s="155"/>
      <c r="D8" s="154"/>
      <c r="E8" s="155"/>
      <c r="F8" s="155"/>
      <c r="I8" s="157"/>
      <c r="J8" s="157"/>
      <c r="K8" s="157"/>
      <c r="O8" s="157"/>
      <c r="AC8" s="156"/>
    </row>
    <row r="9" spans="1:29" s="153" customFormat="1">
      <c r="A9" s="153" t="s">
        <v>1796</v>
      </c>
      <c r="B9" s="154" t="s">
        <v>1797</v>
      </c>
      <c r="C9" s="155"/>
      <c r="D9" s="154"/>
      <c r="E9" s="155"/>
      <c r="F9" s="155"/>
      <c r="I9" s="157"/>
      <c r="J9" s="157"/>
      <c r="K9" s="157"/>
      <c r="O9" s="157"/>
      <c r="AC9" s="156"/>
    </row>
    <row r="10" spans="1:29" s="153" customFormat="1">
      <c r="A10" s="153" t="s">
        <v>1798</v>
      </c>
      <c r="B10" s="154" t="s">
        <v>1799</v>
      </c>
      <c r="C10" s="155"/>
      <c r="D10" s="154"/>
      <c r="E10" s="155"/>
      <c r="F10" s="155"/>
      <c r="I10" s="157"/>
      <c r="J10" s="157"/>
      <c r="K10" s="157"/>
      <c r="O10" s="157"/>
      <c r="AC10" s="156"/>
    </row>
    <row r="11" spans="1:29" s="153" customFormat="1">
      <c r="A11" s="153" t="s">
        <v>665</v>
      </c>
      <c r="B11" s="154" t="s">
        <v>666</v>
      </c>
      <c r="C11" s="155"/>
      <c r="D11" s="154"/>
      <c r="E11" s="155"/>
      <c r="F11" s="155"/>
      <c r="I11" s="157"/>
      <c r="J11" s="157"/>
      <c r="K11" s="157"/>
      <c r="O11" s="157"/>
      <c r="AC11" s="156"/>
    </row>
    <row r="12" spans="1:29" s="153" customFormat="1">
      <c r="A12" s="153" t="s">
        <v>667</v>
      </c>
      <c r="B12" s="154" t="s">
        <v>1800</v>
      </c>
      <c r="C12" s="155"/>
      <c r="D12" s="154"/>
      <c r="E12" s="155"/>
      <c r="F12" s="155"/>
      <c r="I12" s="157"/>
      <c r="J12" s="157"/>
      <c r="K12" s="157"/>
      <c r="O12" s="157"/>
      <c r="AC12" s="156"/>
    </row>
    <row r="13" spans="1:29" s="158" customFormat="1">
      <c r="A13" s="153" t="s">
        <v>1801</v>
      </c>
      <c r="B13" s="154" t="s">
        <v>2289</v>
      </c>
      <c r="C13" s="154" t="s">
        <v>2290</v>
      </c>
      <c r="D13" s="154"/>
      <c r="E13" s="155"/>
      <c r="F13" s="155"/>
      <c r="G13" s="153"/>
      <c r="H13" s="153"/>
      <c r="I13" s="157"/>
      <c r="J13" s="157"/>
      <c r="K13" s="157"/>
      <c r="L13" s="153"/>
      <c r="M13" s="153"/>
      <c r="N13" s="153"/>
      <c r="O13" s="157"/>
      <c r="P13" s="153"/>
      <c r="Q13" s="153"/>
      <c r="R13" s="153"/>
      <c r="S13" s="153"/>
      <c r="T13" s="153"/>
      <c r="U13" s="153"/>
      <c r="V13" s="153"/>
      <c r="W13" s="153"/>
      <c r="X13" s="153"/>
      <c r="Y13" s="153"/>
      <c r="Z13" s="153"/>
      <c r="AA13" s="153"/>
      <c r="AB13" s="153"/>
    </row>
    <row r="14" spans="1:29" s="158" customFormat="1">
      <c r="A14" s="153" t="s">
        <v>668</v>
      </c>
      <c r="B14" s="154" t="s">
        <v>2291</v>
      </c>
      <c r="C14" s="154" t="s">
        <v>2292</v>
      </c>
      <c r="D14" s="154"/>
      <c r="E14" s="155"/>
      <c r="F14" s="155"/>
      <c r="G14" s="153"/>
      <c r="H14" s="153"/>
      <c r="I14" s="157"/>
      <c r="J14" s="157"/>
      <c r="K14" s="157"/>
      <c r="L14" s="153"/>
      <c r="M14" s="153"/>
      <c r="N14" s="153"/>
      <c r="O14" s="157"/>
      <c r="P14" s="153"/>
      <c r="Q14" s="153"/>
      <c r="R14" s="153"/>
      <c r="S14" s="153"/>
      <c r="T14" s="153"/>
      <c r="U14" s="153"/>
      <c r="V14" s="153"/>
      <c r="W14" s="153"/>
      <c r="X14" s="153"/>
      <c r="Y14" s="153"/>
      <c r="Z14" s="153"/>
      <c r="AA14" s="153"/>
      <c r="AB14" s="153"/>
    </row>
    <row r="15" spans="1:29" s="158" customFormat="1">
      <c r="A15" s="153" t="s">
        <v>1802</v>
      </c>
      <c r="B15" s="154"/>
      <c r="C15" s="155"/>
      <c r="D15" s="154"/>
      <c r="E15" s="154"/>
      <c r="F15" s="155"/>
      <c r="G15" s="153"/>
      <c r="H15" s="153"/>
      <c r="I15" s="153"/>
      <c r="J15" s="153"/>
      <c r="K15" s="153"/>
      <c r="L15" s="153"/>
      <c r="M15" s="153"/>
      <c r="N15" s="153"/>
      <c r="O15" s="153"/>
      <c r="P15" s="153"/>
      <c r="Q15" s="153"/>
      <c r="R15" s="153"/>
      <c r="S15" s="153"/>
      <c r="T15" s="153"/>
      <c r="U15" s="153"/>
      <c r="V15" s="153"/>
      <c r="W15" s="153"/>
      <c r="X15" s="153"/>
      <c r="Y15" s="153"/>
      <c r="Z15" s="153"/>
      <c r="AA15" s="153"/>
      <c r="AB15" s="153"/>
    </row>
    <row r="16" spans="1:29">
      <c r="A16" s="159" t="s">
        <v>669</v>
      </c>
      <c r="B16" s="159"/>
      <c r="C16" s="159"/>
      <c r="D16" s="160"/>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row>
    <row r="17" spans="1:28">
      <c r="A17" s="159" t="s">
        <v>670</v>
      </c>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row>
    <row r="18" spans="1:28" s="165" customFormat="1" ht="31.5">
      <c r="A18" s="161" t="s">
        <v>671</v>
      </c>
      <c r="B18" s="161" t="s">
        <v>672</v>
      </c>
      <c r="C18" s="162" t="s">
        <v>673</v>
      </c>
      <c r="D18" s="161" t="s">
        <v>674</v>
      </c>
      <c r="E18" s="161" t="s">
        <v>675</v>
      </c>
      <c r="F18" s="161" t="s">
        <v>676</v>
      </c>
      <c r="G18" s="161" t="s">
        <v>677</v>
      </c>
      <c r="H18" s="161" t="s">
        <v>678</v>
      </c>
      <c r="I18" s="161" t="s">
        <v>679</v>
      </c>
      <c r="J18" s="161" t="s">
        <v>680</v>
      </c>
      <c r="K18" s="161" t="s">
        <v>681</v>
      </c>
      <c r="L18" s="161" t="s">
        <v>682</v>
      </c>
      <c r="M18" s="161" t="s">
        <v>683</v>
      </c>
      <c r="N18" s="161" t="s">
        <v>684</v>
      </c>
      <c r="O18" s="161" t="s">
        <v>685</v>
      </c>
      <c r="P18" s="161" t="s">
        <v>686</v>
      </c>
      <c r="Q18" s="161" t="s">
        <v>1803</v>
      </c>
      <c r="R18" s="161" t="s">
        <v>688</v>
      </c>
      <c r="S18" s="161" t="s">
        <v>1804</v>
      </c>
      <c r="T18" s="161" t="s">
        <v>1805</v>
      </c>
      <c r="U18" s="163" t="s">
        <v>691</v>
      </c>
      <c r="V18" s="164" t="s">
        <v>692</v>
      </c>
      <c r="W18" s="163" t="s">
        <v>1806</v>
      </c>
      <c r="X18" s="163" t="s">
        <v>1807</v>
      </c>
      <c r="Y18" s="163" t="s">
        <v>1808</v>
      </c>
      <c r="Z18" s="163" t="s">
        <v>1809</v>
      </c>
      <c r="AA18" s="163" t="s">
        <v>1810</v>
      </c>
      <c r="AB18" s="163" t="s">
        <v>1811</v>
      </c>
    </row>
    <row r="19" spans="1:28" s="172" customFormat="1" ht="45">
      <c r="A19" s="166" t="s">
        <v>1812</v>
      </c>
      <c r="B19" s="166" t="s">
        <v>1813</v>
      </c>
      <c r="C19" s="167" t="s">
        <v>1991</v>
      </c>
      <c r="D19" s="168" t="s">
        <v>1992</v>
      </c>
      <c r="E19" s="168" t="s">
        <v>1992</v>
      </c>
      <c r="F19" s="169" t="s">
        <v>1795</v>
      </c>
      <c r="G19" s="167" t="s">
        <v>1993</v>
      </c>
      <c r="H19" s="167">
        <v>0</v>
      </c>
      <c r="I19" s="167">
        <v>0</v>
      </c>
      <c r="J19" s="169">
        <v>1</v>
      </c>
      <c r="K19" s="167" t="s">
        <v>1994</v>
      </c>
      <c r="L19" s="169" t="s">
        <v>698</v>
      </c>
      <c r="M19" s="170" t="s">
        <v>2293</v>
      </c>
      <c r="N19" s="168"/>
      <c r="O19" s="168"/>
      <c r="P19" s="168"/>
      <c r="Q19" s="168"/>
      <c r="R19" s="168"/>
      <c r="S19" s="168"/>
      <c r="T19" s="168"/>
      <c r="U19" s="171"/>
      <c r="V19" s="171"/>
      <c r="W19" s="171"/>
      <c r="X19" s="171"/>
      <c r="Y19" s="171"/>
      <c r="Z19" s="171"/>
      <c r="AA19" s="171"/>
      <c r="AB19" s="171"/>
    </row>
    <row r="20" spans="1:28" s="179" customFormat="1">
      <c r="A20" s="173"/>
      <c r="B20" s="173"/>
      <c r="C20" s="174" t="s">
        <v>1814</v>
      </c>
      <c r="D20" s="175" t="s">
        <v>1814</v>
      </c>
      <c r="E20" s="175" t="s">
        <v>1815</v>
      </c>
      <c r="F20" s="176" t="s">
        <v>1795</v>
      </c>
      <c r="G20" s="174" t="s">
        <v>1816</v>
      </c>
      <c r="H20" s="174">
        <v>1</v>
      </c>
      <c r="I20" s="174">
        <v>1</v>
      </c>
      <c r="J20" s="176">
        <v>1</v>
      </c>
      <c r="K20" s="174" t="s">
        <v>693</v>
      </c>
      <c r="L20" s="176" t="s">
        <v>698</v>
      </c>
      <c r="M20" s="177"/>
      <c r="N20" s="175"/>
      <c r="O20" s="175"/>
      <c r="P20" s="175"/>
      <c r="Q20" s="175"/>
      <c r="R20" s="175"/>
      <c r="S20" s="175"/>
      <c r="T20" s="175"/>
      <c r="U20" s="178"/>
      <c r="V20" s="178"/>
      <c r="W20" s="178"/>
      <c r="X20" s="178"/>
      <c r="Y20" s="178"/>
      <c r="Z20" s="178"/>
      <c r="AA20" s="178"/>
      <c r="AB20" s="178"/>
    </row>
    <row r="21" spans="1:28" s="179" customFormat="1">
      <c r="A21" s="173"/>
      <c r="B21" s="173"/>
      <c r="C21" s="174" t="s">
        <v>2294</v>
      </c>
      <c r="D21" s="175" t="s">
        <v>2294</v>
      </c>
      <c r="E21" s="175" t="s">
        <v>2295</v>
      </c>
      <c r="F21" s="176" t="s">
        <v>1795</v>
      </c>
      <c r="G21" s="174" t="s">
        <v>1817</v>
      </c>
      <c r="H21" s="174">
        <v>15</v>
      </c>
      <c r="I21" s="174">
        <v>8</v>
      </c>
      <c r="J21" s="176">
        <v>8</v>
      </c>
      <c r="K21" s="174" t="s">
        <v>2296</v>
      </c>
      <c r="L21" s="176" t="s">
        <v>698</v>
      </c>
      <c r="M21" s="177" t="s">
        <v>1818</v>
      </c>
      <c r="N21" s="175"/>
      <c r="O21" s="175"/>
      <c r="P21" s="175"/>
      <c r="Q21" s="175"/>
      <c r="R21" s="175"/>
      <c r="S21" s="175"/>
      <c r="T21" s="175"/>
      <c r="U21" s="178"/>
      <c r="V21" s="178"/>
      <c r="W21" s="178"/>
      <c r="X21" s="178"/>
      <c r="Y21" s="178"/>
      <c r="Z21" s="178"/>
      <c r="AA21" s="178"/>
      <c r="AB21" s="178"/>
    </row>
    <row r="22" spans="1:28" s="179" customFormat="1" ht="45">
      <c r="A22" s="173"/>
      <c r="B22" s="173"/>
      <c r="C22" s="174" t="s">
        <v>2297</v>
      </c>
      <c r="D22" s="174" t="s">
        <v>2297</v>
      </c>
      <c r="E22" s="175" t="s">
        <v>2298</v>
      </c>
      <c r="F22" s="176" t="s">
        <v>1795</v>
      </c>
      <c r="G22" s="174" t="s">
        <v>2299</v>
      </c>
      <c r="H22" s="174">
        <v>16</v>
      </c>
      <c r="I22" s="174">
        <v>16</v>
      </c>
      <c r="J22" s="176">
        <v>1</v>
      </c>
      <c r="K22" s="174" t="s">
        <v>693</v>
      </c>
      <c r="L22" s="176" t="s">
        <v>698</v>
      </c>
      <c r="M22" s="177" t="s">
        <v>1819</v>
      </c>
      <c r="N22" s="175"/>
      <c r="O22" s="175"/>
      <c r="P22" s="175"/>
      <c r="Q22" s="175"/>
      <c r="R22" s="175"/>
      <c r="S22" s="175"/>
      <c r="T22" s="175"/>
      <c r="U22" s="178"/>
      <c r="V22" s="178"/>
      <c r="W22" s="178"/>
      <c r="X22" s="178"/>
      <c r="Y22" s="178"/>
      <c r="Z22" s="178"/>
      <c r="AA22" s="178"/>
      <c r="AB22" s="178"/>
    </row>
    <row r="23" spans="1:28" s="172" customFormat="1">
      <c r="A23" s="166" t="s">
        <v>1996</v>
      </c>
      <c r="B23" s="166" t="s">
        <v>1996</v>
      </c>
      <c r="C23" s="167" t="s">
        <v>1997</v>
      </c>
      <c r="D23" s="168" t="s">
        <v>1998</v>
      </c>
      <c r="E23" s="168" t="s">
        <v>1998</v>
      </c>
      <c r="F23" s="169" t="s">
        <v>1795</v>
      </c>
      <c r="G23" s="167" t="s">
        <v>1999</v>
      </c>
      <c r="H23" s="167">
        <v>31</v>
      </c>
      <c r="I23" s="167">
        <v>0</v>
      </c>
      <c r="J23" s="169">
        <f t="shared" ref="J23:J32" si="0">H23-I23+1</f>
        <v>32</v>
      </c>
      <c r="K23" s="167" t="s">
        <v>693</v>
      </c>
      <c r="L23" s="169" t="s">
        <v>698</v>
      </c>
      <c r="M23" s="170" t="s">
        <v>1998</v>
      </c>
      <c r="N23" s="168"/>
      <c r="O23" s="168"/>
      <c r="P23" s="168"/>
      <c r="Q23" s="168"/>
      <c r="R23" s="168"/>
      <c r="S23" s="168"/>
      <c r="T23" s="168"/>
      <c r="U23" s="171"/>
      <c r="V23" s="171"/>
      <c r="W23" s="171"/>
      <c r="X23" s="171"/>
      <c r="Y23" s="171"/>
      <c r="Z23" s="171"/>
      <c r="AA23" s="171"/>
      <c r="AB23" s="171"/>
    </row>
    <row r="24" spans="1:28" s="172" customFormat="1">
      <c r="A24" s="166" t="s">
        <v>2001</v>
      </c>
      <c r="B24" s="166" t="s">
        <v>2001</v>
      </c>
      <c r="C24" s="167" t="s">
        <v>2002</v>
      </c>
      <c r="D24" s="168" t="s">
        <v>2003</v>
      </c>
      <c r="E24" s="168"/>
      <c r="F24" s="169" t="s">
        <v>1795</v>
      </c>
      <c r="G24" s="167" t="s">
        <v>2004</v>
      </c>
      <c r="H24" s="167">
        <v>31</v>
      </c>
      <c r="I24" s="167">
        <v>0</v>
      </c>
      <c r="J24" s="169">
        <f t="shared" si="0"/>
        <v>32</v>
      </c>
      <c r="K24" s="167" t="s">
        <v>693</v>
      </c>
      <c r="L24" s="169" t="s">
        <v>2005</v>
      </c>
      <c r="M24" s="170"/>
      <c r="N24" s="168"/>
      <c r="O24" s="168"/>
      <c r="P24" s="168"/>
      <c r="Q24" s="168"/>
      <c r="R24" s="168"/>
      <c r="S24" s="168"/>
      <c r="T24" s="168"/>
      <c r="U24" s="171"/>
      <c r="V24" s="171"/>
      <c r="W24" s="171"/>
      <c r="X24" s="171"/>
      <c r="Y24" s="171"/>
      <c r="Z24" s="171"/>
      <c r="AA24" s="171"/>
      <c r="AB24" s="171"/>
    </row>
    <row r="25" spans="1:28" s="186" customFormat="1">
      <c r="A25" s="233" t="s">
        <v>1820</v>
      </c>
      <c r="B25" s="233" t="s">
        <v>1820</v>
      </c>
      <c r="C25" s="234" t="s">
        <v>1821</v>
      </c>
      <c r="D25" s="232" t="s">
        <v>2300</v>
      </c>
      <c r="E25" s="232" t="s">
        <v>2300</v>
      </c>
      <c r="F25" s="232" t="s">
        <v>1795</v>
      </c>
      <c r="G25" s="181" t="s">
        <v>1822</v>
      </c>
      <c r="H25" s="181">
        <v>0</v>
      </c>
      <c r="I25" s="181">
        <v>0</v>
      </c>
      <c r="J25" s="183">
        <f t="shared" si="0"/>
        <v>1</v>
      </c>
      <c r="K25" s="181" t="s">
        <v>693</v>
      </c>
      <c r="L25" s="183" t="s">
        <v>712</v>
      </c>
      <c r="M25" s="184" t="s">
        <v>1823</v>
      </c>
      <c r="N25" s="182"/>
      <c r="O25" s="182"/>
      <c r="P25" s="182"/>
      <c r="Q25" s="182"/>
      <c r="R25" s="182"/>
      <c r="S25" s="182"/>
      <c r="T25" s="182"/>
      <c r="U25" s="185"/>
      <c r="V25" s="185"/>
      <c r="W25" s="185"/>
      <c r="X25" s="185"/>
      <c r="Y25" s="185"/>
      <c r="Z25" s="185"/>
      <c r="AA25" s="185"/>
      <c r="AB25" s="185"/>
    </row>
    <row r="26" spans="1:28" s="186" customFormat="1">
      <c r="A26" s="233"/>
      <c r="B26" s="233"/>
      <c r="C26" s="234"/>
      <c r="D26" s="232"/>
      <c r="E26" s="232"/>
      <c r="F26" s="232"/>
      <c r="G26" s="181" t="s">
        <v>1824</v>
      </c>
      <c r="H26" s="181">
        <v>4</v>
      </c>
      <c r="I26" s="181">
        <v>4</v>
      </c>
      <c r="J26" s="183">
        <f t="shared" si="0"/>
        <v>1</v>
      </c>
      <c r="K26" s="181" t="s">
        <v>693</v>
      </c>
      <c r="L26" s="183" t="s">
        <v>1825</v>
      </c>
      <c r="M26" s="184" t="s">
        <v>1826</v>
      </c>
      <c r="N26" s="182"/>
      <c r="O26" s="182"/>
      <c r="P26" s="182"/>
      <c r="Q26" s="182"/>
      <c r="R26" s="182"/>
      <c r="S26" s="182"/>
      <c r="T26" s="182"/>
      <c r="U26" s="185"/>
      <c r="V26" s="185"/>
      <c r="W26" s="185"/>
      <c r="X26" s="185"/>
      <c r="Y26" s="185"/>
      <c r="Z26" s="185"/>
      <c r="AA26" s="185"/>
      <c r="AB26" s="185"/>
    </row>
    <row r="27" spans="1:28" s="186" customFormat="1">
      <c r="A27" s="233"/>
      <c r="B27" s="233"/>
      <c r="C27" s="234"/>
      <c r="D27" s="232"/>
      <c r="E27" s="232"/>
      <c r="F27" s="232"/>
      <c r="G27" s="181" t="s">
        <v>1827</v>
      </c>
      <c r="H27" s="181">
        <v>12</v>
      </c>
      <c r="I27" s="181">
        <v>8</v>
      </c>
      <c r="J27" s="183">
        <f t="shared" si="0"/>
        <v>5</v>
      </c>
      <c r="K27" s="181" t="s">
        <v>2006</v>
      </c>
      <c r="L27" s="183" t="s">
        <v>712</v>
      </c>
      <c r="M27" s="184" t="s">
        <v>1828</v>
      </c>
      <c r="N27" s="182"/>
      <c r="O27" s="182"/>
      <c r="P27" s="182"/>
      <c r="Q27" s="182"/>
      <c r="R27" s="182"/>
      <c r="S27" s="182"/>
      <c r="T27" s="182"/>
      <c r="U27" s="185"/>
      <c r="V27" s="185"/>
      <c r="W27" s="185"/>
      <c r="X27" s="185"/>
      <c r="Y27" s="185"/>
      <c r="Z27" s="185"/>
      <c r="AA27" s="185"/>
      <c r="AB27" s="185"/>
    </row>
    <row r="28" spans="1:28" s="186" customFormat="1">
      <c r="A28" s="233"/>
      <c r="B28" s="233"/>
      <c r="C28" s="234"/>
      <c r="D28" s="232"/>
      <c r="E28" s="232"/>
      <c r="F28" s="232"/>
      <c r="G28" s="181" t="s">
        <v>1829</v>
      </c>
      <c r="H28" s="181">
        <v>31</v>
      </c>
      <c r="I28" s="181">
        <v>16</v>
      </c>
      <c r="J28" s="183">
        <f t="shared" si="0"/>
        <v>16</v>
      </c>
      <c r="K28" s="181" t="s">
        <v>2301</v>
      </c>
      <c r="L28" s="183" t="s">
        <v>712</v>
      </c>
      <c r="M28" s="184" t="s">
        <v>1830</v>
      </c>
      <c r="N28" s="182"/>
      <c r="O28" s="182"/>
      <c r="P28" s="182"/>
      <c r="Q28" s="182"/>
      <c r="R28" s="182"/>
      <c r="S28" s="182"/>
      <c r="T28" s="182"/>
      <c r="U28" s="185"/>
      <c r="V28" s="185"/>
      <c r="W28" s="185"/>
      <c r="X28" s="185"/>
      <c r="Y28" s="185"/>
      <c r="Z28" s="185"/>
      <c r="AA28" s="185"/>
      <c r="AB28" s="185"/>
    </row>
    <row r="29" spans="1:28" s="179" customFormat="1" ht="30">
      <c r="A29" s="173" t="s">
        <v>1831</v>
      </c>
      <c r="B29" s="173" t="s">
        <v>1831</v>
      </c>
      <c r="C29" s="174" t="s">
        <v>1832</v>
      </c>
      <c r="D29" s="175" t="s">
        <v>1833</v>
      </c>
      <c r="E29" s="175" t="s">
        <v>1833</v>
      </c>
      <c r="F29" s="176" t="s">
        <v>1795</v>
      </c>
      <c r="G29" s="174" t="s">
        <v>1834</v>
      </c>
      <c r="H29" s="174">
        <v>31</v>
      </c>
      <c r="I29" s="174">
        <v>0</v>
      </c>
      <c r="J29" s="176">
        <f t="shared" si="0"/>
        <v>32</v>
      </c>
      <c r="K29" s="174" t="s">
        <v>693</v>
      </c>
      <c r="L29" s="176" t="s">
        <v>712</v>
      </c>
      <c r="M29" s="177" t="s">
        <v>2302</v>
      </c>
      <c r="N29" s="175"/>
      <c r="O29" s="175"/>
      <c r="P29" s="175"/>
      <c r="Q29" s="175"/>
      <c r="R29" s="175"/>
      <c r="S29" s="175"/>
      <c r="T29" s="175"/>
      <c r="U29" s="178"/>
      <c r="V29" s="178"/>
      <c r="W29" s="178"/>
      <c r="X29" s="178"/>
      <c r="Y29" s="178"/>
      <c r="Z29" s="178"/>
      <c r="AA29" s="178"/>
      <c r="AB29" s="178"/>
    </row>
    <row r="30" spans="1:28" s="172" customFormat="1">
      <c r="A30" s="166" t="s">
        <v>2008</v>
      </c>
      <c r="B30" s="166" t="s">
        <v>2008</v>
      </c>
      <c r="C30" s="167" t="s">
        <v>2009</v>
      </c>
      <c r="D30" s="168" t="s">
        <v>2010</v>
      </c>
      <c r="E30" s="168" t="s">
        <v>2010</v>
      </c>
      <c r="F30" s="169" t="s">
        <v>1795</v>
      </c>
      <c r="G30" s="167" t="s">
        <v>2011</v>
      </c>
      <c r="H30" s="167">
        <v>31</v>
      </c>
      <c r="I30" s="167">
        <v>0</v>
      </c>
      <c r="J30" s="169">
        <f t="shared" si="0"/>
        <v>32</v>
      </c>
      <c r="K30" s="167" t="s">
        <v>693</v>
      </c>
      <c r="L30" s="169" t="s">
        <v>698</v>
      </c>
      <c r="M30" s="170"/>
      <c r="N30" s="168"/>
      <c r="O30" s="168"/>
      <c r="P30" s="168"/>
      <c r="Q30" s="168"/>
      <c r="R30" s="168"/>
      <c r="S30" s="168"/>
      <c r="T30" s="168"/>
      <c r="U30" s="171"/>
      <c r="V30" s="171"/>
      <c r="W30" s="171"/>
      <c r="X30" s="171"/>
      <c r="Y30" s="171"/>
      <c r="Z30" s="171"/>
      <c r="AA30" s="171"/>
      <c r="AB30" s="171"/>
    </row>
    <row r="31" spans="1:28" s="186" customFormat="1">
      <c r="A31" s="233" t="s">
        <v>1835</v>
      </c>
      <c r="B31" s="233" t="s">
        <v>1835</v>
      </c>
      <c r="C31" s="234" t="s">
        <v>1836</v>
      </c>
      <c r="D31" s="233" t="s">
        <v>1837</v>
      </c>
      <c r="E31" s="233" t="s">
        <v>1838</v>
      </c>
      <c r="F31" s="232" t="s">
        <v>1795</v>
      </c>
      <c r="G31" s="181" t="s">
        <v>1839</v>
      </c>
      <c r="H31" s="181">
        <v>9</v>
      </c>
      <c r="I31" s="181">
        <v>0</v>
      </c>
      <c r="J31" s="183">
        <f t="shared" si="0"/>
        <v>10</v>
      </c>
      <c r="K31" s="181" t="s">
        <v>693</v>
      </c>
      <c r="L31" s="183" t="s">
        <v>698</v>
      </c>
      <c r="M31" s="184" t="s">
        <v>1840</v>
      </c>
      <c r="N31" s="187"/>
      <c r="O31" s="187"/>
      <c r="P31" s="182"/>
      <c r="Q31" s="187"/>
      <c r="R31" s="187"/>
      <c r="S31" s="187"/>
      <c r="T31" s="187"/>
      <c r="U31" s="185"/>
      <c r="V31" s="185"/>
      <c r="W31" s="185"/>
      <c r="X31" s="185"/>
      <c r="Y31" s="185"/>
      <c r="Z31" s="185"/>
      <c r="AA31" s="185"/>
      <c r="AB31" s="185"/>
    </row>
    <row r="32" spans="1:28" s="186" customFormat="1">
      <c r="A32" s="233"/>
      <c r="B32" s="233"/>
      <c r="C32" s="234"/>
      <c r="D32" s="233"/>
      <c r="E32" s="233"/>
      <c r="F32" s="232"/>
      <c r="G32" s="181" t="s">
        <v>1841</v>
      </c>
      <c r="H32" s="181">
        <v>15</v>
      </c>
      <c r="I32" s="181">
        <v>10</v>
      </c>
      <c r="J32" s="183">
        <f t="shared" si="0"/>
        <v>6</v>
      </c>
      <c r="K32" s="181" t="s">
        <v>693</v>
      </c>
      <c r="L32" s="183" t="s">
        <v>698</v>
      </c>
      <c r="M32" s="184" t="s">
        <v>1842</v>
      </c>
      <c r="N32" s="187"/>
      <c r="O32" s="187"/>
      <c r="P32" s="182"/>
      <c r="Q32" s="187"/>
      <c r="R32" s="187"/>
      <c r="S32" s="187"/>
      <c r="T32" s="187"/>
      <c r="U32" s="185"/>
      <c r="V32" s="185"/>
      <c r="W32" s="185"/>
      <c r="X32" s="185"/>
      <c r="Y32" s="185"/>
      <c r="Z32" s="185"/>
      <c r="AA32" s="185"/>
      <c r="AB32" s="185"/>
    </row>
    <row r="33" spans="1:28" s="179" customFormat="1" ht="30">
      <c r="A33" s="173" t="s">
        <v>2303</v>
      </c>
      <c r="B33" s="173" t="s">
        <v>2303</v>
      </c>
      <c r="C33" s="174" t="s">
        <v>2304</v>
      </c>
      <c r="D33" s="174" t="s">
        <v>2304</v>
      </c>
      <c r="E33" s="175" t="s">
        <v>2305</v>
      </c>
      <c r="F33" s="176" t="s">
        <v>1795</v>
      </c>
      <c r="G33" s="174" t="s">
        <v>2306</v>
      </c>
      <c r="H33" s="174">
        <v>0</v>
      </c>
      <c r="I33" s="174">
        <v>0</v>
      </c>
      <c r="J33" s="176">
        <v>1</v>
      </c>
      <c r="K33" s="174" t="s">
        <v>693</v>
      </c>
      <c r="L33" s="176" t="s">
        <v>698</v>
      </c>
      <c r="M33" s="177" t="s">
        <v>2307</v>
      </c>
      <c r="N33" s="175"/>
      <c r="O33" s="175"/>
      <c r="P33" s="175"/>
      <c r="Q33" s="175"/>
      <c r="R33" s="175"/>
      <c r="S33" s="175"/>
      <c r="T33" s="175"/>
      <c r="U33" s="178"/>
      <c r="V33" s="178"/>
      <c r="W33" s="178"/>
      <c r="X33" s="178"/>
      <c r="Y33" s="178"/>
      <c r="Z33" s="178"/>
      <c r="AA33" s="178"/>
      <c r="AB33" s="178"/>
    </row>
    <row r="34" spans="1:28" s="179" customFormat="1" ht="30">
      <c r="A34" s="173"/>
      <c r="B34" s="173"/>
      <c r="C34" s="174" t="s">
        <v>2308</v>
      </c>
      <c r="D34" s="174" t="s">
        <v>2308</v>
      </c>
      <c r="E34" s="175" t="s">
        <v>2309</v>
      </c>
      <c r="F34" s="176" t="s">
        <v>1795</v>
      </c>
      <c r="G34" s="174" t="s">
        <v>2310</v>
      </c>
      <c r="H34" s="174">
        <v>1</v>
      </c>
      <c r="I34" s="174">
        <v>1</v>
      </c>
      <c r="J34" s="176">
        <v>1</v>
      </c>
      <c r="K34" s="174" t="s">
        <v>693</v>
      </c>
      <c r="L34" s="176" t="s">
        <v>698</v>
      </c>
      <c r="M34" s="177" t="s">
        <v>2311</v>
      </c>
      <c r="N34" s="175"/>
      <c r="O34" s="175"/>
      <c r="P34" s="175"/>
      <c r="Q34" s="175"/>
      <c r="R34" s="175"/>
      <c r="S34" s="175"/>
      <c r="T34" s="175"/>
      <c r="U34" s="178"/>
      <c r="V34" s="178"/>
      <c r="W34" s="178"/>
      <c r="X34" s="178"/>
      <c r="Y34" s="178"/>
      <c r="Z34" s="178"/>
      <c r="AA34" s="178"/>
      <c r="AB34" s="178"/>
    </row>
    <row r="35" spans="1:28" s="179" customFormat="1">
      <c r="A35" s="173"/>
      <c r="B35" s="173"/>
      <c r="C35" s="174" t="s">
        <v>2312</v>
      </c>
      <c r="D35" s="174" t="s">
        <v>2312</v>
      </c>
      <c r="E35" s="175" t="s">
        <v>2313</v>
      </c>
      <c r="F35" s="176" t="s">
        <v>1795</v>
      </c>
      <c r="G35" s="174" t="s">
        <v>2314</v>
      </c>
      <c r="H35" s="174">
        <v>2</v>
      </c>
      <c r="I35" s="174">
        <v>2</v>
      </c>
      <c r="J35" s="176">
        <v>1</v>
      </c>
      <c r="K35" s="174" t="s">
        <v>693</v>
      </c>
      <c r="L35" s="176" t="s">
        <v>698</v>
      </c>
      <c r="M35" s="177" t="s">
        <v>2315</v>
      </c>
      <c r="N35" s="175"/>
      <c r="O35" s="175"/>
      <c r="P35" s="175"/>
      <c r="Q35" s="175"/>
      <c r="R35" s="175"/>
      <c r="S35" s="175"/>
      <c r="T35" s="175"/>
      <c r="U35" s="178"/>
      <c r="V35" s="178"/>
      <c r="W35" s="178"/>
      <c r="X35" s="178"/>
      <c r="Y35" s="178"/>
      <c r="Z35" s="178"/>
      <c r="AA35" s="178"/>
      <c r="AB35" s="178"/>
    </row>
    <row r="36" spans="1:28" s="179" customFormat="1">
      <c r="A36" s="173"/>
      <c r="B36" s="173"/>
      <c r="C36" s="174" t="s">
        <v>2316</v>
      </c>
      <c r="D36" s="174" t="s">
        <v>2316</v>
      </c>
      <c r="E36" s="175" t="s">
        <v>2317</v>
      </c>
      <c r="F36" s="176" t="s">
        <v>1795</v>
      </c>
      <c r="G36" s="174" t="s">
        <v>2318</v>
      </c>
      <c r="H36" s="174">
        <v>7</v>
      </c>
      <c r="I36" s="174">
        <v>4</v>
      </c>
      <c r="J36" s="176">
        <v>4</v>
      </c>
      <c r="K36" s="174" t="s">
        <v>1843</v>
      </c>
      <c r="L36" s="176" t="s">
        <v>698</v>
      </c>
      <c r="M36" s="177" t="s">
        <v>1844</v>
      </c>
      <c r="N36" s="175"/>
      <c r="O36" s="175"/>
      <c r="P36" s="175"/>
      <c r="Q36" s="175"/>
      <c r="R36" s="175"/>
      <c r="S36" s="175"/>
      <c r="T36" s="175"/>
      <c r="U36" s="178"/>
      <c r="V36" s="178"/>
      <c r="W36" s="178"/>
      <c r="X36" s="178"/>
      <c r="Y36" s="178"/>
      <c r="Z36" s="178"/>
      <c r="AA36" s="178"/>
      <c r="AB36" s="178"/>
    </row>
    <row r="37" spans="1:28" s="195" customFormat="1">
      <c r="A37" s="189" t="s">
        <v>2014</v>
      </c>
      <c r="B37" s="189" t="s">
        <v>2014</v>
      </c>
      <c r="C37" s="190" t="s">
        <v>2015</v>
      </c>
      <c r="D37" s="190" t="s">
        <v>2015</v>
      </c>
      <c r="E37" s="191" t="s">
        <v>2016</v>
      </c>
      <c r="F37" s="192" t="s">
        <v>1795</v>
      </c>
      <c r="G37" s="190" t="s">
        <v>2017</v>
      </c>
      <c r="H37" s="190">
        <v>31</v>
      </c>
      <c r="I37" s="190">
        <v>0</v>
      </c>
      <c r="J37" s="192">
        <f>H37-I37+1</f>
        <v>32</v>
      </c>
      <c r="K37" s="190" t="s">
        <v>693</v>
      </c>
      <c r="L37" s="192" t="s">
        <v>698</v>
      </c>
      <c r="M37" s="193"/>
      <c r="N37" s="191"/>
      <c r="O37" s="191"/>
      <c r="P37" s="191"/>
      <c r="Q37" s="191"/>
      <c r="R37" s="191"/>
      <c r="S37" s="191"/>
      <c r="T37" s="191"/>
      <c r="U37" s="194"/>
      <c r="V37" s="194"/>
      <c r="W37" s="194"/>
      <c r="X37" s="194"/>
      <c r="Y37" s="194"/>
      <c r="Z37" s="194"/>
      <c r="AA37" s="194"/>
      <c r="AB37" s="194"/>
    </row>
    <row r="38" spans="1:28" s="195" customFormat="1">
      <c r="A38" s="189" t="s">
        <v>2018</v>
      </c>
      <c r="B38" s="189" t="s">
        <v>2018</v>
      </c>
      <c r="C38" s="190" t="s">
        <v>2019</v>
      </c>
      <c r="D38" s="190" t="s">
        <v>2019</v>
      </c>
      <c r="E38" s="191" t="s">
        <v>2020</v>
      </c>
      <c r="F38" s="192" t="s">
        <v>1795</v>
      </c>
      <c r="G38" s="190" t="s">
        <v>2021</v>
      </c>
      <c r="H38" s="190">
        <v>31</v>
      </c>
      <c r="I38" s="190">
        <v>0</v>
      </c>
      <c r="J38" s="192">
        <f>H38-I38+1</f>
        <v>32</v>
      </c>
      <c r="K38" s="190" t="s">
        <v>693</v>
      </c>
      <c r="L38" s="192" t="s">
        <v>2005</v>
      </c>
      <c r="M38" s="193" t="s">
        <v>2022</v>
      </c>
      <c r="N38" s="191"/>
      <c r="O38" s="191"/>
      <c r="P38" s="191"/>
      <c r="Q38" s="191"/>
      <c r="R38" s="191"/>
      <c r="S38" s="191"/>
      <c r="T38" s="191"/>
      <c r="U38" s="194"/>
      <c r="V38" s="194"/>
      <c r="W38" s="194"/>
      <c r="X38" s="194"/>
      <c r="Y38" s="194"/>
      <c r="Z38" s="194"/>
      <c r="AA38" s="194"/>
      <c r="AB38" s="194"/>
    </row>
    <row r="39" spans="1:28" s="195" customFormat="1">
      <c r="A39" s="189" t="s">
        <v>2023</v>
      </c>
      <c r="B39" s="189" t="s">
        <v>2023</v>
      </c>
      <c r="C39" s="190" t="s">
        <v>2024</v>
      </c>
      <c r="D39" s="190" t="s">
        <v>2024</v>
      </c>
      <c r="E39" s="191" t="s">
        <v>2025</v>
      </c>
      <c r="F39" s="192" t="s">
        <v>1795</v>
      </c>
      <c r="G39" s="190" t="s">
        <v>2026</v>
      </c>
      <c r="H39" s="190">
        <v>31</v>
      </c>
      <c r="I39" s="190">
        <v>0</v>
      </c>
      <c r="J39" s="192">
        <f>H39-I39+1</f>
        <v>32</v>
      </c>
      <c r="K39" s="190" t="s">
        <v>693</v>
      </c>
      <c r="L39" s="192" t="s">
        <v>698</v>
      </c>
      <c r="M39" s="193"/>
      <c r="N39" s="191"/>
      <c r="O39" s="191"/>
      <c r="P39" s="191"/>
      <c r="Q39" s="191"/>
      <c r="R39" s="191"/>
      <c r="S39" s="191"/>
      <c r="T39" s="191"/>
      <c r="U39" s="194"/>
      <c r="V39" s="194"/>
      <c r="W39" s="194"/>
      <c r="X39" s="194"/>
      <c r="Y39" s="194"/>
      <c r="Z39" s="194"/>
      <c r="AA39" s="194"/>
      <c r="AB39" s="194"/>
    </row>
    <row r="40" spans="1:28" s="195" customFormat="1">
      <c r="A40" s="189" t="s">
        <v>2027</v>
      </c>
      <c r="B40" s="189" t="s">
        <v>2027</v>
      </c>
      <c r="C40" s="190" t="s">
        <v>2028</v>
      </c>
      <c r="D40" s="190" t="s">
        <v>2028</v>
      </c>
      <c r="E40" s="191" t="s">
        <v>2029</v>
      </c>
      <c r="F40" s="192" t="s">
        <v>1795</v>
      </c>
      <c r="G40" s="190" t="s">
        <v>2030</v>
      </c>
      <c r="H40" s="190">
        <v>7</v>
      </c>
      <c r="I40" s="190">
        <v>0</v>
      </c>
      <c r="J40" s="192">
        <f>H40-I40+1</f>
        <v>8</v>
      </c>
      <c r="K40" s="190" t="s">
        <v>693</v>
      </c>
      <c r="L40" s="192" t="s">
        <v>698</v>
      </c>
      <c r="M40" s="193"/>
      <c r="N40" s="191"/>
      <c r="O40" s="191"/>
      <c r="P40" s="191"/>
      <c r="Q40" s="191"/>
      <c r="R40" s="191"/>
      <c r="S40" s="191"/>
      <c r="T40" s="191"/>
      <c r="U40" s="194"/>
      <c r="V40" s="194"/>
      <c r="W40" s="194"/>
      <c r="X40" s="194"/>
      <c r="Y40" s="194"/>
      <c r="Z40" s="194"/>
      <c r="AA40" s="194"/>
      <c r="AB40" s="194"/>
    </row>
    <row r="41" spans="1:28" s="172" customFormat="1">
      <c r="A41" s="166" t="s">
        <v>2031</v>
      </c>
      <c r="B41" s="166" t="s">
        <v>2031</v>
      </c>
      <c r="C41" s="167" t="s">
        <v>2032</v>
      </c>
      <c r="D41" s="168" t="s">
        <v>2033</v>
      </c>
      <c r="E41" s="168" t="s">
        <v>2033</v>
      </c>
      <c r="F41" s="169" t="s">
        <v>1795</v>
      </c>
      <c r="G41" s="167" t="s">
        <v>2034</v>
      </c>
      <c r="H41" s="167">
        <v>31</v>
      </c>
      <c r="I41" s="167">
        <v>0</v>
      </c>
      <c r="J41" s="169">
        <f t="shared" ref="J41:J104" si="1">H41-I41+1</f>
        <v>32</v>
      </c>
      <c r="K41" s="167" t="s">
        <v>693</v>
      </c>
      <c r="L41" s="169" t="s">
        <v>698</v>
      </c>
      <c r="M41" s="170" t="s">
        <v>2035</v>
      </c>
      <c r="N41" s="168"/>
      <c r="O41" s="168"/>
      <c r="P41" s="168"/>
      <c r="Q41" s="168"/>
      <c r="R41" s="168"/>
      <c r="S41" s="168"/>
      <c r="T41" s="168"/>
      <c r="U41" s="171"/>
      <c r="V41" s="171"/>
      <c r="W41" s="171"/>
      <c r="X41" s="171"/>
      <c r="Y41" s="171"/>
      <c r="Z41" s="171"/>
      <c r="AA41" s="171"/>
      <c r="AB41" s="171"/>
    </row>
    <row r="42" spans="1:28" s="172" customFormat="1">
      <c r="A42" s="166" t="s">
        <v>2036</v>
      </c>
      <c r="B42" s="166" t="s">
        <v>2036</v>
      </c>
      <c r="C42" s="167" t="s">
        <v>2037</v>
      </c>
      <c r="D42" s="168" t="s">
        <v>2038</v>
      </c>
      <c r="E42" s="168" t="s">
        <v>2038</v>
      </c>
      <c r="F42" s="169" t="s">
        <v>1795</v>
      </c>
      <c r="G42" s="167" t="s">
        <v>2039</v>
      </c>
      <c r="H42" s="167">
        <v>31</v>
      </c>
      <c r="I42" s="167">
        <v>0</v>
      </c>
      <c r="J42" s="169">
        <f t="shared" si="1"/>
        <v>32</v>
      </c>
      <c r="K42" s="167" t="s">
        <v>693</v>
      </c>
      <c r="L42" s="169" t="s">
        <v>698</v>
      </c>
      <c r="M42" s="170" t="s">
        <v>2040</v>
      </c>
      <c r="N42" s="168"/>
      <c r="O42" s="168"/>
      <c r="P42" s="168"/>
      <c r="Q42" s="168"/>
      <c r="R42" s="168"/>
      <c r="S42" s="168"/>
      <c r="T42" s="168"/>
      <c r="U42" s="171"/>
      <c r="V42" s="171"/>
      <c r="W42" s="171"/>
      <c r="X42" s="171"/>
      <c r="Y42" s="171"/>
      <c r="Z42" s="171"/>
      <c r="AA42" s="171"/>
      <c r="AB42" s="171"/>
    </row>
    <row r="43" spans="1:28" s="172" customFormat="1">
      <c r="A43" s="166" t="s">
        <v>2041</v>
      </c>
      <c r="B43" s="166" t="s">
        <v>2041</v>
      </c>
      <c r="C43" s="167" t="s">
        <v>2042</v>
      </c>
      <c r="D43" s="168" t="s">
        <v>2043</v>
      </c>
      <c r="E43" s="168" t="s">
        <v>2043</v>
      </c>
      <c r="F43" s="169" t="s">
        <v>1795</v>
      </c>
      <c r="G43" s="167" t="s">
        <v>2044</v>
      </c>
      <c r="H43" s="167">
        <v>31</v>
      </c>
      <c r="I43" s="167">
        <v>0</v>
      </c>
      <c r="J43" s="169">
        <f t="shared" si="1"/>
        <v>32</v>
      </c>
      <c r="K43" s="167" t="s">
        <v>693</v>
      </c>
      <c r="L43" s="169" t="s">
        <v>698</v>
      </c>
      <c r="M43" s="170" t="s">
        <v>2045</v>
      </c>
      <c r="N43" s="168"/>
      <c r="O43" s="168"/>
      <c r="P43" s="168"/>
      <c r="Q43" s="168"/>
      <c r="R43" s="168"/>
      <c r="S43" s="168"/>
      <c r="T43" s="168"/>
      <c r="U43" s="171"/>
      <c r="V43" s="171"/>
      <c r="W43" s="171"/>
      <c r="X43" s="171"/>
      <c r="Y43" s="171"/>
      <c r="Z43" s="171"/>
      <c r="AA43" s="171"/>
      <c r="AB43" s="171"/>
    </row>
    <row r="44" spans="1:28" s="172" customFormat="1">
      <c r="A44" s="166" t="s">
        <v>2046</v>
      </c>
      <c r="B44" s="166" t="s">
        <v>2046</v>
      </c>
      <c r="C44" s="167" t="s">
        <v>2047</v>
      </c>
      <c r="D44" s="168" t="s">
        <v>2048</v>
      </c>
      <c r="E44" s="168" t="s">
        <v>2048</v>
      </c>
      <c r="F44" s="169" t="s">
        <v>1795</v>
      </c>
      <c r="G44" s="167" t="s">
        <v>2049</v>
      </c>
      <c r="H44" s="167">
        <v>31</v>
      </c>
      <c r="I44" s="167">
        <v>0</v>
      </c>
      <c r="J44" s="169">
        <f t="shared" si="1"/>
        <v>32</v>
      </c>
      <c r="K44" s="167" t="s">
        <v>693</v>
      </c>
      <c r="L44" s="169" t="s">
        <v>698</v>
      </c>
      <c r="M44" s="170" t="s">
        <v>2050</v>
      </c>
      <c r="N44" s="168"/>
      <c r="O44" s="168"/>
      <c r="P44" s="168"/>
      <c r="Q44" s="168"/>
      <c r="R44" s="168"/>
      <c r="S44" s="168"/>
      <c r="T44" s="168"/>
      <c r="U44" s="171"/>
      <c r="V44" s="171"/>
      <c r="W44" s="171"/>
      <c r="X44" s="171"/>
      <c r="Y44" s="171"/>
      <c r="Z44" s="171"/>
      <c r="AA44" s="171"/>
      <c r="AB44" s="171"/>
    </row>
    <row r="45" spans="1:28" s="172" customFormat="1">
      <c r="A45" s="166" t="s">
        <v>2051</v>
      </c>
      <c r="B45" s="166" t="s">
        <v>2051</v>
      </c>
      <c r="C45" s="167" t="s">
        <v>2052</v>
      </c>
      <c r="D45" s="168" t="s">
        <v>2053</v>
      </c>
      <c r="E45" s="168" t="s">
        <v>2053</v>
      </c>
      <c r="F45" s="169" t="s">
        <v>1795</v>
      </c>
      <c r="G45" s="167" t="s">
        <v>2054</v>
      </c>
      <c r="H45" s="167">
        <v>31</v>
      </c>
      <c r="I45" s="167">
        <v>0</v>
      </c>
      <c r="J45" s="169">
        <f t="shared" si="1"/>
        <v>32</v>
      </c>
      <c r="K45" s="167" t="s">
        <v>693</v>
      </c>
      <c r="L45" s="169" t="s">
        <v>698</v>
      </c>
      <c r="M45" s="170" t="s">
        <v>2055</v>
      </c>
      <c r="N45" s="168"/>
      <c r="O45" s="168"/>
      <c r="P45" s="168"/>
      <c r="Q45" s="168"/>
      <c r="R45" s="168"/>
      <c r="S45" s="168"/>
      <c r="T45" s="168"/>
      <c r="U45" s="171"/>
      <c r="V45" s="171"/>
      <c r="W45" s="171"/>
      <c r="X45" s="171"/>
      <c r="Y45" s="171"/>
      <c r="Z45" s="171"/>
      <c r="AA45" s="171"/>
      <c r="AB45" s="171"/>
    </row>
    <row r="46" spans="1:28" s="172" customFormat="1">
      <c r="A46" s="166" t="s">
        <v>2056</v>
      </c>
      <c r="B46" s="166" t="s">
        <v>2056</v>
      </c>
      <c r="C46" s="167" t="s">
        <v>2057</v>
      </c>
      <c r="D46" s="168" t="s">
        <v>2058</v>
      </c>
      <c r="E46" s="168" t="s">
        <v>2058</v>
      </c>
      <c r="F46" s="169" t="s">
        <v>1795</v>
      </c>
      <c r="G46" s="167" t="s">
        <v>2059</v>
      </c>
      <c r="H46" s="167">
        <v>31</v>
      </c>
      <c r="I46" s="167">
        <v>0</v>
      </c>
      <c r="J46" s="169">
        <f t="shared" si="1"/>
        <v>32</v>
      </c>
      <c r="K46" s="167" t="s">
        <v>693</v>
      </c>
      <c r="L46" s="169" t="s">
        <v>698</v>
      </c>
      <c r="M46" s="170" t="s">
        <v>2060</v>
      </c>
      <c r="N46" s="168"/>
      <c r="O46" s="168"/>
      <c r="P46" s="168"/>
      <c r="Q46" s="168"/>
      <c r="R46" s="168"/>
      <c r="S46" s="168"/>
      <c r="T46" s="168"/>
      <c r="U46" s="171"/>
      <c r="V46" s="171"/>
      <c r="W46" s="171"/>
      <c r="X46" s="171"/>
      <c r="Y46" s="171"/>
      <c r="Z46" s="171"/>
      <c r="AA46" s="171"/>
      <c r="AB46" s="171"/>
    </row>
    <row r="47" spans="1:28" s="172" customFormat="1">
      <c r="A47" s="166" t="s">
        <v>2061</v>
      </c>
      <c r="B47" s="166" t="s">
        <v>2061</v>
      </c>
      <c r="C47" s="167" t="s">
        <v>2062</v>
      </c>
      <c r="D47" s="168" t="s">
        <v>2063</v>
      </c>
      <c r="E47" s="168" t="s">
        <v>2063</v>
      </c>
      <c r="F47" s="169" t="s">
        <v>1795</v>
      </c>
      <c r="G47" s="167" t="s">
        <v>2064</v>
      </c>
      <c r="H47" s="167">
        <v>31</v>
      </c>
      <c r="I47" s="167">
        <v>0</v>
      </c>
      <c r="J47" s="169">
        <f t="shared" si="1"/>
        <v>32</v>
      </c>
      <c r="K47" s="167" t="s">
        <v>693</v>
      </c>
      <c r="L47" s="169" t="s">
        <v>698</v>
      </c>
      <c r="M47" s="170" t="s">
        <v>2065</v>
      </c>
      <c r="N47" s="168"/>
      <c r="O47" s="168"/>
      <c r="P47" s="168"/>
      <c r="Q47" s="168"/>
      <c r="R47" s="168"/>
      <c r="S47" s="168"/>
      <c r="T47" s="168"/>
      <c r="U47" s="171"/>
      <c r="V47" s="171"/>
      <c r="W47" s="171"/>
      <c r="X47" s="171"/>
      <c r="Y47" s="171"/>
      <c r="Z47" s="171"/>
      <c r="AA47" s="171"/>
      <c r="AB47" s="171"/>
    </row>
    <row r="48" spans="1:28" s="172" customFormat="1">
      <c r="A48" s="166" t="s">
        <v>2066</v>
      </c>
      <c r="B48" s="166" t="s">
        <v>2066</v>
      </c>
      <c r="C48" s="167" t="s">
        <v>2067</v>
      </c>
      <c r="D48" s="168" t="s">
        <v>2068</v>
      </c>
      <c r="E48" s="168" t="s">
        <v>2068</v>
      </c>
      <c r="F48" s="169" t="s">
        <v>1795</v>
      </c>
      <c r="G48" s="167" t="s">
        <v>2069</v>
      </c>
      <c r="H48" s="167">
        <v>31</v>
      </c>
      <c r="I48" s="167">
        <v>0</v>
      </c>
      <c r="J48" s="169">
        <f t="shared" si="1"/>
        <v>32</v>
      </c>
      <c r="K48" s="167" t="s">
        <v>693</v>
      </c>
      <c r="L48" s="169" t="s">
        <v>698</v>
      </c>
      <c r="M48" s="170" t="s">
        <v>2070</v>
      </c>
      <c r="N48" s="168"/>
      <c r="O48" s="168"/>
      <c r="P48" s="168"/>
      <c r="Q48" s="168"/>
      <c r="R48" s="168"/>
      <c r="S48" s="168"/>
      <c r="T48" s="168"/>
      <c r="U48" s="171"/>
      <c r="V48" s="171"/>
      <c r="W48" s="171"/>
      <c r="X48" s="171"/>
      <c r="Y48" s="171"/>
      <c r="Z48" s="171"/>
      <c r="AA48" s="171"/>
      <c r="AB48" s="171"/>
    </row>
    <row r="49" spans="1:28" s="172" customFormat="1">
      <c r="A49" s="166" t="s">
        <v>2071</v>
      </c>
      <c r="B49" s="166" t="s">
        <v>2071</v>
      </c>
      <c r="C49" s="167" t="s">
        <v>2072</v>
      </c>
      <c r="D49" s="168" t="s">
        <v>2073</v>
      </c>
      <c r="E49" s="168" t="s">
        <v>2073</v>
      </c>
      <c r="F49" s="169" t="s">
        <v>1795</v>
      </c>
      <c r="G49" s="167" t="s">
        <v>2074</v>
      </c>
      <c r="H49" s="167">
        <v>31</v>
      </c>
      <c r="I49" s="167">
        <v>0</v>
      </c>
      <c r="J49" s="169">
        <f t="shared" si="1"/>
        <v>32</v>
      </c>
      <c r="K49" s="167" t="s">
        <v>693</v>
      </c>
      <c r="L49" s="169" t="s">
        <v>698</v>
      </c>
      <c r="M49" s="170" t="s">
        <v>2075</v>
      </c>
      <c r="N49" s="168"/>
      <c r="O49" s="168"/>
      <c r="P49" s="168"/>
      <c r="Q49" s="168"/>
      <c r="R49" s="168"/>
      <c r="S49" s="168"/>
      <c r="T49" s="168"/>
      <c r="U49" s="171"/>
      <c r="V49" s="171"/>
      <c r="W49" s="171"/>
      <c r="X49" s="171"/>
      <c r="Y49" s="171"/>
      <c r="Z49" s="171"/>
      <c r="AA49" s="171"/>
      <c r="AB49" s="171"/>
    </row>
    <row r="50" spans="1:28" s="172" customFormat="1">
      <c r="A50" s="166" t="s">
        <v>2076</v>
      </c>
      <c r="B50" s="166" t="s">
        <v>2076</v>
      </c>
      <c r="C50" s="167" t="s">
        <v>2077</v>
      </c>
      <c r="D50" s="168" t="s">
        <v>2078</v>
      </c>
      <c r="E50" s="168" t="s">
        <v>2078</v>
      </c>
      <c r="F50" s="169" t="s">
        <v>1795</v>
      </c>
      <c r="G50" s="167" t="s">
        <v>2079</v>
      </c>
      <c r="H50" s="167">
        <v>31</v>
      </c>
      <c r="I50" s="167">
        <v>0</v>
      </c>
      <c r="J50" s="169">
        <f t="shared" si="1"/>
        <v>32</v>
      </c>
      <c r="K50" s="167" t="s">
        <v>693</v>
      </c>
      <c r="L50" s="169" t="s">
        <v>698</v>
      </c>
      <c r="M50" s="170" t="s">
        <v>2080</v>
      </c>
      <c r="N50" s="168"/>
      <c r="O50" s="168"/>
      <c r="P50" s="168"/>
      <c r="Q50" s="168"/>
      <c r="R50" s="168"/>
      <c r="S50" s="168"/>
      <c r="T50" s="168"/>
      <c r="U50" s="171"/>
      <c r="V50" s="171"/>
      <c r="W50" s="171"/>
      <c r="X50" s="171"/>
      <c r="Y50" s="171"/>
      <c r="Z50" s="171"/>
      <c r="AA50" s="171"/>
      <c r="AB50" s="171"/>
    </row>
    <row r="51" spans="1:28" s="172" customFormat="1">
      <c r="A51" s="166" t="s">
        <v>2081</v>
      </c>
      <c r="B51" s="166" t="s">
        <v>2081</v>
      </c>
      <c r="C51" s="167" t="s">
        <v>2082</v>
      </c>
      <c r="D51" s="168" t="s">
        <v>2083</v>
      </c>
      <c r="E51" s="168" t="s">
        <v>2083</v>
      </c>
      <c r="F51" s="169" t="s">
        <v>1795</v>
      </c>
      <c r="G51" s="167" t="s">
        <v>2084</v>
      </c>
      <c r="H51" s="167">
        <v>31</v>
      </c>
      <c r="I51" s="167">
        <v>0</v>
      </c>
      <c r="J51" s="169">
        <f t="shared" si="1"/>
        <v>32</v>
      </c>
      <c r="K51" s="167" t="s">
        <v>693</v>
      </c>
      <c r="L51" s="169" t="s">
        <v>698</v>
      </c>
      <c r="M51" s="170" t="s">
        <v>2085</v>
      </c>
      <c r="N51" s="168"/>
      <c r="O51" s="168"/>
      <c r="P51" s="168"/>
      <c r="Q51" s="168"/>
      <c r="R51" s="168"/>
      <c r="S51" s="168"/>
      <c r="T51" s="168"/>
      <c r="U51" s="171"/>
      <c r="V51" s="171"/>
      <c r="W51" s="171"/>
      <c r="X51" s="171"/>
      <c r="Y51" s="171"/>
      <c r="Z51" s="171"/>
      <c r="AA51" s="171"/>
      <c r="AB51" s="171"/>
    </row>
    <row r="52" spans="1:28" s="172" customFormat="1">
      <c r="A52" s="166" t="s">
        <v>2086</v>
      </c>
      <c r="B52" s="166" t="s">
        <v>2086</v>
      </c>
      <c r="C52" s="167" t="s">
        <v>2087</v>
      </c>
      <c r="D52" s="168" t="s">
        <v>2088</v>
      </c>
      <c r="E52" s="168" t="s">
        <v>2088</v>
      </c>
      <c r="F52" s="169" t="s">
        <v>1795</v>
      </c>
      <c r="G52" s="167" t="s">
        <v>2089</v>
      </c>
      <c r="H52" s="167">
        <v>31</v>
      </c>
      <c r="I52" s="167">
        <v>0</v>
      </c>
      <c r="J52" s="169">
        <f t="shared" si="1"/>
        <v>32</v>
      </c>
      <c r="K52" s="167" t="s">
        <v>693</v>
      </c>
      <c r="L52" s="169" t="s">
        <v>698</v>
      </c>
      <c r="M52" s="170" t="s">
        <v>2090</v>
      </c>
      <c r="N52" s="168"/>
      <c r="O52" s="168"/>
      <c r="P52" s="168"/>
      <c r="Q52" s="168"/>
      <c r="R52" s="168"/>
      <c r="S52" s="168"/>
      <c r="T52" s="168"/>
      <c r="U52" s="171"/>
      <c r="V52" s="171"/>
      <c r="W52" s="171"/>
      <c r="X52" s="171"/>
      <c r="Y52" s="171"/>
      <c r="Z52" s="171"/>
      <c r="AA52" s="171"/>
      <c r="AB52" s="171"/>
    </row>
    <row r="53" spans="1:28" s="172" customFormat="1">
      <c r="A53" s="166" t="s">
        <v>2091</v>
      </c>
      <c r="B53" s="166" t="s">
        <v>2091</v>
      </c>
      <c r="C53" s="167" t="s">
        <v>2092</v>
      </c>
      <c r="D53" s="168" t="s">
        <v>2093</v>
      </c>
      <c r="E53" s="168" t="s">
        <v>2093</v>
      </c>
      <c r="F53" s="169" t="s">
        <v>1795</v>
      </c>
      <c r="G53" s="167" t="s">
        <v>2094</v>
      </c>
      <c r="H53" s="167">
        <v>31</v>
      </c>
      <c r="I53" s="167">
        <v>0</v>
      </c>
      <c r="J53" s="169">
        <f t="shared" si="1"/>
        <v>32</v>
      </c>
      <c r="K53" s="167" t="s">
        <v>693</v>
      </c>
      <c r="L53" s="169" t="s">
        <v>698</v>
      </c>
      <c r="M53" s="170" t="s">
        <v>2095</v>
      </c>
      <c r="N53" s="168"/>
      <c r="O53" s="168"/>
      <c r="P53" s="168"/>
      <c r="Q53" s="168"/>
      <c r="R53" s="168"/>
      <c r="S53" s="168"/>
      <c r="T53" s="168"/>
      <c r="U53" s="171"/>
      <c r="V53" s="171"/>
      <c r="W53" s="171"/>
      <c r="X53" s="171"/>
      <c r="Y53" s="171"/>
      <c r="Z53" s="171"/>
      <c r="AA53" s="171"/>
      <c r="AB53" s="171"/>
    </row>
    <row r="54" spans="1:28" s="172" customFormat="1">
      <c r="A54" s="166" t="s">
        <v>2096</v>
      </c>
      <c r="B54" s="166" t="s">
        <v>2096</v>
      </c>
      <c r="C54" s="167" t="s">
        <v>2097</v>
      </c>
      <c r="D54" s="168" t="s">
        <v>2098</v>
      </c>
      <c r="E54" s="168" t="s">
        <v>2098</v>
      </c>
      <c r="F54" s="169" t="s">
        <v>1795</v>
      </c>
      <c r="G54" s="167" t="s">
        <v>2099</v>
      </c>
      <c r="H54" s="167">
        <v>31</v>
      </c>
      <c r="I54" s="167">
        <v>0</v>
      </c>
      <c r="J54" s="169">
        <f t="shared" si="1"/>
        <v>32</v>
      </c>
      <c r="K54" s="167" t="s">
        <v>693</v>
      </c>
      <c r="L54" s="169" t="s">
        <v>698</v>
      </c>
      <c r="M54" s="170" t="s">
        <v>2100</v>
      </c>
      <c r="N54" s="168"/>
      <c r="O54" s="168"/>
      <c r="P54" s="168"/>
      <c r="Q54" s="168"/>
      <c r="R54" s="168"/>
      <c r="S54" s="168"/>
      <c r="T54" s="168"/>
      <c r="U54" s="171"/>
      <c r="V54" s="171"/>
      <c r="W54" s="171"/>
      <c r="X54" s="171"/>
      <c r="Y54" s="171"/>
      <c r="Z54" s="171"/>
      <c r="AA54" s="171"/>
      <c r="AB54" s="171"/>
    </row>
    <row r="55" spans="1:28" s="172" customFormat="1">
      <c r="A55" s="166" t="s">
        <v>2101</v>
      </c>
      <c r="B55" s="166" t="s">
        <v>2101</v>
      </c>
      <c r="C55" s="167" t="s">
        <v>2102</v>
      </c>
      <c r="D55" s="168" t="s">
        <v>2103</v>
      </c>
      <c r="E55" s="168" t="s">
        <v>2103</v>
      </c>
      <c r="F55" s="169" t="s">
        <v>1795</v>
      </c>
      <c r="G55" s="167" t="s">
        <v>2104</v>
      </c>
      <c r="H55" s="167">
        <v>31</v>
      </c>
      <c r="I55" s="167">
        <v>0</v>
      </c>
      <c r="J55" s="169">
        <f t="shared" si="1"/>
        <v>32</v>
      </c>
      <c r="K55" s="167" t="s">
        <v>693</v>
      </c>
      <c r="L55" s="169" t="s">
        <v>698</v>
      </c>
      <c r="M55" s="170" t="s">
        <v>2105</v>
      </c>
      <c r="N55" s="168"/>
      <c r="O55" s="168"/>
      <c r="P55" s="168"/>
      <c r="Q55" s="168"/>
      <c r="R55" s="168"/>
      <c r="S55" s="168"/>
      <c r="T55" s="168"/>
      <c r="U55" s="171"/>
      <c r="V55" s="171"/>
      <c r="W55" s="171"/>
      <c r="X55" s="171"/>
      <c r="Y55" s="171"/>
      <c r="Z55" s="171"/>
      <c r="AA55" s="171"/>
      <c r="AB55" s="171"/>
    </row>
    <row r="56" spans="1:28" s="172" customFormat="1">
      <c r="A56" s="166" t="s">
        <v>2106</v>
      </c>
      <c r="B56" s="166" t="s">
        <v>2106</v>
      </c>
      <c r="C56" s="167" t="s">
        <v>2107</v>
      </c>
      <c r="D56" s="168" t="s">
        <v>2108</v>
      </c>
      <c r="E56" s="168" t="s">
        <v>2108</v>
      </c>
      <c r="F56" s="169" t="s">
        <v>1795</v>
      </c>
      <c r="G56" s="167" t="s">
        <v>2109</v>
      </c>
      <c r="H56" s="167">
        <v>31</v>
      </c>
      <c r="I56" s="167">
        <v>0</v>
      </c>
      <c r="J56" s="169">
        <f t="shared" si="1"/>
        <v>32</v>
      </c>
      <c r="K56" s="167" t="s">
        <v>693</v>
      </c>
      <c r="L56" s="169" t="s">
        <v>698</v>
      </c>
      <c r="M56" s="170" t="s">
        <v>2110</v>
      </c>
      <c r="N56" s="168"/>
      <c r="O56" s="168"/>
      <c r="P56" s="168"/>
      <c r="Q56" s="168"/>
      <c r="R56" s="168"/>
      <c r="S56" s="168"/>
      <c r="T56" s="168"/>
      <c r="U56" s="171"/>
      <c r="V56" s="171"/>
      <c r="W56" s="171"/>
      <c r="X56" s="171"/>
      <c r="Y56" s="171"/>
      <c r="Z56" s="171"/>
      <c r="AA56" s="171"/>
      <c r="AB56" s="171"/>
    </row>
    <row r="57" spans="1:28" s="172" customFormat="1">
      <c r="A57" s="166" t="s">
        <v>2111</v>
      </c>
      <c r="B57" s="166" t="s">
        <v>2111</v>
      </c>
      <c r="C57" s="167" t="s">
        <v>2112</v>
      </c>
      <c r="D57" s="168" t="s">
        <v>2113</v>
      </c>
      <c r="E57" s="168" t="s">
        <v>2113</v>
      </c>
      <c r="F57" s="169" t="s">
        <v>1795</v>
      </c>
      <c r="G57" s="167" t="s">
        <v>2114</v>
      </c>
      <c r="H57" s="167">
        <v>31</v>
      </c>
      <c r="I57" s="167">
        <v>0</v>
      </c>
      <c r="J57" s="169">
        <f t="shared" si="1"/>
        <v>32</v>
      </c>
      <c r="K57" s="167" t="s">
        <v>693</v>
      </c>
      <c r="L57" s="169" t="s">
        <v>698</v>
      </c>
      <c r="M57" s="170" t="s">
        <v>2115</v>
      </c>
      <c r="N57" s="168"/>
      <c r="O57" s="168"/>
      <c r="P57" s="168"/>
      <c r="Q57" s="168"/>
      <c r="R57" s="168"/>
      <c r="S57" s="168"/>
      <c r="T57" s="168"/>
      <c r="U57" s="171"/>
      <c r="V57" s="171"/>
      <c r="W57" s="171"/>
      <c r="X57" s="171"/>
      <c r="Y57" s="171"/>
      <c r="Z57" s="171"/>
      <c r="AA57" s="171"/>
      <c r="AB57" s="171"/>
    </row>
    <row r="58" spans="1:28" s="172" customFormat="1">
      <c r="A58" s="166" t="s">
        <v>2116</v>
      </c>
      <c r="B58" s="166" t="s">
        <v>2116</v>
      </c>
      <c r="C58" s="167" t="s">
        <v>2117</v>
      </c>
      <c r="D58" s="168" t="s">
        <v>2118</v>
      </c>
      <c r="E58" s="168" t="s">
        <v>2118</v>
      </c>
      <c r="F58" s="169" t="s">
        <v>1795</v>
      </c>
      <c r="G58" s="167" t="s">
        <v>2119</v>
      </c>
      <c r="H58" s="167">
        <v>31</v>
      </c>
      <c r="I58" s="167">
        <v>0</v>
      </c>
      <c r="J58" s="169">
        <f t="shared" si="1"/>
        <v>32</v>
      </c>
      <c r="K58" s="167" t="s">
        <v>693</v>
      </c>
      <c r="L58" s="169" t="s">
        <v>698</v>
      </c>
      <c r="M58" s="170" t="s">
        <v>2120</v>
      </c>
      <c r="N58" s="168"/>
      <c r="O58" s="168"/>
      <c r="P58" s="168"/>
      <c r="Q58" s="168"/>
      <c r="R58" s="168"/>
      <c r="S58" s="168"/>
      <c r="T58" s="168"/>
      <c r="U58" s="171"/>
      <c r="V58" s="171"/>
      <c r="W58" s="171"/>
      <c r="X58" s="171"/>
      <c r="Y58" s="171"/>
      <c r="Z58" s="171"/>
      <c r="AA58" s="171"/>
      <c r="AB58" s="171"/>
    </row>
    <row r="59" spans="1:28" s="172" customFormat="1">
      <c r="A59" s="166" t="s">
        <v>2121</v>
      </c>
      <c r="B59" s="166" t="s">
        <v>2121</v>
      </c>
      <c r="C59" s="167" t="s">
        <v>2122</v>
      </c>
      <c r="D59" s="168" t="s">
        <v>2123</v>
      </c>
      <c r="E59" s="168" t="s">
        <v>2123</v>
      </c>
      <c r="F59" s="169" t="s">
        <v>1795</v>
      </c>
      <c r="G59" s="167" t="s">
        <v>2124</v>
      </c>
      <c r="H59" s="167">
        <v>31</v>
      </c>
      <c r="I59" s="167">
        <v>0</v>
      </c>
      <c r="J59" s="169">
        <f t="shared" si="1"/>
        <v>32</v>
      </c>
      <c r="K59" s="167" t="s">
        <v>693</v>
      </c>
      <c r="L59" s="169" t="s">
        <v>698</v>
      </c>
      <c r="M59" s="170" t="s">
        <v>2125</v>
      </c>
      <c r="N59" s="168"/>
      <c r="O59" s="168"/>
      <c r="P59" s="168"/>
      <c r="Q59" s="168"/>
      <c r="R59" s="168"/>
      <c r="S59" s="168"/>
      <c r="T59" s="168"/>
      <c r="U59" s="171"/>
      <c r="V59" s="171"/>
      <c r="W59" s="171"/>
      <c r="X59" s="171"/>
      <c r="Y59" s="171"/>
      <c r="Z59" s="171"/>
      <c r="AA59" s="171"/>
      <c r="AB59" s="171"/>
    </row>
    <row r="60" spans="1:28" s="172" customFormat="1">
      <c r="A60" s="166" t="s">
        <v>2126</v>
      </c>
      <c r="B60" s="166" t="s">
        <v>2126</v>
      </c>
      <c r="C60" s="167" t="s">
        <v>2127</v>
      </c>
      <c r="D60" s="168" t="s">
        <v>2128</v>
      </c>
      <c r="E60" s="168" t="s">
        <v>2128</v>
      </c>
      <c r="F60" s="169" t="s">
        <v>1795</v>
      </c>
      <c r="G60" s="167" t="s">
        <v>2129</v>
      </c>
      <c r="H60" s="167">
        <v>31</v>
      </c>
      <c r="I60" s="167">
        <v>0</v>
      </c>
      <c r="J60" s="169">
        <f t="shared" si="1"/>
        <v>32</v>
      </c>
      <c r="K60" s="167" t="s">
        <v>693</v>
      </c>
      <c r="L60" s="169" t="s">
        <v>698</v>
      </c>
      <c r="M60" s="170" t="s">
        <v>2130</v>
      </c>
      <c r="N60" s="168"/>
      <c r="O60" s="168"/>
      <c r="P60" s="168"/>
      <c r="Q60" s="168"/>
      <c r="R60" s="168"/>
      <c r="S60" s="168"/>
      <c r="T60" s="168"/>
      <c r="U60" s="171"/>
      <c r="V60" s="171"/>
      <c r="W60" s="171"/>
      <c r="X60" s="171"/>
      <c r="Y60" s="171"/>
      <c r="Z60" s="171"/>
      <c r="AA60" s="171"/>
      <c r="AB60" s="171"/>
    </row>
    <row r="61" spans="1:28" s="172" customFormat="1">
      <c r="A61" s="166" t="s">
        <v>2131</v>
      </c>
      <c r="B61" s="166" t="s">
        <v>2131</v>
      </c>
      <c r="C61" s="167" t="s">
        <v>2132</v>
      </c>
      <c r="D61" s="168" t="s">
        <v>2133</v>
      </c>
      <c r="E61" s="168" t="s">
        <v>2133</v>
      </c>
      <c r="F61" s="169" t="s">
        <v>1795</v>
      </c>
      <c r="G61" s="167" t="s">
        <v>2134</v>
      </c>
      <c r="H61" s="167">
        <v>31</v>
      </c>
      <c r="I61" s="167">
        <v>0</v>
      </c>
      <c r="J61" s="169">
        <f t="shared" si="1"/>
        <v>32</v>
      </c>
      <c r="K61" s="167" t="s">
        <v>693</v>
      </c>
      <c r="L61" s="169" t="s">
        <v>698</v>
      </c>
      <c r="M61" s="170" t="s">
        <v>2135</v>
      </c>
      <c r="N61" s="168"/>
      <c r="O61" s="168"/>
      <c r="P61" s="168"/>
      <c r="Q61" s="168"/>
      <c r="R61" s="168"/>
      <c r="S61" s="168"/>
      <c r="T61" s="168"/>
      <c r="U61" s="171"/>
      <c r="V61" s="171"/>
      <c r="W61" s="171"/>
      <c r="X61" s="171"/>
      <c r="Y61" s="171"/>
      <c r="Z61" s="171"/>
      <c r="AA61" s="171"/>
      <c r="AB61" s="171"/>
    </row>
    <row r="62" spans="1:28" s="172" customFormat="1">
      <c r="A62" s="166" t="s">
        <v>2136</v>
      </c>
      <c r="B62" s="166" t="s">
        <v>2136</v>
      </c>
      <c r="C62" s="167" t="s">
        <v>2137</v>
      </c>
      <c r="D62" s="168" t="s">
        <v>2138</v>
      </c>
      <c r="E62" s="168" t="s">
        <v>2138</v>
      </c>
      <c r="F62" s="169" t="s">
        <v>1795</v>
      </c>
      <c r="G62" s="167" t="s">
        <v>2139</v>
      </c>
      <c r="H62" s="167">
        <v>31</v>
      </c>
      <c r="I62" s="167">
        <v>0</v>
      </c>
      <c r="J62" s="169">
        <f t="shared" si="1"/>
        <v>32</v>
      </c>
      <c r="K62" s="167" t="s">
        <v>693</v>
      </c>
      <c r="L62" s="169" t="s">
        <v>698</v>
      </c>
      <c r="M62" s="170" t="s">
        <v>2140</v>
      </c>
      <c r="N62" s="168"/>
      <c r="O62" s="168"/>
      <c r="P62" s="168"/>
      <c r="Q62" s="168"/>
      <c r="R62" s="168"/>
      <c r="S62" s="168"/>
      <c r="T62" s="168"/>
      <c r="U62" s="171"/>
      <c r="V62" s="171"/>
      <c r="W62" s="171"/>
      <c r="X62" s="171"/>
      <c r="Y62" s="171"/>
      <c r="Z62" s="171"/>
      <c r="AA62" s="171"/>
      <c r="AB62" s="171"/>
    </row>
    <row r="63" spans="1:28" s="172" customFormat="1">
      <c r="A63" s="166" t="s">
        <v>2141</v>
      </c>
      <c r="B63" s="166" t="s">
        <v>2141</v>
      </c>
      <c r="C63" s="167" t="s">
        <v>2142</v>
      </c>
      <c r="D63" s="168" t="s">
        <v>2143</v>
      </c>
      <c r="E63" s="168" t="s">
        <v>2143</v>
      </c>
      <c r="F63" s="169" t="s">
        <v>1795</v>
      </c>
      <c r="G63" s="167" t="s">
        <v>2144</v>
      </c>
      <c r="H63" s="167">
        <v>31</v>
      </c>
      <c r="I63" s="167">
        <v>0</v>
      </c>
      <c r="J63" s="169">
        <f t="shared" si="1"/>
        <v>32</v>
      </c>
      <c r="K63" s="167" t="s">
        <v>693</v>
      </c>
      <c r="L63" s="169" t="s">
        <v>698</v>
      </c>
      <c r="M63" s="170" t="s">
        <v>2145</v>
      </c>
      <c r="N63" s="168"/>
      <c r="O63" s="168"/>
      <c r="P63" s="168"/>
      <c r="Q63" s="168"/>
      <c r="R63" s="168"/>
      <c r="S63" s="168"/>
      <c r="T63" s="168"/>
      <c r="U63" s="171"/>
      <c r="V63" s="171"/>
      <c r="W63" s="171"/>
      <c r="X63" s="171"/>
      <c r="Y63" s="171"/>
      <c r="Z63" s="171"/>
      <c r="AA63" s="171"/>
      <c r="AB63" s="171"/>
    </row>
    <row r="64" spans="1:28" s="172" customFormat="1">
      <c r="A64" s="166" t="s">
        <v>2146</v>
      </c>
      <c r="B64" s="166" t="s">
        <v>2146</v>
      </c>
      <c r="C64" s="167" t="s">
        <v>2147</v>
      </c>
      <c r="D64" s="168" t="s">
        <v>2148</v>
      </c>
      <c r="E64" s="168" t="s">
        <v>2148</v>
      </c>
      <c r="F64" s="169" t="s">
        <v>1795</v>
      </c>
      <c r="G64" s="167" t="s">
        <v>2149</v>
      </c>
      <c r="H64" s="167">
        <v>31</v>
      </c>
      <c r="I64" s="167">
        <v>0</v>
      </c>
      <c r="J64" s="169">
        <f t="shared" si="1"/>
        <v>32</v>
      </c>
      <c r="K64" s="167" t="s">
        <v>693</v>
      </c>
      <c r="L64" s="169" t="s">
        <v>698</v>
      </c>
      <c r="M64" s="170" t="s">
        <v>2150</v>
      </c>
      <c r="N64" s="168"/>
      <c r="O64" s="168"/>
      <c r="P64" s="168"/>
      <c r="Q64" s="168"/>
      <c r="R64" s="168"/>
      <c r="S64" s="168"/>
      <c r="T64" s="168"/>
      <c r="U64" s="171"/>
      <c r="V64" s="171"/>
      <c r="W64" s="171"/>
      <c r="X64" s="171"/>
      <c r="Y64" s="171"/>
      <c r="Z64" s="171"/>
      <c r="AA64" s="171"/>
      <c r="AB64" s="171"/>
    </row>
    <row r="65" spans="1:28" s="172" customFormat="1">
      <c r="A65" s="166" t="s">
        <v>2151</v>
      </c>
      <c r="B65" s="166" t="s">
        <v>2151</v>
      </c>
      <c r="C65" s="167" t="s">
        <v>2152</v>
      </c>
      <c r="D65" s="168" t="s">
        <v>2153</v>
      </c>
      <c r="E65" s="168" t="s">
        <v>2153</v>
      </c>
      <c r="F65" s="169" t="s">
        <v>1795</v>
      </c>
      <c r="G65" s="167" t="s">
        <v>2154</v>
      </c>
      <c r="H65" s="167">
        <v>31</v>
      </c>
      <c r="I65" s="167">
        <v>0</v>
      </c>
      <c r="J65" s="169">
        <f t="shared" si="1"/>
        <v>32</v>
      </c>
      <c r="K65" s="167" t="s">
        <v>693</v>
      </c>
      <c r="L65" s="169" t="s">
        <v>698</v>
      </c>
      <c r="M65" s="170" t="s">
        <v>2155</v>
      </c>
      <c r="N65" s="168"/>
      <c r="O65" s="168"/>
      <c r="P65" s="168"/>
      <c r="Q65" s="168"/>
      <c r="R65" s="168"/>
      <c r="S65" s="168"/>
      <c r="T65" s="168"/>
      <c r="U65" s="171"/>
      <c r="V65" s="171"/>
      <c r="W65" s="171"/>
      <c r="X65" s="171"/>
      <c r="Y65" s="171"/>
      <c r="Z65" s="171"/>
      <c r="AA65" s="171"/>
      <c r="AB65" s="171"/>
    </row>
    <row r="66" spans="1:28" s="172" customFormat="1">
      <c r="A66" s="166" t="s">
        <v>2156</v>
      </c>
      <c r="B66" s="166" t="s">
        <v>2156</v>
      </c>
      <c r="C66" s="167" t="s">
        <v>2157</v>
      </c>
      <c r="D66" s="168" t="s">
        <v>2158</v>
      </c>
      <c r="E66" s="168" t="s">
        <v>2158</v>
      </c>
      <c r="F66" s="169" t="s">
        <v>1795</v>
      </c>
      <c r="G66" s="167" t="s">
        <v>2159</v>
      </c>
      <c r="H66" s="167">
        <v>31</v>
      </c>
      <c r="I66" s="167">
        <v>0</v>
      </c>
      <c r="J66" s="169">
        <f t="shared" si="1"/>
        <v>32</v>
      </c>
      <c r="K66" s="167" t="s">
        <v>693</v>
      </c>
      <c r="L66" s="169" t="s">
        <v>698</v>
      </c>
      <c r="M66" s="170" t="s">
        <v>2160</v>
      </c>
      <c r="N66" s="168"/>
      <c r="O66" s="168"/>
      <c r="P66" s="168"/>
      <c r="Q66" s="168"/>
      <c r="R66" s="168"/>
      <c r="S66" s="168"/>
      <c r="T66" s="168"/>
      <c r="U66" s="171"/>
      <c r="V66" s="171"/>
      <c r="W66" s="171"/>
      <c r="X66" s="171"/>
      <c r="Y66" s="171"/>
      <c r="Z66" s="171"/>
      <c r="AA66" s="171"/>
      <c r="AB66" s="171"/>
    </row>
    <row r="67" spans="1:28" s="172" customFormat="1">
      <c r="A67" s="166" t="s">
        <v>2161</v>
      </c>
      <c r="B67" s="166" t="s">
        <v>2161</v>
      </c>
      <c r="C67" s="167" t="s">
        <v>2162</v>
      </c>
      <c r="D67" s="168" t="s">
        <v>2163</v>
      </c>
      <c r="E67" s="168" t="s">
        <v>2163</v>
      </c>
      <c r="F67" s="169" t="s">
        <v>1795</v>
      </c>
      <c r="G67" s="167" t="s">
        <v>2164</v>
      </c>
      <c r="H67" s="167">
        <v>31</v>
      </c>
      <c r="I67" s="167">
        <v>0</v>
      </c>
      <c r="J67" s="169">
        <f t="shared" si="1"/>
        <v>32</v>
      </c>
      <c r="K67" s="167" t="s">
        <v>693</v>
      </c>
      <c r="L67" s="169" t="s">
        <v>698</v>
      </c>
      <c r="M67" s="170" t="s">
        <v>2165</v>
      </c>
      <c r="N67" s="168"/>
      <c r="O67" s="168"/>
      <c r="P67" s="168"/>
      <c r="Q67" s="168"/>
      <c r="R67" s="168"/>
      <c r="S67" s="168"/>
      <c r="T67" s="168"/>
      <c r="U67" s="171"/>
      <c r="V67" s="171"/>
      <c r="W67" s="171"/>
      <c r="X67" s="171"/>
      <c r="Y67" s="171"/>
      <c r="Z67" s="171"/>
      <c r="AA67" s="171"/>
      <c r="AB67" s="171"/>
    </row>
    <row r="68" spans="1:28" s="172" customFormat="1">
      <c r="A68" s="166" t="s">
        <v>2166</v>
      </c>
      <c r="B68" s="166" t="s">
        <v>2166</v>
      </c>
      <c r="C68" s="167" t="s">
        <v>2167</v>
      </c>
      <c r="D68" s="168" t="s">
        <v>2168</v>
      </c>
      <c r="E68" s="168" t="s">
        <v>2168</v>
      </c>
      <c r="F68" s="169" t="s">
        <v>1795</v>
      </c>
      <c r="G68" s="167" t="s">
        <v>2169</v>
      </c>
      <c r="H68" s="167">
        <v>31</v>
      </c>
      <c r="I68" s="167">
        <v>0</v>
      </c>
      <c r="J68" s="169">
        <f t="shared" si="1"/>
        <v>32</v>
      </c>
      <c r="K68" s="167" t="s">
        <v>693</v>
      </c>
      <c r="L68" s="169" t="s">
        <v>698</v>
      </c>
      <c r="M68" s="170" t="s">
        <v>2170</v>
      </c>
      <c r="N68" s="168"/>
      <c r="O68" s="168"/>
      <c r="P68" s="168"/>
      <c r="Q68" s="168"/>
      <c r="R68" s="168"/>
      <c r="S68" s="168"/>
      <c r="T68" s="168"/>
      <c r="U68" s="171"/>
      <c r="V68" s="171"/>
      <c r="W68" s="171"/>
      <c r="X68" s="171"/>
      <c r="Y68" s="171"/>
      <c r="Z68" s="171"/>
      <c r="AA68" s="171"/>
      <c r="AB68" s="171"/>
    </row>
    <row r="69" spans="1:28" s="172" customFormat="1">
      <c r="A69" s="166" t="s">
        <v>2171</v>
      </c>
      <c r="B69" s="166" t="s">
        <v>2171</v>
      </c>
      <c r="C69" s="167" t="s">
        <v>2172</v>
      </c>
      <c r="D69" s="168" t="s">
        <v>2173</v>
      </c>
      <c r="E69" s="168" t="s">
        <v>2173</v>
      </c>
      <c r="F69" s="169" t="s">
        <v>1795</v>
      </c>
      <c r="G69" s="167" t="s">
        <v>2174</v>
      </c>
      <c r="H69" s="167">
        <v>31</v>
      </c>
      <c r="I69" s="167">
        <v>0</v>
      </c>
      <c r="J69" s="169">
        <f t="shared" si="1"/>
        <v>32</v>
      </c>
      <c r="K69" s="167" t="s">
        <v>693</v>
      </c>
      <c r="L69" s="169" t="s">
        <v>698</v>
      </c>
      <c r="M69" s="170" t="s">
        <v>2175</v>
      </c>
      <c r="N69" s="168"/>
      <c r="O69" s="168"/>
      <c r="P69" s="168"/>
      <c r="Q69" s="168"/>
      <c r="R69" s="168"/>
      <c r="S69" s="168"/>
      <c r="T69" s="168"/>
      <c r="U69" s="171"/>
      <c r="V69" s="171"/>
      <c r="W69" s="171"/>
      <c r="X69" s="171"/>
      <c r="Y69" s="171"/>
      <c r="Z69" s="171"/>
      <c r="AA69" s="171"/>
      <c r="AB69" s="171"/>
    </row>
    <row r="70" spans="1:28" s="172" customFormat="1">
      <c r="A70" s="166" t="s">
        <v>2176</v>
      </c>
      <c r="B70" s="166" t="s">
        <v>2176</v>
      </c>
      <c r="C70" s="167" t="s">
        <v>2177</v>
      </c>
      <c r="D70" s="168" t="s">
        <v>2178</v>
      </c>
      <c r="E70" s="168" t="s">
        <v>2178</v>
      </c>
      <c r="F70" s="169" t="s">
        <v>1795</v>
      </c>
      <c r="G70" s="167" t="s">
        <v>2179</v>
      </c>
      <c r="H70" s="167">
        <v>31</v>
      </c>
      <c r="I70" s="167">
        <v>0</v>
      </c>
      <c r="J70" s="169">
        <f t="shared" si="1"/>
        <v>32</v>
      </c>
      <c r="K70" s="167" t="s">
        <v>693</v>
      </c>
      <c r="L70" s="169" t="s">
        <v>698</v>
      </c>
      <c r="M70" s="170" t="s">
        <v>2180</v>
      </c>
      <c r="N70" s="168"/>
      <c r="O70" s="168"/>
      <c r="P70" s="168"/>
      <c r="Q70" s="168"/>
      <c r="R70" s="168"/>
      <c r="S70" s="168"/>
      <c r="T70" s="168"/>
      <c r="U70" s="171"/>
      <c r="V70" s="171"/>
      <c r="W70" s="171"/>
      <c r="X70" s="171"/>
      <c r="Y70" s="171"/>
      <c r="Z70" s="171"/>
      <c r="AA70" s="171"/>
      <c r="AB70" s="171"/>
    </row>
    <row r="71" spans="1:28" s="172" customFormat="1">
      <c r="A71" s="166" t="s">
        <v>2181</v>
      </c>
      <c r="B71" s="166" t="s">
        <v>2181</v>
      </c>
      <c r="C71" s="167" t="s">
        <v>2182</v>
      </c>
      <c r="D71" s="168" t="s">
        <v>2183</v>
      </c>
      <c r="E71" s="168" t="s">
        <v>2183</v>
      </c>
      <c r="F71" s="169" t="s">
        <v>1795</v>
      </c>
      <c r="G71" s="167" t="s">
        <v>2184</v>
      </c>
      <c r="H71" s="167">
        <v>31</v>
      </c>
      <c r="I71" s="167">
        <v>0</v>
      </c>
      <c r="J71" s="169">
        <f t="shared" si="1"/>
        <v>32</v>
      </c>
      <c r="K71" s="167" t="s">
        <v>693</v>
      </c>
      <c r="L71" s="169" t="s">
        <v>698</v>
      </c>
      <c r="M71" s="170" t="s">
        <v>2185</v>
      </c>
      <c r="N71" s="168"/>
      <c r="O71" s="168"/>
      <c r="P71" s="168"/>
      <c r="Q71" s="168"/>
      <c r="R71" s="168"/>
      <c r="S71" s="168"/>
      <c r="T71" s="168"/>
      <c r="U71" s="171"/>
      <c r="V71" s="171"/>
      <c r="W71" s="171"/>
      <c r="X71" s="171"/>
      <c r="Y71" s="171"/>
      <c r="Z71" s="171"/>
      <c r="AA71" s="171"/>
      <c r="AB71" s="171"/>
    </row>
    <row r="72" spans="1:28" s="172" customFormat="1">
      <c r="A72" s="166" t="s">
        <v>2186</v>
      </c>
      <c r="B72" s="166" t="s">
        <v>2186</v>
      </c>
      <c r="C72" s="167" t="s">
        <v>2187</v>
      </c>
      <c r="D72" s="168" t="s">
        <v>2188</v>
      </c>
      <c r="E72" s="168" t="s">
        <v>2188</v>
      </c>
      <c r="F72" s="169" t="s">
        <v>1795</v>
      </c>
      <c r="G72" s="167" t="s">
        <v>2189</v>
      </c>
      <c r="H72" s="167">
        <v>31</v>
      </c>
      <c r="I72" s="167">
        <v>0</v>
      </c>
      <c r="J72" s="169">
        <f t="shared" si="1"/>
        <v>32</v>
      </c>
      <c r="K72" s="167" t="s">
        <v>693</v>
      </c>
      <c r="L72" s="169" t="s">
        <v>698</v>
      </c>
      <c r="M72" s="170" t="s">
        <v>2190</v>
      </c>
      <c r="N72" s="168"/>
      <c r="O72" s="168"/>
      <c r="P72" s="168"/>
      <c r="Q72" s="168"/>
      <c r="R72" s="168"/>
      <c r="S72" s="168"/>
      <c r="T72" s="168"/>
      <c r="U72" s="171"/>
      <c r="V72" s="171"/>
      <c r="W72" s="171"/>
      <c r="X72" s="171"/>
      <c r="Y72" s="171"/>
      <c r="Z72" s="171"/>
      <c r="AA72" s="171"/>
      <c r="AB72" s="171"/>
    </row>
    <row r="73" spans="1:28" s="195" customFormat="1">
      <c r="A73" s="189" t="s">
        <v>2191</v>
      </c>
      <c r="B73" s="189" t="s">
        <v>2191</v>
      </c>
      <c r="C73" s="190" t="s">
        <v>2192</v>
      </c>
      <c r="D73" s="190" t="s">
        <v>2192</v>
      </c>
      <c r="E73" s="190" t="s">
        <v>2192</v>
      </c>
      <c r="F73" s="192" t="s">
        <v>1795</v>
      </c>
      <c r="G73" s="190" t="s">
        <v>2193</v>
      </c>
      <c r="H73" s="190">
        <v>31</v>
      </c>
      <c r="I73" s="190">
        <v>0</v>
      </c>
      <c r="J73" s="192">
        <f t="shared" si="1"/>
        <v>32</v>
      </c>
      <c r="K73" s="190" t="s">
        <v>693</v>
      </c>
      <c r="L73" s="192" t="s">
        <v>712</v>
      </c>
      <c r="M73" s="193" t="s">
        <v>2194</v>
      </c>
      <c r="N73" s="191"/>
      <c r="O73" s="191"/>
      <c r="P73" s="191"/>
      <c r="Q73" s="191"/>
      <c r="R73" s="191"/>
      <c r="S73" s="191"/>
      <c r="T73" s="191"/>
      <c r="U73" s="194"/>
      <c r="V73" s="194"/>
      <c r="W73" s="194"/>
      <c r="X73" s="194"/>
      <c r="Y73" s="194"/>
      <c r="Z73" s="194"/>
      <c r="AA73" s="194"/>
      <c r="AB73" s="194"/>
    </row>
    <row r="74" spans="1:28" s="195" customFormat="1">
      <c r="A74" s="189" t="s">
        <v>2195</v>
      </c>
      <c r="B74" s="189" t="s">
        <v>2195</v>
      </c>
      <c r="C74" s="190" t="s">
        <v>2196</v>
      </c>
      <c r="D74" s="190" t="s">
        <v>2196</v>
      </c>
      <c r="E74" s="190" t="s">
        <v>2196</v>
      </c>
      <c r="F74" s="192" t="s">
        <v>1795</v>
      </c>
      <c r="G74" s="190" t="s">
        <v>2197</v>
      </c>
      <c r="H74" s="190">
        <v>31</v>
      </c>
      <c r="I74" s="190">
        <v>0</v>
      </c>
      <c r="J74" s="192">
        <f t="shared" si="1"/>
        <v>32</v>
      </c>
      <c r="K74" s="190" t="s">
        <v>693</v>
      </c>
      <c r="L74" s="192" t="s">
        <v>712</v>
      </c>
      <c r="M74" s="193" t="s">
        <v>2194</v>
      </c>
      <c r="N74" s="191"/>
      <c r="O74" s="191"/>
      <c r="P74" s="191"/>
      <c r="Q74" s="191"/>
      <c r="R74" s="191"/>
      <c r="S74" s="191"/>
      <c r="T74" s="191"/>
      <c r="U74" s="194"/>
      <c r="V74" s="194"/>
      <c r="W74" s="194"/>
      <c r="X74" s="194"/>
      <c r="Y74" s="194"/>
      <c r="Z74" s="194"/>
      <c r="AA74" s="194"/>
      <c r="AB74" s="194"/>
    </row>
    <row r="75" spans="1:28" s="195" customFormat="1">
      <c r="A75" s="189" t="s">
        <v>2198</v>
      </c>
      <c r="B75" s="189" t="s">
        <v>2198</v>
      </c>
      <c r="C75" s="190" t="s">
        <v>2199</v>
      </c>
      <c r="D75" s="190" t="s">
        <v>2199</v>
      </c>
      <c r="E75" s="190" t="s">
        <v>2199</v>
      </c>
      <c r="F75" s="192" t="s">
        <v>1795</v>
      </c>
      <c r="G75" s="190" t="s">
        <v>2200</v>
      </c>
      <c r="H75" s="190">
        <v>31</v>
      </c>
      <c r="I75" s="190">
        <v>0</v>
      </c>
      <c r="J75" s="192">
        <f t="shared" si="1"/>
        <v>32</v>
      </c>
      <c r="K75" s="190" t="s">
        <v>693</v>
      </c>
      <c r="L75" s="192" t="s">
        <v>712</v>
      </c>
      <c r="M75" s="193" t="s">
        <v>2194</v>
      </c>
      <c r="N75" s="191"/>
      <c r="O75" s="191"/>
      <c r="P75" s="191"/>
      <c r="Q75" s="191"/>
      <c r="R75" s="191"/>
      <c r="S75" s="191"/>
      <c r="T75" s="191"/>
      <c r="U75" s="194"/>
      <c r="V75" s="194"/>
      <c r="W75" s="194"/>
      <c r="X75" s="194"/>
      <c r="Y75" s="194"/>
      <c r="Z75" s="194"/>
      <c r="AA75" s="194"/>
      <c r="AB75" s="194"/>
    </row>
    <row r="76" spans="1:28" s="195" customFormat="1">
      <c r="A76" s="189" t="s">
        <v>2201</v>
      </c>
      <c r="B76" s="189" t="s">
        <v>2201</v>
      </c>
      <c r="C76" s="190" t="s">
        <v>2202</v>
      </c>
      <c r="D76" s="190" t="s">
        <v>2202</v>
      </c>
      <c r="E76" s="190" t="s">
        <v>2202</v>
      </c>
      <c r="F76" s="192" t="s">
        <v>1795</v>
      </c>
      <c r="G76" s="190" t="s">
        <v>2203</v>
      </c>
      <c r="H76" s="190">
        <v>31</v>
      </c>
      <c r="I76" s="190">
        <v>0</v>
      </c>
      <c r="J76" s="192">
        <f t="shared" si="1"/>
        <v>32</v>
      </c>
      <c r="K76" s="190" t="s">
        <v>693</v>
      </c>
      <c r="L76" s="192" t="s">
        <v>712</v>
      </c>
      <c r="M76" s="193" t="s">
        <v>2194</v>
      </c>
      <c r="N76" s="191"/>
      <c r="O76" s="191"/>
      <c r="P76" s="191"/>
      <c r="Q76" s="191"/>
      <c r="R76" s="191"/>
      <c r="S76" s="191"/>
      <c r="T76" s="191"/>
      <c r="U76" s="194"/>
      <c r="V76" s="194"/>
      <c r="W76" s="194"/>
      <c r="X76" s="194"/>
      <c r="Y76" s="194"/>
      <c r="Z76" s="194"/>
      <c r="AA76" s="194"/>
      <c r="AB76" s="194"/>
    </row>
    <row r="77" spans="1:28" s="195" customFormat="1">
      <c r="A77" s="189" t="s">
        <v>2204</v>
      </c>
      <c r="B77" s="189" t="s">
        <v>2204</v>
      </c>
      <c r="C77" s="190" t="s">
        <v>2205</v>
      </c>
      <c r="D77" s="190" t="s">
        <v>2205</v>
      </c>
      <c r="E77" s="190" t="s">
        <v>2205</v>
      </c>
      <c r="F77" s="192" t="s">
        <v>1795</v>
      </c>
      <c r="G77" s="190" t="s">
        <v>2206</v>
      </c>
      <c r="H77" s="190">
        <v>31</v>
      </c>
      <c r="I77" s="190">
        <v>0</v>
      </c>
      <c r="J77" s="192">
        <f t="shared" si="1"/>
        <v>32</v>
      </c>
      <c r="K77" s="190" t="s">
        <v>693</v>
      </c>
      <c r="L77" s="192" t="s">
        <v>712</v>
      </c>
      <c r="M77" s="193" t="s">
        <v>2194</v>
      </c>
      <c r="N77" s="191"/>
      <c r="O77" s="191"/>
      <c r="P77" s="191"/>
      <c r="Q77" s="191"/>
      <c r="R77" s="191"/>
      <c r="S77" s="191"/>
      <c r="T77" s="191"/>
      <c r="U77" s="194"/>
      <c r="V77" s="194"/>
      <c r="W77" s="194"/>
      <c r="X77" s="194"/>
      <c r="Y77" s="194"/>
      <c r="Z77" s="194"/>
      <c r="AA77" s="194"/>
      <c r="AB77" s="194"/>
    </row>
    <row r="78" spans="1:28" s="195" customFormat="1">
      <c r="A78" s="189" t="s">
        <v>2207</v>
      </c>
      <c r="B78" s="189" t="s">
        <v>2207</v>
      </c>
      <c r="C78" s="190" t="s">
        <v>2208</v>
      </c>
      <c r="D78" s="190" t="s">
        <v>2208</v>
      </c>
      <c r="E78" s="190" t="s">
        <v>2208</v>
      </c>
      <c r="F78" s="192" t="s">
        <v>1795</v>
      </c>
      <c r="G78" s="190" t="s">
        <v>2209</v>
      </c>
      <c r="H78" s="190">
        <v>31</v>
      </c>
      <c r="I78" s="190">
        <v>0</v>
      </c>
      <c r="J78" s="192">
        <f t="shared" si="1"/>
        <v>32</v>
      </c>
      <c r="K78" s="190" t="s">
        <v>693</v>
      </c>
      <c r="L78" s="192" t="s">
        <v>712</v>
      </c>
      <c r="M78" s="193" t="s">
        <v>2194</v>
      </c>
      <c r="N78" s="191"/>
      <c r="O78" s="191"/>
      <c r="P78" s="191"/>
      <c r="Q78" s="191"/>
      <c r="R78" s="191"/>
      <c r="S78" s="191"/>
      <c r="T78" s="191"/>
      <c r="U78" s="194"/>
      <c r="V78" s="194"/>
      <c r="W78" s="194"/>
      <c r="X78" s="194"/>
      <c r="Y78" s="194"/>
      <c r="Z78" s="194"/>
      <c r="AA78" s="194"/>
      <c r="AB78" s="194"/>
    </row>
    <row r="79" spans="1:28" s="195" customFormat="1">
      <c r="A79" s="189" t="s">
        <v>2210</v>
      </c>
      <c r="B79" s="189" t="s">
        <v>2210</v>
      </c>
      <c r="C79" s="190" t="s">
        <v>2211</v>
      </c>
      <c r="D79" s="190" t="s">
        <v>2211</v>
      </c>
      <c r="E79" s="190" t="s">
        <v>2211</v>
      </c>
      <c r="F79" s="192" t="s">
        <v>1795</v>
      </c>
      <c r="G79" s="190" t="s">
        <v>2212</v>
      </c>
      <c r="H79" s="190">
        <v>31</v>
      </c>
      <c r="I79" s="190">
        <v>0</v>
      </c>
      <c r="J79" s="192">
        <f t="shared" si="1"/>
        <v>32</v>
      </c>
      <c r="K79" s="190" t="s">
        <v>693</v>
      </c>
      <c r="L79" s="192" t="s">
        <v>712</v>
      </c>
      <c r="M79" s="193" t="s">
        <v>2194</v>
      </c>
      <c r="N79" s="191"/>
      <c r="O79" s="191"/>
      <c r="P79" s="191"/>
      <c r="Q79" s="191"/>
      <c r="R79" s="191"/>
      <c r="S79" s="191"/>
      <c r="T79" s="191"/>
      <c r="U79" s="194"/>
      <c r="V79" s="194"/>
      <c r="W79" s="194"/>
      <c r="X79" s="194"/>
      <c r="Y79" s="194"/>
      <c r="Z79" s="194"/>
      <c r="AA79" s="194"/>
      <c r="AB79" s="194"/>
    </row>
    <row r="80" spans="1:28" s="195" customFormat="1">
      <c r="A80" s="189" t="s">
        <v>2213</v>
      </c>
      <c r="B80" s="189" t="s">
        <v>2213</v>
      </c>
      <c r="C80" s="190" t="s">
        <v>2214</v>
      </c>
      <c r="D80" s="190" t="s">
        <v>2214</v>
      </c>
      <c r="E80" s="190" t="s">
        <v>2214</v>
      </c>
      <c r="F80" s="192" t="s">
        <v>1795</v>
      </c>
      <c r="G80" s="190" t="s">
        <v>2215</v>
      </c>
      <c r="H80" s="190">
        <v>31</v>
      </c>
      <c r="I80" s="190">
        <v>0</v>
      </c>
      <c r="J80" s="192">
        <f t="shared" si="1"/>
        <v>32</v>
      </c>
      <c r="K80" s="190" t="s">
        <v>693</v>
      </c>
      <c r="L80" s="192" t="s">
        <v>712</v>
      </c>
      <c r="M80" s="193" t="s">
        <v>2194</v>
      </c>
      <c r="N80" s="191"/>
      <c r="O80" s="191"/>
      <c r="P80" s="191"/>
      <c r="Q80" s="191"/>
      <c r="R80" s="191"/>
      <c r="S80" s="191"/>
      <c r="T80" s="191"/>
      <c r="U80" s="194"/>
      <c r="V80" s="194"/>
      <c r="W80" s="194"/>
      <c r="X80" s="194"/>
      <c r="Y80" s="194"/>
      <c r="Z80" s="194"/>
      <c r="AA80" s="194"/>
      <c r="AB80" s="194"/>
    </row>
    <row r="81" spans="1:28" s="195" customFormat="1">
      <c r="A81" s="189" t="s">
        <v>2216</v>
      </c>
      <c r="B81" s="189" t="s">
        <v>2216</v>
      </c>
      <c r="C81" s="190" t="s">
        <v>2217</v>
      </c>
      <c r="D81" s="190" t="s">
        <v>2217</v>
      </c>
      <c r="E81" s="190" t="s">
        <v>2217</v>
      </c>
      <c r="F81" s="192" t="s">
        <v>1795</v>
      </c>
      <c r="G81" s="190" t="s">
        <v>2218</v>
      </c>
      <c r="H81" s="190">
        <v>31</v>
      </c>
      <c r="I81" s="190">
        <v>0</v>
      </c>
      <c r="J81" s="192">
        <f t="shared" si="1"/>
        <v>32</v>
      </c>
      <c r="K81" s="190" t="s">
        <v>693</v>
      </c>
      <c r="L81" s="192" t="s">
        <v>712</v>
      </c>
      <c r="M81" s="193" t="s">
        <v>2194</v>
      </c>
      <c r="N81" s="191"/>
      <c r="O81" s="191"/>
      <c r="P81" s="191"/>
      <c r="Q81" s="191"/>
      <c r="R81" s="191"/>
      <c r="S81" s="191"/>
      <c r="T81" s="191"/>
      <c r="U81" s="194"/>
      <c r="V81" s="194"/>
      <c r="W81" s="194"/>
      <c r="X81" s="194"/>
      <c r="Y81" s="194"/>
      <c r="Z81" s="194"/>
      <c r="AA81" s="194"/>
      <c r="AB81" s="194"/>
    </row>
    <row r="82" spans="1:28" s="195" customFormat="1">
      <c r="A82" s="189" t="s">
        <v>2219</v>
      </c>
      <c r="B82" s="189" t="s">
        <v>2219</v>
      </c>
      <c r="C82" s="190" t="s">
        <v>2220</v>
      </c>
      <c r="D82" s="190" t="s">
        <v>2220</v>
      </c>
      <c r="E82" s="190" t="s">
        <v>2220</v>
      </c>
      <c r="F82" s="192" t="s">
        <v>1795</v>
      </c>
      <c r="G82" s="190" t="s">
        <v>2221</v>
      </c>
      <c r="H82" s="190">
        <v>31</v>
      </c>
      <c r="I82" s="190">
        <v>0</v>
      </c>
      <c r="J82" s="192">
        <f t="shared" si="1"/>
        <v>32</v>
      </c>
      <c r="K82" s="190" t="s">
        <v>693</v>
      </c>
      <c r="L82" s="192" t="s">
        <v>712</v>
      </c>
      <c r="M82" s="193" t="s">
        <v>2194</v>
      </c>
      <c r="N82" s="191"/>
      <c r="O82" s="191"/>
      <c r="P82" s="191"/>
      <c r="Q82" s="191"/>
      <c r="R82" s="191"/>
      <c r="S82" s="191"/>
      <c r="T82" s="191"/>
      <c r="U82" s="194"/>
      <c r="V82" s="194"/>
      <c r="W82" s="194"/>
      <c r="X82" s="194"/>
      <c r="Y82" s="194"/>
      <c r="Z82" s="194"/>
      <c r="AA82" s="194"/>
      <c r="AB82" s="194"/>
    </row>
    <row r="83" spans="1:28" s="195" customFormat="1">
      <c r="A83" s="189" t="s">
        <v>2222</v>
      </c>
      <c r="B83" s="189" t="s">
        <v>2222</v>
      </c>
      <c r="C83" s="190" t="s">
        <v>2223</v>
      </c>
      <c r="D83" s="190" t="s">
        <v>2223</v>
      </c>
      <c r="E83" s="190" t="s">
        <v>2223</v>
      </c>
      <c r="F83" s="192" t="s">
        <v>1795</v>
      </c>
      <c r="G83" s="190" t="s">
        <v>2224</v>
      </c>
      <c r="H83" s="190">
        <v>31</v>
      </c>
      <c r="I83" s="190">
        <v>0</v>
      </c>
      <c r="J83" s="192">
        <f t="shared" si="1"/>
        <v>32</v>
      </c>
      <c r="K83" s="190" t="s">
        <v>693</v>
      </c>
      <c r="L83" s="192" t="s">
        <v>712</v>
      </c>
      <c r="M83" s="193" t="s">
        <v>2194</v>
      </c>
      <c r="N83" s="191"/>
      <c r="O83" s="191"/>
      <c r="P83" s="191"/>
      <c r="Q83" s="191"/>
      <c r="R83" s="191"/>
      <c r="S83" s="191"/>
      <c r="T83" s="191"/>
      <c r="U83" s="194"/>
      <c r="V83" s="194"/>
      <c r="W83" s="194"/>
      <c r="X83" s="194"/>
      <c r="Y83" s="194"/>
      <c r="Z83" s="194"/>
      <c r="AA83" s="194"/>
      <c r="AB83" s="194"/>
    </row>
    <row r="84" spans="1:28" s="197" customFormat="1">
      <c r="A84" s="189" t="s">
        <v>2225</v>
      </c>
      <c r="B84" s="189" t="s">
        <v>2225</v>
      </c>
      <c r="C84" s="190" t="s">
        <v>2226</v>
      </c>
      <c r="D84" s="190" t="s">
        <v>2226</v>
      </c>
      <c r="E84" s="190" t="s">
        <v>2226</v>
      </c>
      <c r="F84" s="192" t="s">
        <v>1795</v>
      </c>
      <c r="G84" s="190" t="s">
        <v>2227</v>
      </c>
      <c r="H84" s="190">
        <v>31</v>
      </c>
      <c r="I84" s="190">
        <v>0</v>
      </c>
      <c r="J84" s="192">
        <f t="shared" si="1"/>
        <v>32</v>
      </c>
      <c r="K84" s="190" t="s">
        <v>693</v>
      </c>
      <c r="L84" s="192" t="s">
        <v>712</v>
      </c>
      <c r="M84" s="193" t="s">
        <v>2194</v>
      </c>
      <c r="N84" s="196"/>
      <c r="O84" s="196"/>
      <c r="P84" s="196"/>
      <c r="Q84" s="196"/>
      <c r="R84" s="196"/>
      <c r="S84" s="196"/>
      <c r="T84" s="196"/>
      <c r="U84" s="196"/>
      <c r="V84" s="196"/>
      <c r="W84" s="196"/>
      <c r="X84" s="196"/>
      <c r="Y84" s="196"/>
      <c r="Z84" s="196"/>
      <c r="AA84" s="196"/>
      <c r="AB84" s="196"/>
    </row>
    <row r="85" spans="1:28" s="197" customFormat="1">
      <c r="A85" s="189" t="s">
        <v>2228</v>
      </c>
      <c r="B85" s="189" t="s">
        <v>2228</v>
      </c>
      <c r="C85" s="190" t="s">
        <v>2229</v>
      </c>
      <c r="D85" s="190" t="s">
        <v>2229</v>
      </c>
      <c r="E85" s="190" t="s">
        <v>2229</v>
      </c>
      <c r="F85" s="192" t="s">
        <v>1795</v>
      </c>
      <c r="G85" s="190" t="s">
        <v>2230</v>
      </c>
      <c r="H85" s="190">
        <v>31</v>
      </c>
      <c r="I85" s="190">
        <v>0</v>
      </c>
      <c r="J85" s="192">
        <f t="shared" si="1"/>
        <v>32</v>
      </c>
      <c r="K85" s="190" t="s">
        <v>693</v>
      </c>
      <c r="L85" s="192" t="s">
        <v>712</v>
      </c>
      <c r="M85" s="193" t="s">
        <v>2194</v>
      </c>
      <c r="N85" s="196"/>
      <c r="O85" s="196"/>
      <c r="P85" s="196"/>
      <c r="Q85" s="196"/>
      <c r="R85" s="196"/>
      <c r="S85" s="196"/>
      <c r="T85" s="196"/>
      <c r="U85" s="196"/>
      <c r="V85" s="196"/>
      <c r="W85" s="196"/>
      <c r="X85" s="196"/>
      <c r="Y85" s="196"/>
      <c r="Z85" s="196"/>
      <c r="AA85" s="196"/>
      <c r="AB85" s="196"/>
    </row>
    <row r="86" spans="1:28" s="197" customFormat="1">
      <c r="A86" s="189" t="s">
        <v>2231</v>
      </c>
      <c r="B86" s="189" t="s">
        <v>2231</v>
      </c>
      <c r="C86" s="190" t="s">
        <v>2232</v>
      </c>
      <c r="D86" s="190" t="s">
        <v>2232</v>
      </c>
      <c r="E86" s="190" t="s">
        <v>2232</v>
      </c>
      <c r="F86" s="192" t="s">
        <v>1795</v>
      </c>
      <c r="G86" s="190" t="s">
        <v>2233</v>
      </c>
      <c r="H86" s="190">
        <v>31</v>
      </c>
      <c r="I86" s="190">
        <v>0</v>
      </c>
      <c r="J86" s="192">
        <f t="shared" si="1"/>
        <v>32</v>
      </c>
      <c r="K86" s="190" t="s">
        <v>693</v>
      </c>
      <c r="L86" s="192" t="s">
        <v>712</v>
      </c>
      <c r="M86" s="193" t="s">
        <v>2194</v>
      </c>
      <c r="N86" s="196"/>
      <c r="O86" s="196"/>
      <c r="P86" s="196"/>
      <c r="Q86" s="196"/>
      <c r="R86" s="196"/>
      <c r="S86" s="196"/>
      <c r="T86" s="196"/>
      <c r="U86" s="196"/>
      <c r="V86" s="196"/>
      <c r="W86" s="196"/>
      <c r="X86" s="196"/>
      <c r="Y86" s="196"/>
      <c r="Z86" s="196"/>
      <c r="AA86" s="196"/>
      <c r="AB86" s="196"/>
    </row>
    <row r="87" spans="1:28" s="197" customFormat="1">
      <c r="A87" s="189" t="s">
        <v>2234</v>
      </c>
      <c r="B87" s="189" t="s">
        <v>2234</v>
      </c>
      <c r="C87" s="190" t="s">
        <v>2235</v>
      </c>
      <c r="D87" s="190" t="s">
        <v>2235</v>
      </c>
      <c r="E87" s="190" t="s">
        <v>2235</v>
      </c>
      <c r="F87" s="192" t="s">
        <v>1795</v>
      </c>
      <c r="G87" s="190" t="s">
        <v>2236</v>
      </c>
      <c r="H87" s="190">
        <v>31</v>
      </c>
      <c r="I87" s="190">
        <v>0</v>
      </c>
      <c r="J87" s="192">
        <f t="shared" si="1"/>
        <v>32</v>
      </c>
      <c r="K87" s="190" t="s">
        <v>693</v>
      </c>
      <c r="L87" s="192" t="s">
        <v>712</v>
      </c>
      <c r="M87" s="193" t="s">
        <v>2194</v>
      </c>
      <c r="N87" s="196"/>
      <c r="O87" s="196"/>
      <c r="P87" s="196"/>
      <c r="Q87" s="196"/>
      <c r="R87" s="196"/>
      <c r="S87" s="196"/>
      <c r="T87" s="196"/>
      <c r="U87" s="196"/>
      <c r="V87" s="196"/>
      <c r="W87" s="196"/>
      <c r="X87" s="196"/>
      <c r="Y87" s="196"/>
      <c r="Z87" s="196"/>
      <c r="AA87" s="196"/>
      <c r="AB87" s="196"/>
    </row>
    <row r="88" spans="1:28" s="197" customFormat="1">
      <c r="A88" s="189" t="s">
        <v>2237</v>
      </c>
      <c r="B88" s="189" t="s">
        <v>2237</v>
      </c>
      <c r="C88" s="190" t="s">
        <v>2238</v>
      </c>
      <c r="D88" s="190" t="s">
        <v>2238</v>
      </c>
      <c r="E88" s="190" t="s">
        <v>2238</v>
      </c>
      <c r="F88" s="192" t="s">
        <v>1795</v>
      </c>
      <c r="G88" s="190" t="s">
        <v>2239</v>
      </c>
      <c r="H88" s="190">
        <v>31</v>
      </c>
      <c r="I88" s="190">
        <v>0</v>
      </c>
      <c r="J88" s="192">
        <f t="shared" si="1"/>
        <v>32</v>
      </c>
      <c r="K88" s="190" t="s">
        <v>693</v>
      </c>
      <c r="L88" s="192" t="s">
        <v>712</v>
      </c>
      <c r="M88" s="193" t="s">
        <v>2194</v>
      </c>
      <c r="N88" s="196"/>
      <c r="O88" s="196"/>
      <c r="P88" s="196"/>
      <c r="Q88" s="196"/>
      <c r="R88" s="196"/>
      <c r="S88" s="196"/>
      <c r="T88" s="196"/>
      <c r="U88" s="196"/>
      <c r="V88" s="196"/>
      <c r="W88" s="196"/>
      <c r="X88" s="196"/>
      <c r="Y88" s="196"/>
      <c r="Z88" s="196"/>
      <c r="AA88" s="196"/>
      <c r="AB88" s="196"/>
    </row>
    <row r="89" spans="1:28" s="197" customFormat="1">
      <c r="A89" s="189" t="s">
        <v>2240</v>
      </c>
      <c r="B89" s="189" t="s">
        <v>2240</v>
      </c>
      <c r="C89" s="190" t="s">
        <v>2241</v>
      </c>
      <c r="D89" s="190" t="s">
        <v>2241</v>
      </c>
      <c r="E89" s="190" t="s">
        <v>2241</v>
      </c>
      <c r="F89" s="192" t="s">
        <v>1795</v>
      </c>
      <c r="G89" s="190" t="s">
        <v>2242</v>
      </c>
      <c r="H89" s="190">
        <v>31</v>
      </c>
      <c r="I89" s="190">
        <v>0</v>
      </c>
      <c r="J89" s="192">
        <f t="shared" si="1"/>
        <v>32</v>
      </c>
      <c r="K89" s="190" t="s">
        <v>693</v>
      </c>
      <c r="L89" s="192" t="s">
        <v>712</v>
      </c>
      <c r="M89" s="193" t="s">
        <v>2194</v>
      </c>
      <c r="N89" s="196"/>
      <c r="O89" s="196"/>
      <c r="P89" s="196"/>
      <c r="Q89" s="196"/>
      <c r="R89" s="196"/>
      <c r="S89" s="196"/>
      <c r="T89" s="196"/>
      <c r="U89" s="196"/>
      <c r="V89" s="196"/>
      <c r="W89" s="196"/>
      <c r="X89" s="196"/>
      <c r="Y89" s="196"/>
      <c r="Z89" s="196"/>
      <c r="AA89" s="196"/>
      <c r="AB89" s="196"/>
    </row>
    <row r="90" spans="1:28" s="197" customFormat="1">
      <c r="A90" s="189" t="s">
        <v>2243</v>
      </c>
      <c r="B90" s="189" t="s">
        <v>2243</v>
      </c>
      <c r="C90" s="190" t="s">
        <v>2244</v>
      </c>
      <c r="D90" s="190" t="s">
        <v>2244</v>
      </c>
      <c r="E90" s="190" t="s">
        <v>2244</v>
      </c>
      <c r="F90" s="192" t="s">
        <v>1795</v>
      </c>
      <c r="G90" s="190" t="s">
        <v>2245</v>
      </c>
      <c r="H90" s="190">
        <v>31</v>
      </c>
      <c r="I90" s="190">
        <v>0</v>
      </c>
      <c r="J90" s="192">
        <f t="shared" si="1"/>
        <v>32</v>
      </c>
      <c r="K90" s="190" t="s">
        <v>693</v>
      </c>
      <c r="L90" s="192" t="s">
        <v>712</v>
      </c>
      <c r="M90" s="193" t="s">
        <v>2194</v>
      </c>
      <c r="N90" s="196"/>
      <c r="O90" s="196"/>
      <c r="P90" s="196"/>
      <c r="Q90" s="196"/>
      <c r="R90" s="196"/>
      <c r="S90" s="196"/>
      <c r="T90" s="196"/>
      <c r="U90" s="196"/>
      <c r="V90" s="196"/>
      <c r="W90" s="196"/>
      <c r="X90" s="196"/>
      <c r="Y90" s="196"/>
      <c r="Z90" s="196"/>
      <c r="AA90" s="196"/>
      <c r="AB90" s="196"/>
    </row>
    <row r="91" spans="1:28" s="197" customFormat="1">
      <c r="A91" s="189" t="s">
        <v>2246</v>
      </c>
      <c r="B91" s="189" t="s">
        <v>2246</v>
      </c>
      <c r="C91" s="190" t="s">
        <v>2247</v>
      </c>
      <c r="D91" s="190" t="s">
        <v>2247</v>
      </c>
      <c r="E91" s="190" t="s">
        <v>2247</v>
      </c>
      <c r="F91" s="192" t="s">
        <v>1795</v>
      </c>
      <c r="G91" s="190" t="s">
        <v>2248</v>
      </c>
      <c r="H91" s="190">
        <v>31</v>
      </c>
      <c r="I91" s="190">
        <v>0</v>
      </c>
      <c r="J91" s="192">
        <f t="shared" si="1"/>
        <v>32</v>
      </c>
      <c r="K91" s="190" t="s">
        <v>693</v>
      </c>
      <c r="L91" s="192" t="s">
        <v>712</v>
      </c>
      <c r="M91" s="193" t="s">
        <v>2194</v>
      </c>
      <c r="N91" s="196"/>
      <c r="O91" s="196"/>
      <c r="P91" s="196"/>
      <c r="Q91" s="196"/>
      <c r="R91" s="196"/>
      <c r="S91" s="196"/>
      <c r="T91" s="196"/>
      <c r="U91" s="196"/>
      <c r="V91" s="196"/>
      <c r="W91" s="196"/>
      <c r="X91" s="196"/>
      <c r="Y91" s="196"/>
      <c r="Z91" s="196"/>
      <c r="AA91" s="196"/>
      <c r="AB91" s="196"/>
    </row>
    <row r="92" spans="1:28" s="197" customFormat="1">
      <c r="A92" s="189" t="s">
        <v>2249</v>
      </c>
      <c r="B92" s="189" t="s">
        <v>2249</v>
      </c>
      <c r="C92" s="190" t="s">
        <v>2250</v>
      </c>
      <c r="D92" s="190" t="s">
        <v>2250</v>
      </c>
      <c r="E92" s="190" t="s">
        <v>2250</v>
      </c>
      <c r="F92" s="192" t="s">
        <v>1795</v>
      </c>
      <c r="G92" s="190" t="s">
        <v>2251</v>
      </c>
      <c r="H92" s="190">
        <v>31</v>
      </c>
      <c r="I92" s="190">
        <v>0</v>
      </c>
      <c r="J92" s="192">
        <f t="shared" si="1"/>
        <v>32</v>
      </c>
      <c r="K92" s="190" t="s">
        <v>693</v>
      </c>
      <c r="L92" s="192" t="s">
        <v>712</v>
      </c>
      <c r="M92" s="193" t="s">
        <v>2194</v>
      </c>
      <c r="N92" s="196"/>
      <c r="O92" s="196"/>
      <c r="P92" s="196"/>
      <c r="Q92" s="196"/>
      <c r="R92" s="196"/>
      <c r="S92" s="196"/>
      <c r="T92" s="196"/>
      <c r="U92" s="196"/>
      <c r="V92" s="196"/>
      <c r="W92" s="196"/>
      <c r="X92" s="196"/>
      <c r="Y92" s="196"/>
      <c r="Z92" s="196"/>
      <c r="AA92" s="196"/>
      <c r="AB92" s="196"/>
    </row>
    <row r="93" spans="1:28" s="197" customFormat="1">
      <c r="A93" s="189" t="s">
        <v>2252</v>
      </c>
      <c r="B93" s="189" t="s">
        <v>2252</v>
      </c>
      <c r="C93" s="190" t="s">
        <v>2253</v>
      </c>
      <c r="D93" s="190" t="s">
        <v>2253</v>
      </c>
      <c r="E93" s="190" t="s">
        <v>2253</v>
      </c>
      <c r="F93" s="192" t="s">
        <v>1795</v>
      </c>
      <c r="G93" s="190" t="s">
        <v>2254</v>
      </c>
      <c r="H93" s="190">
        <v>31</v>
      </c>
      <c r="I93" s="190">
        <v>0</v>
      </c>
      <c r="J93" s="192">
        <f t="shared" si="1"/>
        <v>32</v>
      </c>
      <c r="K93" s="190" t="s">
        <v>693</v>
      </c>
      <c r="L93" s="192" t="s">
        <v>712</v>
      </c>
      <c r="M93" s="193" t="s">
        <v>2194</v>
      </c>
      <c r="N93" s="196"/>
      <c r="O93" s="196"/>
      <c r="P93" s="196"/>
      <c r="Q93" s="196"/>
      <c r="R93" s="196"/>
      <c r="S93" s="196"/>
      <c r="T93" s="196"/>
      <c r="U93" s="196"/>
      <c r="V93" s="196"/>
      <c r="W93" s="196"/>
      <c r="X93" s="196"/>
      <c r="Y93" s="196"/>
      <c r="Z93" s="196"/>
      <c r="AA93" s="196"/>
      <c r="AB93" s="196"/>
    </row>
    <row r="94" spans="1:28" s="197" customFormat="1">
      <c r="A94" s="189" t="s">
        <v>2255</v>
      </c>
      <c r="B94" s="189" t="s">
        <v>2255</v>
      </c>
      <c r="C94" s="190" t="s">
        <v>2256</v>
      </c>
      <c r="D94" s="190" t="s">
        <v>2256</v>
      </c>
      <c r="E94" s="190" t="s">
        <v>2256</v>
      </c>
      <c r="F94" s="192" t="s">
        <v>1795</v>
      </c>
      <c r="G94" s="190" t="s">
        <v>2257</v>
      </c>
      <c r="H94" s="190">
        <v>31</v>
      </c>
      <c r="I94" s="190">
        <v>0</v>
      </c>
      <c r="J94" s="192">
        <f t="shared" si="1"/>
        <v>32</v>
      </c>
      <c r="K94" s="190" t="s">
        <v>693</v>
      </c>
      <c r="L94" s="192" t="s">
        <v>712</v>
      </c>
      <c r="M94" s="193" t="s">
        <v>2194</v>
      </c>
      <c r="N94" s="196"/>
      <c r="O94" s="196"/>
      <c r="P94" s="196"/>
      <c r="Q94" s="196"/>
      <c r="R94" s="196"/>
      <c r="S94" s="196"/>
      <c r="T94" s="196"/>
      <c r="U94" s="196"/>
      <c r="V94" s="196"/>
      <c r="W94" s="196"/>
      <c r="X94" s="196"/>
      <c r="Y94" s="196"/>
      <c r="Z94" s="196"/>
      <c r="AA94" s="196"/>
      <c r="AB94" s="196"/>
    </row>
    <row r="95" spans="1:28" s="197" customFormat="1">
      <c r="A95" s="189" t="s">
        <v>2258</v>
      </c>
      <c r="B95" s="189" t="s">
        <v>2258</v>
      </c>
      <c r="C95" s="190" t="s">
        <v>2259</v>
      </c>
      <c r="D95" s="190" t="s">
        <v>2259</v>
      </c>
      <c r="E95" s="190" t="s">
        <v>2259</v>
      </c>
      <c r="F95" s="192" t="s">
        <v>1795</v>
      </c>
      <c r="G95" s="190" t="s">
        <v>2260</v>
      </c>
      <c r="H95" s="190">
        <v>31</v>
      </c>
      <c r="I95" s="190">
        <v>0</v>
      </c>
      <c r="J95" s="192">
        <f t="shared" si="1"/>
        <v>32</v>
      </c>
      <c r="K95" s="190" t="s">
        <v>693</v>
      </c>
      <c r="L95" s="192" t="s">
        <v>712</v>
      </c>
      <c r="M95" s="193" t="s">
        <v>2194</v>
      </c>
      <c r="N95" s="196"/>
      <c r="O95" s="196"/>
      <c r="P95" s="196"/>
      <c r="Q95" s="196"/>
      <c r="R95" s="196"/>
      <c r="S95" s="196"/>
      <c r="T95" s="196"/>
      <c r="U95" s="196"/>
      <c r="V95" s="196"/>
      <c r="W95" s="196"/>
      <c r="X95" s="196"/>
      <c r="Y95" s="196"/>
      <c r="Z95" s="196"/>
      <c r="AA95" s="196"/>
      <c r="AB95" s="196"/>
    </row>
    <row r="96" spans="1:28" s="197" customFormat="1">
      <c r="A96" s="189" t="s">
        <v>2261</v>
      </c>
      <c r="B96" s="189" t="s">
        <v>2261</v>
      </c>
      <c r="C96" s="190" t="s">
        <v>2262</v>
      </c>
      <c r="D96" s="190" t="s">
        <v>2262</v>
      </c>
      <c r="E96" s="190" t="s">
        <v>2262</v>
      </c>
      <c r="F96" s="192" t="s">
        <v>1795</v>
      </c>
      <c r="G96" s="190" t="s">
        <v>2263</v>
      </c>
      <c r="H96" s="190">
        <v>31</v>
      </c>
      <c r="I96" s="190">
        <v>0</v>
      </c>
      <c r="J96" s="192">
        <f t="shared" si="1"/>
        <v>32</v>
      </c>
      <c r="K96" s="190" t="s">
        <v>693</v>
      </c>
      <c r="L96" s="192" t="s">
        <v>712</v>
      </c>
      <c r="M96" s="193" t="s">
        <v>2194</v>
      </c>
      <c r="N96" s="196"/>
      <c r="O96" s="196"/>
      <c r="P96" s="196"/>
      <c r="Q96" s="196"/>
      <c r="R96" s="196"/>
      <c r="S96" s="196"/>
      <c r="T96" s="196"/>
      <c r="U96" s="196"/>
      <c r="V96" s="196"/>
      <c r="W96" s="196"/>
      <c r="X96" s="196"/>
      <c r="Y96" s="196"/>
      <c r="Z96" s="196"/>
      <c r="AA96" s="196"/>
      <c r="AB96" s="196"/>
    </row>
    <row r="97" spans="1:28" s="197" customFormat="1">
      <c r="A97" s="189" t="s">
        <v>2264</v>
      </c>
      <c r="B97" s="189" t="s">
        <v>2264</v>
      </c>
      <c r="C97" s="190" t="s">
        <v>2265</v>
      </c>
      <c r="D97" s="190" t="s">
        <v>2265</v>
      </c>
      <c r="E97" s="190" t="s">
        <v>2265</v>
      </c>
      <c r="F97" s="192" t="s">
        <v>1795</v>
      </c>
      <c r="G97" s="190" t="s">
        <v>2266</v>
      </c>
      <c r="H97" s="190">
        <v>31</v>
      </c>
      <c r="I97" s="190">
        <v>0</v>
      </c>
      <c r="J97" s="192">
        <f t="shared" si="1"/>
        <v>32</v>
      </c>
      <c r="K97" s="190" t="s">
        <v>693</v>
      </c>
      <c r="L97" s="192" t="s">
        <v>712</v>
      </c>
      <c r="M97" s="193" t="s">
        <v>2194</v>
      </c>
      <c r="N97" s="196"/>
      <c r="O97" s="196"/>
      <c r="P97" s="196"/>
      <c r="Q97" s="196"/>
      <c r="R97" s="196"/>
      <c r="S97" s="196"/>
      <c r="T97" s="196"/>
      <c r="U97" s="196"/>
      <c r="V97" s="196"/>
      <c r="W97" s="196"/>
      <c r="X97" s="196"/>
      <c r="Y97" s="196"/>
      <c r="Z97" s="196"/>
      <c r="AA97" s="196"/>
      <c r="AB97" s="196"/>
    </row>
    <row r="98" spans="1:28" s="197" customFormat="1">
      <c r="A98" s="189" t="s">
        <v>2267</v>
      </c>
      <c r="B98" s="189" t="s">
        <v>2267</v>
      </c>
      <c r="C98" s="190" t="s">
        <v>2268</v>
      </c>
      <c r="D98" s="190" t="s">
        <v>2268</v>
      </c>
      <c r="E98" s="190" t="s">
        <v>2268</v>
      </c>
      <c r="F98" s="192" t="s">
        <v>1795</v>
      </c>
      <c r="G98" s="190" t="s">
        <v>2269</v>
      </c>
      <c r="H98" s="190">
        <v>31</v>
      </c>
      <c r="I98" s="190">
        <v>0</v>
      </c>
      <c r="J98" s="192">
        <f t="shared" si="1"/>
        <v>32</v>
      </c>
      <c r="K98" s="190" t="s">
        <v>693</v>
      </c>
      <c r="L98" s="192" t="s">
        <v>712</v>
      </c>
      <c r="M98" s="193" t="s">
        <v>2194</v>
      </c>
      <c r="N98" s="196"/>
      <c r="O98" s="196"/>
      <c r="P98" s="196"/>
      <c r="Q98" s="196"/>
      <c r="R98" s="196"/>
      <c r="S98" s="196"/>
      <c r="T98" s="196"/>
      <c r="U98" s="196"/>
      <c r="V98" s="196"/>
      <c r="W98" s="196"/>
      <c r="X98" s="196"/>
      <c r="Y98" s="196"/>
      <c r="Z98" s="196"/>
      <c r="AA98" s="196"/>
      <c r="AB98" s="196"/>
    </row>
    <row r="99" spans="1:28" s="197" customFormat="1">
      <c r="A99" s="189" t="s">
        <v>2270</v>
      </c>
      <c r="B99" s="189" t="s">
        <v>2270</v>
      </c>
      <c r="C99" s="190" t="s">
        <v>2271</v>
      </c>
      <c r="D99" s="190" t="s">
        <v>2271</v>
      </c>
      <c r="E99" s="190" t="s">
        <v>2271</v>
      </c>
      <c r="F99" s="192" t="s">
        <v>1795</v>
      </c>
      <c r="G99" s="190" t="s">
        <v>2272</v>
      </c>
      <c r="H99" s="190">
        <v>31</v>
      </c>
      <c r="I99" s="190">
        <v>0</v>
      </c>
      <c r="J99" s="192">
        <f t="shared" si="1"/>
        <v>32</v>
      </c>
      <c r="K99" s="190" t="s">
        <v>693</v>
      </c>
      <c r="L99" s="192" t="s">
        <v>712</v>
      </c>
      <c r="M99" s="193" t="s">
        <v>2194</v>
      </c>
      <c r="N99" s="196"/>
      <c r="O99" s="196"/>
      <c r="P99" s="196"/>
      <c r="Q99" s="196"/>
      <c r="R99" s="196"/>
      <c r="S99" s="196"/>
      <c r="T99" s="196"/>
      <c r="U99" s="196"/>
      <c r="V99" s="196"/>
      <c r="W99" s="196"/>
      <c r="X99" s="196"/>
      <c r="Y99" s="196"/>
      <c r="Z99" s="196"/>
      <c r="AA99" s="196"/>
      <c r="AB99" s="196"/>
    </row>
    <row r="100" spans="1:28" s="197" customFormat="1">
      <c r="A100" s="189" t="s">
        <v>2273</v>
      </c>
      <c r="B100" s="189" t="s">
        <v>2273</v>
      </c>
      <c r="C100" s="190" t="s">
        <v>2274</v>
      </c>
      <c r="D100" s="190" t="s">
        <v>2274</v>
      </c>
      <c r="E100" s="190" t="s">
        <v>2274</v>
      </c>
      <c r="F100" s="192" t="s">
        <v>1795</v>
      </c>
      <c r="G100" s="190" t="s">
        <v>2275</v>
      </c>
      <c r="H100" s="190">
        <v>31</v>
      </c>
      <c r="I100" s="190">
        <v>0</v>
      </c>
      <c r="J100" s="192">
        <f t="shared" si="1"/>
        <v>32</v>
      </c>
      <c r="K100" s="190" t="s">
        <v>693</v>
      </c>
      <c r="L100" s="192" t="s">
        <v>712</v>
      </c>
      <c r="M100" s="193" t="s">
        <v>2194</v>
      </c>
      <c r="N100" s="196"/>
      <c r="O100" s="196"/>
      <c r="P100" s="196"/>
      <c r="Q100" s="196"/>
      <c r="R100" s="196"/>
      <c r="S100" s="196"/>
      <c r="T100" s="196"/>
      <c r="U100" s="196"/>
      <c r="V100" s="196"/>
      <c r="W100" s="196"/>
      <c r="X100" s="196"/>
      <c r="Y100" s="196"/>
      <c r="Z100" s="196"/>
      <c r="AA100" s="196"/>
      <c r="AB100" s="196"/>
    </row>
    <row r="101" spans="1:28" s="197" customFormat="1">
      <c r="A101" s="189" t="s">
        <v>2276</v>
      </c>
      <c r="B101" s="189" t="s">
        <v>2276</v>
      </c>
      <c r="C101" s="190" t="s">
        <v>2277</v>
      </c>
      <c r="D101" s="190" t="s">
        <v>2277</v>
      </c>
      <c r="E101" s="190" t="s">
        <v>2277</v>
      </c>
      <c r="F101" s="192" t="s">
        <v>1795</v>
      </c>
      <c r="G101" s="190" t="s">
        <v>2278</v>
      </c>
      <c r="H101" s="190">
        <v>31</v>
      </c>
      <c r="I101" s="190">
        <v>0</v>
      </c>
      <c r="J101" s="192">
        <f t="shared" si="1"/>
        <v>32</v>
      </c>
      <c r="K101" s="190" t="s">
        <v>693</v>
      </c>
      <c r="L101" s="192" t="s">
        <v>712</v>
      </c>
      <c r="M101" s="193" t="s">
        <v>2194</v>
      </c>
      <c r="N101" s="196"/>
      <c r="O101" s="196"/>
      <c r="P101" s="196"/>
      <c r="Q101" s="196"/>
      <c r="R101" s="196"/>
      <c r="S101" s="196"/>
      <c r="T101" s="196"/>
      <c r="U101" s="196"/>
      <c r="V101" s="196"/>
      <c r="W101" s="196"/>
      <c r="X101" s="196"/>
      <c r="Y101" s="196"/>
      <c r="Z101" s="196"/>
      <c r="AA101" s="196"/>
      <c r="AB101" s="196"/>
    </row>
    <row r="102" spans="1:28" s="197" customFormat="1">
      <c r="A102" s="189" t="s">
        <v>2279</v>
      </c>
      <c r="B102" s="189" t="s">
        <v>2279</v>
      </c>
      <c r="C102" s="190" t="s">
        <v>2280</v>
      </c>
      <c r="D102" s="190" t="s">
        <v>2280</v>
      </c>
      <c r="E102" s="190" t="s">
        <v>2280</v>
      </c>
      <c r="F102" s="192" t="s">
        <v>1795</v>
      </c>
      <c r="G102" s="190" t="s">
        <v>2281</v>
      </c>
      <c r="H102" s="190">
        <v>31</v>
      </c>
      <c r="I102" s="190">
        <v>0</v>
      </c>
      <c r="J102" s="192">
        <f t="shared" si="1"/>
        <v>32</v>
      </c>
      <c r="K102" s="190" t="s">
        <v>693</v>
      </c>
      <c r="L102" s="192" t="s">
        <v>712</v>
      </c>
      <c r="M102" s="193" t="s">
        <v>2194</v>
      </c>
      <c r="N102" s="196"/>
      <c r="O102" s="196"/>
      <c r="P102" s="196"/>
      <c r="Q102" s="196"/>
      <c r="R102" s="196"/>
      <c r="S102" s="196"/>
      <c r="T102" s="196"/>
      <c r="U102" s="196"/>
      <c r="V102" s="196"/>
      <c r="W102" s="196"/>
      <c r="X102" s="196"/>
      <c r="Y102" s="196"/>
      <c r="Z102" s="196"/>
      <c r="AA102" s="196"/>
      <c r="AB102" s="196"/>
    </row>
    <row r="103" spans="1:28" s="197" customFormat="1">
      <c r="A103" s="189" t="s">
        <v>2282</v>
      </c>
      <c r="B103" s="189" t="s">
        <v>2282</v>
      </c>
      <c r="C103" s="190" t="s">
        <v>2283</v>
      </c>
      <c r="D103" s="190" t="s">
        <v>2283</v>
      </c>
      <c r="E103" s="190" t="s">
        <v>2283</v>
      </c>
      <c r="F103" s="192" t="s">
        <v>1795</v>
      </c>
      <c r="G103" s="190" t="s">
        <v>2284</v>
      </c>
      <c r="H103" s="190">
        <v>31</v>
      </c>
      <c r="I103" s="190">
        <v>0</v>
      </c>
      <c r="J103" s="192">
        <f t="shared" si="1"/>
        <v>32</v>
      </c>
      <c r="K103" s="190" t="s">
        <v>693</v>
      </c>
      <c r="L103" s="192" t="s">
        <v>712</v>
      </c>
      <c r="M103" s="193" t="s">
        <v>2194</v>
      </c>
      <c r="N103" s="196"/>
      <c r="O103" s="196"/>
      <c r="P103" s="196"/>
      <c r="Q103" s="196"/>
      <c r="R103" s="196"/>
      <c r="S103" s="196"/>
      <c r="T103" s="196"/>
      <c r="U103" s="196"/>
      <c r="V103" s="196"/>
      <c r="W103" s="196"/>
      <c r="X103" s="196"/>
      <c r="Y103" s="196"/>
      <c r="Z103" s="196"/>
      <c r="AA103" s="196"/>
      <c r="AB103" s="196"/>
    </row>
    <row r="104" spans="1:28" s="197" customFormat="1">
      <c r="A104" s="189" t="s">
        <v>2285</v>
      </c>
      <c r="B104" s="189" t="s">
        <v>2285</v>
      </c>
      <c r="C104" s="190" t="s">
        <v>2286</v>
      </c>
      <c r="D104" s="190" t="s">
        <v>2286</v>
      </c>
      <c r="E104" s="190" t="s">
        <v>2286</v>
      </c>
      <c r="F104" s="192" t="s">
        <v>1795</v>
      </c>
      <c r="G104" s="190" t="s">
        <v>2287</v>
      </c>
      <c r="H104" s="190">
        <v>31</v>
      </c>
      <c r="I104" s="190">
        <v>0</v>
      </c>
      <c r="J104" s="192">
        <f t="shared" si="1"/>
        <v>32</v>
      </c>
      <c r="K104" s="190" t="s">
        <v>693</v>
      </c>
      <c r="L104" s="192" t="s">
        <v>712</v>
      </c>
      <c r="M104" s="193" t="s">
        <v>2194</v>
      </c>
      <c r="N104" s="196"/>
      <c r="O104" s="196"/>
      <c r="P104" s="196"/>
      <c r="Q104" s="196"/>
      <c r="R104" s="196"/>
      <c r="S104" s="196"/>
      <c r="T104" s="196"/>
      <c r="U104" s="196"/>
      <c r="V104" s="196"/>
      <c r="W104" s="196"/>
      <c r="X104" s="196"/>
      <c r="Y104" s="196"/>
      <c r="Z104" s="196"/>
      <c r="AA104" s="196"/>
      <c r="AB104" s="196"/>
    </row>
    <row r="105" spans="1:28" s="198" customFormat="1">
      <c r="A105" s="237" t="s">
        <v>1845</v>
      </c>
      <c r="B105" s="237" t="s">
        <v>1845</v>
      </c>
      <c r="C105" s="237" t="s">
        <v>1846</v>
      </c>
      <c r="D105" s="237" t="s">
        <v>1847</v>
      </c>
      <c r="E105" s="237" t="s">
        <v>1847</v>
      </c>
      <c r="F105" s="235" t="s">
        <v>1848</v>
      </c>
      <c r="G105" s="174" t="s">
        <v>1849</v>
      </c>
      <c r="H105" s="174">
        <v>2</v>
      </c>
      <c r="I105" s="174">
        <v>0</v>
      </c>
      <c r="J105" s="176">
        <f t="shared" ref="J105:J119" si="2">H105-I105+1</f>
        <v>3</v>
      </c>
      <c r="K105" s="174" t="s">
        <v>693</v>
      </c>
      <c r="L105" s="176" t="s">
        <v>712</v>
      </c>
      <c r="M105" s="177" t="s">
        <v>1850</v>
      </c>
      <c r="N105" s="153"/>
      <c r="O105" s="153"/>
      <c r="P105" s="153"/>
      <c r="Q105" s="153"/>
      <c r="R105" s="153"/>
      <c r="S105" s="153"/>
      <c r="T105" s="153"/>
      <c r="U105" s="153"/>
      <c r="V105" s="153"/>
      <c r="W105" s="153"/>
      <c r="X105" s="153"/>
      <c r="Y105" s="153"/>
      <c r="Z105" s="153"/>
      <c r="AA105" s="153"/>
      <c r="AB105" s="153"/>
    </row>
    <row r="106" spans="1:28" s="198" customFormat="1">
      <c r="A106" s="239"/>
      <c r="B106" s="239"/>
      <c r="C106" s="239"/>
      <c r="D106" s="239"/>
      <c r="E106" s="239"/>
      <c r="F106" s="240"/>
      <c r="G106" s="174" t="s">
        <v>1851</v>
      </c>
      <c r="H106" s="174">
        <v>5</v>
      </c>
      <c r="I106" s="174">
        <v>3</v>
      </c>
      <c r="J106" s="176">
        <f t="shared" si="2"/>
        <v>3</v>
      </c>
      <c r="K106" s="174" t="s">
        <v>693</v>
      </c>
      <c r="L106" s="176" t="s">
        <v>712</v>
      </c>
      <c r="M106" s="177" t="s">
        <v>1852</v>
      </c>
      <c r="N106" s="153"/>
      <c r="O106" s="153"/>
      <c r="P106" s="153"/>
      <c r="Q106" s="153"/>
      <c r="R106" s="153"/>
      <c r="S106" s="153"/>
      <c r="T106" s="153"/>
      <c r="U106" s="153"/>
      <c r="V106" s="153"/>
      <c r="W106" s="153"/>
      <c r="X106" s="153"/>
      <c r="Y106" s="153"/>
      <c r="Z106" s="153"/>
      <c r="AA106" s="153"/>
      <c r="AB106" s="153"/>
    </row>
    <row r="107" spans="1:28" s="198" customFormat="1">
      <c r="A107" s="239"/>
      <c r="B107" s="239"/>
      <c r="C107" s="239"/>
      <c r="D107" s="239"/>
      <c r="E107" s="239"/>
      <c r="F107" s="240"/>
      <c r="G107" s="174" t="s">
        <v>1853</v>
      </c>
      <c r="H107" s="174">
        <v>8</v>
      </c>
      <c r="I107" s="174">
        <v>6</v>
      </c>
      <c r="J107" s="176">
        <f t="shared" si="2"/>
        <v>3</v>
      </c>
      <c r="K107" s="174" t="s">
        <v>693</v>
      </c>
      <c r="L107" s="176" t="s">
        <v>712</v>
      </c>
      <c r="M107" s="177" t="s">
        <v>1854</v>
      </c>
      <c r="N107" s="153"/>
      <c r="O107" s="153"/>
      <c r="P107" s="153"/>
      <c r="Q107" s="153"/>
      <c r="R107" s="153"/>
      <c r="S107" s="153"/>
      <c r="T107" s="153"/>
      <c r="U107" s="153"/>
      <c r="V107" s="153"/>
      <c r="W107" s="153"/>
      <c r="X107" s="153"/>
      <c r="Y107" s="153"/>
      <c r="Z107" s="153"/>
      <c r="AA107" s="153"/>
      <c r="AB107" s="153"/>
    </row>
    <row r="108" spans="1:28" s="198" customFormat="1">
      <c r="A108" s="239"/>
      <c r="B108" s="239"/>
      <c r="C108" s="239"/>
      <c r="D108" s="239"/>
      <c r="E108" s="239"/>
      <c r="F108" s="240"/>
      <c r="G108" s="174" t="s">
        <v>1855</v>
      </c>
      <c r="H108" s="174">
        <v>10</v>
      </c>
      <c r="I108" s="174">
        <v>9</v>
      </c>
      <c r="J108" s="176">
        <f t="shared" si="2"/>
        <v>2</v>
      </c>
      <c r="K108" s="174" t="s">
        <v>693</v>
      </c>
      <c r="L108" s="176" t="s">
        <v>712</v>
      </c>
      <c r="M108" s="177" t="s">
        <v>1856</v>
      </c>
      <c r="N108" s="153"/>
      <c r="O108" s="153"/>
      <c r="P108" s="153"/>
      <c r="Q108" s="153"/>
      <c r="R108" s="153"/>
      <c r="S108" s="153"/>
      <c r="T108" s="153"/>
      <c r="U108" s="153"/>
      <c r="V108" s="153"/>
      <c r="W108" s="153"/>
      <c r="X108" s="153"/>
      <c r="Y108" s="153"/>
      <c r="Z108" s="153"/>
      <c r="AA108" s="153"/>
      <c r="AB108" s="153"/>
    </row>
    <row r="109" spans="1:28" s="198" customFormat="1">
      <c r="A109" s="239"/>
      <c r="B109" s="239"/>
      <c r="C109" s="239"/>
      <c r="D109" s="239"/>
      <c r="E109" s="239"/>
      <c r="F109" s="240"/>
      <c r="G109" s="174" t="s">
        <v>1857</v>
      </c>
      <c r="H109" s="174">
        <v>12</v>
      </c>
      <c r="I109" s="174">
        <v>11</v>
      </c>
      <c r="J109" s="176">
        <f t="shared" si="2"/>
        <v>2</v>
      </c>
      <c r="K109" s="174" t="s">
        <v>693</v>
      </c>
      <c r="L109" s="176" t="s">
        <v>712</v>
      </c>
      <c r="M109" s="177" t="s">
        <v>1858</v>
      </c>
      <c r="N109" s="153"/>
      <c r="O109" s="153"/>
      <c r="P109" s="153"/>
      <c r="Q109" s="153"/>
      <c r="R109" s="153"/>
      <c r="S109" s="153"/>
      <c r="T109" s="153"/>
      <c r="U109" s="153"/>
      <c r="V109" s="153"/>
      <c r="W109" s="153"/>
      <c r="X109" s="153"/>
      <c r="Y109" s="153"/>
      <c r="Z109" s="153"/>
      <c r="AA109" s="153"/>
      <c r="AB109" s="153"/>
    </row>
    <row r="110" spans="1:28" s="198" customFormat="1">
      <c r="A110" s="238"/>
      <c r="B110" s="238"/>
      <c r="C110" s="238"/>
      <c r="D110" s="238"/>
      <c r="E110" s="238"/>
      <c r="F110" s="236"/>
      <c r="G110" s="174" t="s">
        <v>1859</v>
      </c>
      <c r="H110" s="174">
        <v>14</v>
      </c>
      <c r="I110" s="174">
        <v>13</v>
      </c>
      <c r="J110" s="176">
        <f t="shared" si="2"/>
        <v>2</v>
      </c>
      <c r="K110" s="174" t="s">
        <v>693</v>
      </c>
      <c r="L110" s="176" t="s">
        <v>712</v>
      </c>
      <c r="M110" s="177" t="s">
        <v>1860</v>
      </c>
      <c r="N110" s="153"/>
      <c r="O110" s="153"/>
      <c r="P110" s="153"/>
      <c r="Q110" s="153"/>
      <c r="R110" s="153"/>
      <c r="S110" s="153"/>
      <c r="T110" s="153"/>
      <c r="U110" s="153"/>
      <c r="V110" s="153"/>
      <c r="W110" s="153"/>
      <c r="X110" s="153"/>
      <c r="Y110" s="153"/>
      <c r="Z110" s="153"/>
      <c r="AA110" s="153"/>
      <c r="AB110" s="153"/>
    </row>
    <row r="111" spans="1:28" s="198" customFormat="1">
      <c r="A111" s="199" t="s">
        <v>1861</v>
      </c>
      <c r="B111" s="199" t="s">
        <v>1861</v>
      </c>
      <c r="C111" s="199" t="s">
        <v>1862</v>
      </c>
      <c r="D111" s="199" t="s">
        <v>1863</v>
      </c>
      <c r="E111" s="199" t="s">
        <v>1863</v>
      </c>
      <c r="F111" s="200" t="s">
        <v>1848</v>
      </c>
      <c r="G111" s="201" t="s">
        <v>1864</v>
      </c>
      <c r="H111" s="174">
        <v>31</v>
      </c>
      <c r="I111" s="174">
        <v>0</v>
      </c>
      <c r="J111" s="176">
        <f t="shared" si="2"/>
        <v>32</v>
      </c>
      <c r="K111" s="174" t="s">
        <v>1865</v>
      </c>
      <c r="L111" s="176" t="s">
        <v>1825</v>
      </c>
      <c r="M111" s="177" t="s">
        <v>1866</v>
      </c>
      <c r="N111" s="153"/>
      <c r="O111" s="153"/>
      <c r="P111" s="153"/>
      <c r="Q111" s="153"/>
      <c r="R111" s="153"/>
      <c r="S111" s="153"/>
      <c r="T111" s="153"/>
      <c r="U111" s="153"/>
      <c r="V111" s="153"/>
      <c r="W111" s="153"/>
      <c r="X111" s="153"/>
      <c r="Y111" s="153"/>
      <c r="Z111" s="153"/>
      <c r="AA111" s="153"/>
      <c r="AB111" s="153"/>
    </row>
    <row r="112" spans="1:28" s="198" customFormat="1">
      <c r="A112" s="237" t="s">
        <v>1867</v>
      </c>
      <c r="B112" s="237" t="s">
        <v>1867</v>
      </c>
      <c r="C112" s="237" t="s">
        <v>1868</v>
      </c>
      <c r="D112" s="237" t="s">
        <v>1869</v>
      </c>
      <c r="E112" s="237" t="s">
        <v>1869</v>
      </c>
      <c r="F112" s="235" t="s">
        <v>1848</v>
      </c>
      <c r="G112" s="174" t="s">
        <v>1870</v>
      </c>
      <c r="H112" s="174">
        <v>0</v>
      </c>
      <c r="I112" s="174">
        <v>0</v>
      </c>
      <c r="J112" s="176">
        <f t="shared" si="2"/>
        <v>1</v>
      </c>
      <c r="K112" s="174" t="s">
        <v>1865</v>
      </c>
      <c r="L112" s="176" t="s">
        <v>1871</v>
      </c>
      <c r="M112" s="174" t="s">
        <v>2319</v>
      </c>
      <c r="N112" s="153"/>
      <c r="O112" s="153"/>
      <c r="P112" s="153"/>
      <c r="Q112" s="153"/>
      <c r="R112" s="153"/>
      <c r="S112" s="153"/>
      <c r="T112" s="153"/>
      <c r="U112" s="153"/>
      <c r="V112" s="153"/>
      <c r="W112" s="153"/>
      <c r="X112" s="153"/>
      <c r="Y112" s="153"/>
      <c r="Z112" s="153"/>
      <c r="AA112" s="153"/>
      <c r="AB112" s="153"/>
    </row>
    <row r="113" spans="1:28" s="198" customFormat="1">
      <c r="A113" s="238"/>
      <c r="B113" s="238"/>
      <c r="C113" s="238"/>
      <c r="D113" s="238"/>
      <c r="E113" s="238"/>
      <c r="F113" s="236"/>
      <c r="G113" s="174" t="s">
        <v>1872</v>
      </c>
      <c r="H113" s="174">
        <v>8</v>
      </c>
      <c r="I113" s="174">
        <v>1</v>
      </c>
      <c r="J113" s="176">
        <f t="shared" si="2"/>
        <v>8</v>
      </c>
      <c r="K113" s="174" t="s">
        <v>1865</v>
      </c>
      <c r="L113" s="176" t="s">
        <v>1871</v>
      </c>
      <c r="M113" s="174" t="s">
        <v>2320</v>
      </c>
      <c r="N113" s="153"/>
      <c r="O113" s="153"/>
      <c r="P113" s="153"/>
      <c r="Q113" s="153"/>
      <c r="R113" s="153"/>
      <c r="S113" s="153"/>
      <c r="T113" s="153"/>
      <c r="U113" s="153"/>
      <c r="V113" s="153"/>
      <c r="W113" s="153"/>
      <c r="X113" s="153"/>
      <c r="Y113" s="153"/>
      <c r="Z113" s="153"/>
      <c r="AA113" s="153"/>
      <c r="AB113" s="153"/>
    </row>
    <row r="114" spans="1:28" s="198" customFormat="1">
      <c r="A114" s="199" t="s">
        <v>1873</v>
      </c>
      <c r="B114" s="199" t="s">
        <v>1873</v>
      </c>
      <c r="C114" s="199" t="s">
        <v>1874</v>
      </c>
      <c r="D114" s="199" t="s">
        <v>1875</v>
      </c>
      <c r="E114" s="199" t="s">
        <v>1875</v>
      </c>
      <c r="F114" s="200" t="s">
        <v>1848</v>
      </c>
      <c r="G114" s="201" t="s">
        <v>1876</v>
      </c>
      <c r="H114" s="174">
        <v>7</v>
      </c>
      <c r="I114" s="174">
        <v>0</v>
      </c>
      <c r="J114" s="176">
        <f t="shared" si="2"/>
        <v>8</v>
      </c>
      <c r="K114" s="174" t="s">
        <v>1865</v>
      </c>
      <c r="L114" s="176" t="s">
        <v>1871</v>
      </c>
      <c r="M114" s="177" t="s">
        <v>1875</v>
      </c>
      <c r="N114" s="153"/>
      <c r="O114" s="153"/>
      <c r="P114" s="153"/>
      <c r="Q114" s="153"/>
      <c r="R114" s="153"/>
      <c r="S114" s="153"/>
      <c r="T114" s="153"/>
      <c r="U114" s="153"/>
      <c r="V114" s="153"/>
      <c r="W114" s="153"/>
      <c r="X114" s="153"/>
      <c r="Y114" s="153"/>
      <c r="Z114" s="153"/>
      <c r="AA114" s="153"/>
      <c r="AB114" s="153"/>
    </row>
    <row r="115" spans="1:28" s="198" customFormat="1">
      <c r="A115" s="199" t="s">
        <v>1877</v>
      </c>
      <c r="B115" s="199" t="s">
        <v>1877</v>
      </c>
      <c r="C115" s="199" t="s">
        <v>1878</v>
      </c>
      <c r="D115" s="199" t="s">
        <v>1879</v>
      </c>
      <c r="E115" s="199" t="s">
        <v>1879</v>
      </c>
      <c r="F115" s="200" t="s">
        <v>1848</v>
      </c>
      <c r="G115" s="201" t="s">
        <v>1880</v>
      </c>
      <c r="H115" s="174">
        <v>31</v>
      </c>
      <c r="I115" s="174">
        <v>0</v>
      </c>
      <c r="J115" s="176">
        <f t="shared" si="2"/>
        <v>32</v>
      </c>
      <c r="K115" s="174" t="s">
        <v>1865</v>
      </c>
      <c r="L115" s="176" t="s">
        <v>1825</v>
      </c>
      <c r="M115" s="177" t="s">
        <v>1879</v>
      </c>
      <c r="N115" s="153"/>
      <c r="O115" s="153"/>
      <c r="P115" s="153"/>
      <c r="Q115" s="153"/>
      <c r="R115" s="153"/>
      <c r="S115" s="153"/>
      <c r="T115" s="153"/>
      <c r="U115" s="153"/>
      <c r="V115" s="153"/>
      <c r="W115" s="153"/>
      <c r="X115" s="153"/>
      <c r="Y115" s="153"/>
      <c r="Z115" s="153"/>
      <c r="AA115" s="153"/>
      <c r="AB115" s="153"/>
    </row>
    <row r="116" spans="1:28" s="198" customFormat="1">
      <c r="A116" s="199" t="s">
        <v>1881</v>
      </c>
      <c r="B116" s="199" t="s">
        <v>1881</v>
      </c>
      <c r="C116" s="199" t="s">
        <v>1882</v>
      </c>
      <c r="D116" s="199" t="s">
        <v>1883</v>
      </c>
      <c r="E116" s="199" t="s">
        <v>1883</v>
      </c>
      <c r="F116" s="200" t="s">
        <v>1848</v>
      </c>
      <c r="G116" s="201" t="s">
        <v>1884</v>
      </c>
      <c r="H116" s="174">
        <v>31</v>
      </c>
      <c r="I116" s="174">
        <v>0</v>
      </c>
      <c r="J116" s="176">
        <f t="shared" si="2"/>
        <v>32</v>
      </c>
      <c r="K116" s="174" t="s">
        <v>1865</v>
      </c>
      <c r="L116" s="176" t="s">
        <v>1825</v>
      </c>
      <c r="M116" s="177" t="s">
        <v>1883</v>
      </c>
      <c r="N116" s="153"/>
      <c r="O116" s="153"/>
      <c r="P116" s="153"/>
      <c r="Q116" s="153"/>
      <c r="R116" s="153"/>
      <c r="S116" s="153"/>
      <c r="T116" s="153"/>
      <c r="U116" s="153"/>
      <c r="V116" s="153"/>
      <c r="W116" s="153"/>
      <c r="X116" s="153"/>
      <c r="Y116" s="153"/>
      <c r="Z116" s="153"/>
      <c r="AA116" s="153"/>
      <c r="AB116" s="153"/>
    </row>
    <row r="117" spans="1:28" s="198" customFormat="1">
      <c r="A117" s="237" t="s">
        <v>1885</v>
      </c>
      <c r="B117" s="237" t="s">
        <v>1885</v>
      </c>
      <c r="C117" s="237" t="s">
        <v>1886</v>
      </c>
      <c r="D117" s="237" t="s">
        <v>1887</v>
      </c>
      <c r="E117" s="237" t="s">
        <v>1887</v>
      </c>
      <c r="F117" s="235" t="s">
        <v>1848</v>
      </c>
      <c r="G117" s="201" t="s">
        <v>1888</v>
      </c>
      <c r="H117" s="174">
        <v>0</v>
      </c>
      <c r="I117" s="174">
        <v>0</v>
      </c>
      <c r="J117" s="176">
        <f t="shared" si="2"/>
        <v>1</v>
      </c>
      <c r="K117" s="174" t="s">
        <v>1865</v>
      </c>
      <c r="L117" s="176" t="s">
        <v>1871</v>
      </c>
      <c r="M117" s="201" t="s">
        <v>1887</v>
      </c>
      <c r="N117" s="153"/>
      <c r="O117" s="153"/>
      <c r="P117" s="153"/>
      <c r="Q117" s="153"/>
      <c r="R117" s="153"/>
      <c r="S117" s="153"/>
      <c r="T117" s="153"/>
      <c r="U117" s="153"/>
      <c r="V117" s="153"/>
      <c r="W117" s="153"/>
      <c r="X117" s="153"/>
      <c r="Y117" s="153"/>
      <c r="Z117" s="153"/>
      <c r="AA117" s="153"/>
      <c r="AB117" s="153"/>
    </row>
    <row r="118" spans="1:28" s="198" customFormat="1">
      <c r="A118" s="238"/>
      <c r="B118" s="238"/>
      <c r="C118" s="238"/>
      <c r="D118" s="238"/>
      <c r="E118" s="238"/>
      <c r="F118" s="236"/>
      <c r="G118" s="201" t="s">
        <v>1889</v>
      </c>
      <c r="H118" s="174">
        <v>4</v>
      </c>
      <c r="I118" s="174">
        <v>1</v>
      </c>
      <c r="J118" s="176">
        <f t="shared" si="2"/>
        <v>4</v>
      </c>
      <c r="K118" s="174" t="s">
        <v>1865</v>
      </c>
      <c r="L118" s="176" t="s">
        <v>1871</v>
      </c>
      <c r="M118" s="201" t="s">
        <v>1890</v>
      </c>
      <c r="N118" s="153"/>
      <c r="O118" s="153"/>
      <c r="P118" s="153"/>
      <c r="Q118" s="153"/>
      <c r="R118" s="153"/>
      <c r="S118" s="153"/>
      <c r="T118" s="153"/>
      <c r="U118" s="153"/>
      <c r="V118" s="153"/>
      <c r="W118" s="153"/>
      <c r="X118" s="153"/>
      <c r="Y118" s="153"/>
      <c r="Z118" s="153"/>
      <c r="AA118" s="153"/>
      <c r="AB118" s="153"/>
    </row>
    <row r="119" spans="1:28" s="198" customFormat="1">
      <c r="A119" s="199" t="s">
        <v>1891</v>
      </c>
      <c r="B119" s="199" t="s">
        <v>1891</v>
      </c>
      <c r="C119" s="199" t="s">
        <v>1892</v>
      </c>
      <c r="D119" s="199" t="s">
        <v>1893</v>
      </c>
      <c r="E119" s="199" t="s">
        <v>1893</v>
      </c>
      <c r="F119" s="200" t="s">
        <v>1848</v>
      </c>
      <c r="G119" s="201" t="s">
        <v>1894</v>
      </c>
      <c r="H119" s="174">
        <v>0</v>
      </c>
      <c r="I119" s="174">
        <v>0</v>
      </c>
      <c r="J119" s="176">
        <f t="shared" si="2"/>
        <v>1</v>
      </c>
      <c r="K119" s="174" t="s">
        <v>1895</v>
      </c>
      <c r="L119" s="176" t="s">
        <v>1871</v>
      </c>
      <c r="M119" s="201" t="s">
        <v>1896</v>
      </c>
      <c r="N119" s="153"/>
      <c r="O119" s="153"/>
      <c r="P119" s="153"/>
      <c r="Q119" s="153"/>
      <c r="R119" s="153"/>
      <c r="S119" s="153"/>
      <c r="T119" s="153"/>
      <c r="U119" s="153"/>
      <c r="V119" s="153"/>
      <c r="W119" s="153"/>
      <c r="X119" s="153"/>
      <c r="Y119" s="153"/>
      <c r="Z119" s="153"/>
      <c r="AA119" s="153"/>
      <c r="AB119" s="153"/>
    </row>
    <row r="120" spans="1:28">
      <c r="A120" s="159" t="s">
        <v>1897</v>
      </c>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row>
  </sheetData>
  <mergeCells count="30">
    <mergeCell ref="F25:F28"/>
    <mergeCell ref="A25:A28"/>
    <mergeCell ref="B25:B28"/>
    <mergeCell ref="C25:C28"/>
    <mergeCell ref="D25:D28"/>
    <mergeCell ref="E25:E28"/>
    <mergeCell ref="F31:F32"/>
    <mergeCell ref="A105:A110"/>
    <mergeCell ref="B105:B110"/>
    <mergeCell ref="C105:C110"/>
    <mergeCell ref="D105:D110"/>
    <mergeCell ref="E105:E110"/>
    <mergeCell ref="F105:F110"/>
    <mergeCell ref="A31:A32"/>
    <mergeCell ref="B31:B32"/>
    <mergeCell ref="C31:C32"/>
    <mergeCell ref="D31:D32"/>
    <mergeCell ref="E31:E32"/>
    <mergeCell ref="F112:F113"/>
    <mergeCell ref="A117:A118"/>
    <mergeCell ref="B117:B118"/>
    <mergeCell ref="C117:C118"/>
    <mergeCell ref="D117:D118"/>
    <mergeCell ref="E117:E118"/>
    <mergeCell ref="F117:F118"/>
    <mergeCell ref="A112:A113"/>
    <mergeCell ref="B112:B113"/>
    <mergeCell ref="C112:C113"/>
    <mergeCell ref="D112:D113"/>
    <mergeCell ref="E112:E113"/>
  </mergeCells>
  <phoneticPr fontId="4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82"/>
  <sheetViews>
    <sheetView topLeftCell="E241" zoomScaleNormal="100" workbookViewId="0">
      <selection activeCell="G254" sqref="G254"/>
    </sheetView>
  </sheetViews>
  <sheetFormatPr defaultColWidth="7.5" defaultRowHeight="15"/>
  <cols>
    <col min="1" max="1" width="24.5" style="135" bestFit="1" customWidth="1"/>
    <col min="2" max="2" width="15.375" style="135" bestFit="1" customWidth="1"/>
    <col min="3" max="3" width="16.875" style="135" bestFit="1" customWidth="1"/>
    <col min="4" max="4" width="22" style="135" bestFit="1" customWidth="1"/>
    <col min="5" max="5" width="13" style="135" bestFit="1" customWidth="1"/>
    <col min="6" max="6" width="6" style="135" bestFit="1" customWidth="1"/>
    <col min="7" max="7" width="43.125" style="135" bestFit="1" customWidth="1"/>
    <col min="8" max="8" width="5" style="135" bestFit="1" customWidth="1"/>
    <col min="9" max="9" width="6" style="135" bestFit="1" customWidth="1"/>
    <col min="10" max="10" width="4" style="135" bestFit="1" customWidth="1"/>
    <col min="11" max="12" width="5" style="135" bestFit="1" customWidth="1"/>
    <col min="13" max="13" width="216.875" style="135" bestFit="1" customWidth="1"/>
    <col min="14" max="14" width="6" style="135" bestFit="1" customWidth="1"/>
    <col min="15" max="15" width="7.875" style="135" bestFit="1" customWidth="1"/>
    <col min="16" max="16" width="5.875" style="135" bestFit="1" customWidth="1"/>
    <col min="17" max="17" width="13" style="135" bestFit="1" customWidth="1"/>
    <col min="18" max="18" width="14.375" style="135" bestFit="1" customWidth="1"/>
    <col min="19" max="19" width="7.5" style="135" bestFit="1" customWidth="1"/>
    <col min="20" max="20" width="10.625" style="135" bestFit="1" customWidth="1"/>
    <col min="21" max="21" width="7.5" style="135" bestFit="1" customWidth="1"/>
    <col min="22" max="22" width="10" style="135" bestFit="1" customWidth="1"/>
    <col min="23" max="16384" width="7.5" style="135"/>
  </cols>
  <sheetData>
    <row r="1" spans="1:69" s="131" customFormat="1">
      <c r="A1" s="131" t="s">
        <v>660</v>
      </c>
      <c r="B1" s="132" t="s">
        <v>895</v>
      </c>
      <c r="C1" s="132"/>
      <c r="D1" s="132"/>
      <c r="E1" s="133"/>
      <c r="F1" s="133"/>
    </row>
    <row r="2" spans="1:69" s="131" customFormat="1">
      <c r="A2" s="131" t="s">
        <v>661</v>
      </c>
      <c r="B2" s="132" t="s">
        <v>896</v>
      </c>
      <c r="C2" s="132"/>
      <c r="D2" s="132"/>
      <c r="E2" s="133"/>
      <c r="F2" s="133"/>
    </row>
    <row r="3" spans="1:69" s="131" customFormat="1">
      <c r="A3" s="131" t="s">
        <v>662</v>
      </c>
      <c r="B3" s="132" t="s">
        <v>897</v>
      </c>
      <c r="C3" s="132"/>
      <c r="D3" s="132"/>
      <c r="E3" s="133"/>
      <c r="F3" s="133"/>
      <c r="I3" s="134"/>
      <c r="J3" s="134"/>
      <c r="K3" s="134"/>
      <c r="O3" s="134"/>
    </row>
    <row r="4" spans="1:69" s="131" customFormat="1">
      <c r="A4" s="131" t="s">
        <v>898</v>
      </c>
      <c r="B4" s="132">
        <v>40</v>
      </c>
      <c r="C4" s="132"/>
      <c r="D4" s="132"/>
      <c r="E4" s="133"/>
      <c r="F4" s="133"/>
      <c r="I4" s="134"/>
      <c r="J4" s="134"/>
      <c r="K4" s="134"/>
      <c r="O4" s="134"/>
    </row>
    <row r="5" spans="1:69" s="131" customFormat="1">
      <c r="A5" s="131" t="s">
        <v>663</v>
      </c>
      <c r="B5" s="132" t="s">
        <v>899</v>
      </c>
      <c r="C5" s="132"/>
      <c r="D5" s="132"/>
      <c r="E5" s="133"/>
      <c r="F5" s="133"/>
      <c r="I5" s="134"/>
      <c r="J5" s="134"/>
      <c r="K5" s="134"/>
      <c r="O5" s="134"/>
    </row>
    <row r="6" spans="1:69" s="131" customFormat="1">
      <c r="A6" s="131" t="s">
        <v>664</v>
      </c>
      <c r="B6" s="132" t="s">
        <v>696</v>
      </c>
      <c r="C6" s="132"/>
      <c r="D6" s="132"/>
      <c r="E6" s="133"/>
      <c r="F6" s="133"/>
      <c r="I6" s="134"/>
      <c r="J6" s="134"/>
      <c r="K6" s="134"/>
      <c r="O6" s="134"/>
    </row>
    <row r="7" spans="1:69" s="131" customFormat="1">
      <c r="A7" s="131" t="s">
        <v>665</v>
      </c>
      <c r="B7" s="132" t="s">
        <v>666</v>
      </c>
      <c r="C7" s="132"/>
      <c r="D7" s="132"/>
      <c r="E7" s="133"/>
      <c r="F7" s="133"/>
      <c r="I7" s="134"/>
      <c r="J7" s="134"/>
      <c r="K7" s="134"/>
      <c r="O7" s="134"/>
    </row>
    <row r="8" spans="1:69" s="131" customFormat="1">
      <c r="A8" s="131" t="s">
        <v>667</v>
      </c>
      <c r="B8" s="132" t="s">
        <v>900</v>
      </c>
      <c r="C8" s="132"/>
      <c r="D8" s="132"/>
      <c r="E8" s="133"/>
      <c r="F8" s="133"/>
      <c r="I8" s="134"/>
      <c r="J8" s="134"/>
      <c r="K8" s="134"/>
      <c r="O8" s="134"/>
    </row>
    <row r="9" spans="1:69" s="131" customFormat="1">
      <c r="A9" s="131" t="s">
        <v>901</v>
      </c>
      <c r="B9" s="132">
        <v>1</v>
      </c>
      <c r="C9" s="132"/>
      <c r="D9" s="132"/>
      <c r="E9" s="133"/>
      <c r="F9" s="133"/>
      <c r="I9" s="134"/>
      <c r="J9" s="134"/>
      <c r="K9" s="134"/>
      <c r="O9" s="134"/>
    </row>
    <row r="10" spans="1:69" s="131" customFormat="1">
      <c r="A10" s="131" t="s">
        <v>668</v>
      </c>
      <c r="B10" s="132" t="s">
        <v>902</v>
      </c>
      <c r="C10" s="132"/>
      <c r="D10" s="132"/>
      <c r="E10" s="132"/>
      <c r="F10" s="133"/>
    </row>
    <row r="11" spans="1:69">
      <c r="A11" s="135" t="s">
        <v>669</v>
      </c>
      <c r="C11" s="136"/>
      <c r="D11" s="136"/>
    </row>
    <row r="12" spans="1:69">
      <c r="A12" s="135" t="s">
        <v>670</v>
      </c>
    </row>
    <row r="13" spans="1:69" s="141" customFormat="1" ht="31.5">
      <c r="A13" s="137" t="s">
        <v>671</v>
      </c>
      <c r="B13" s="137" t="s">
        <v>672</v>
      </c>
      <c r="C13" s="137" t="s">
        <v>673</v>
      </c>
      <c r="D13" s="137" t="s">
        <v>674</v>
      </c>
      <c r="E13" s="137" t="s">
        <v>675</v>
      </c>
      <c r="F13" s="137" t="s">
        <v>676</v>
      </c>
      <c r="G13" s="137" t="s">
        <v>677</v>
      </c>
      <c r="H13" s="137" t="s">
        <v>678</v>
      </c>
      <c r="I13" s="137" t="s">
        <v>679</v>
      </c>
      <c r="J13" s="137" t="s">
        <v>680</v>
      </c>
      <c r="K13" s="137" t="s">
        <v>681</v>
      </c>
      <c r="L13" s="137" t="s">
        <v>682</v>
      </c>
      <c r="M13" s="137" t="s">
        <v>683</v>
      </c>
      <c r="N13" s="137" t="s">
        <v>684</v>
      </c>
      <c r="O13" s="137" t="s">
        <v>685</v>
      </c>
      <c r="P13" s="137" t="s">
        <v>686</v>
      </c>
      <c r="Q13" s="137" t="s">
        <v>687</v>
      </c>
      <c r="R13" s="137" t="s">
        <v>688</v>
      </c>
      <c r="S13" s="137" t="s">
        <v>689</v>
      </c>
      <c r="T13" s="138" t="s">
        <v>690</v>
      </c>
      <c r="U13" s="139" t="s">
        <v>691</v>
      </c>
      <c r="V13" s="140" t="s">
        <v>692</v>
      </c>
    </row>
    <row r="14" spans="1:69" s="141" customFormat="1" ht="28.5">
      <c r="A14" s="32" t="s">
        <v>693</v>
      </c>
      <c r="B14" s="32" t="s">
        <v>693</v>
      </c>
      <c r="C14" s="32" t="s">
        <v>694</v>
      </c>
      <c r="D14" s="32" t="s">
        <v>695</v>
      </c>
      <c r="E14" s="32"/>
      <c r="F14" s="32" t="s">
        <v>696</v>
      </c>
      <c r="G14" s="32" t="s">
        <v>813</v>
      </c>
      <c r="H14" s="32">
        <v>0</v>
      </c>
      <c r="I14" s="32">
        <v>0</v>
      </c>
      <c r="J14" s="32">
        <v>1</v>
      </c>
      <c r="K14" s="32" t="s">
        <v>693</v>
      </c>
      <c r="L14" s="32" t="s">
        <v>697</v>
      </c>
      <c r="M14" s="144" t="s">
        <v>244</v>
      </c>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row>
    <row r="15" spans="1:69" s="141" customFormat="1" ht="42">
      <c r="A15" s="32"/>
      <c r="B15" s="32"/>
      <c r="C15" s="32"/>
      <c r="D15" s="32"/>
      <c r="E15" s="32"/>
      <c r="F15" s="32" t="s">
        <v>696</v>
      </c>
      <c r="G15" s="32" t="s">
        <v>1276</v>
      </c>
      <c r="H15" s="32">
        <v>1</v>
      </c>
      <c r="I15" s="32">
        <v>1</v>
      </c>
      <c r="J15" s="32">
        <v>1</v>
      </c>
      <c r="K15" s="32" t="s">
        <v>693</v>
      </c>
      <c r="L15" s="32" t="s">
        <v>2441</v>
      </c>
      <c r="M15" s="144" t="s">
        <v>406</v>
      </c>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row>
    <row r="16" spans="1:69" s="141" customFormat="1" ht="42">
      <c r="A16" s="32"/>
      <c r="B16" s="32"/>
      <c r="C16" s="32"/>
      <c r="D16" s="32"/>
      <c r="E16" s="32"/>
      <c r="F16" s="32" t="s">
        <v>696</v>
      </c>
      <c r="G16" s="32" t="s">
        <v>1476</v>
      </c>
      <c r="H16" s="32">
        <v>2</v>
      </c>
      <c r="I16" s="32">
        <v>2</v>
      </c>
      <c r="J16" s="32">
        <v>1</v>
      </c>
      <c r="K16" s="32" t="s">
        <v>693</v>
      </c>
      <c r="L16" s="32" t="s">
        <v>697</v>
      </c>
      <c r="M16" s="144" t="s">
        <v>320</v>
      </c>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row>
    <row r="17" spans="1:69" s="141" customFormat="1" ht="28.5">
      <c r="A17" s="32"/>
      <c r="B17" s="32"/>
      <c r="C17" s="32"/>
      <c r="D17" s="32"/>
      <c r="E17" s="32"/>
      <c r="F17" s="32" t="s">
        <v>696</v>
      </c>
      <c r="G17" s="32" t="s">
        <v>1931</v>
      </c>
      <c r="H17" s="32">
        <v>3</v>
      </c>
      <c r="I17" s="32">
        <v>3</v>
      </c>
      <c r="J17" s="32">
        <v>1</v>
      </c>
      <c r="K17" s="32" t="s">
        <v>693</v>
      </c>
      <c r="L17" s="32" t="s">
        <v>698</v>
      </c>
      <c r="M17" s="144" t="s">
        <v>316</v>
      </c>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row>
    <row r="18" spans="1:69" ht="68.25">
      <c r="A18" s="32"/>
      <c r="B18" s="32"/>
      <c r="C18" s="32"/>
      <c r="D18" s="32"/>
      <c r="E18" s="32"/>
      <c r="F18" s="32" t="s">
        <v>696</v>
      </c>
      <c r="G18" s="143" t="s">
        <v>928</v>
      </c>
      <c r="H18" s="32">
        <v>6</v>
      </c>
      <c r="I18" s="32">
        <v>6</v>
      </c>
      <c r="J18" s="32">
        <v>1</v>
      </c>
      <c r="K18" s="32" t="s">
        <v>921</v>
      </c>
      <c r="L18" s="32" t="s">
        <v>929</v>
      </c>
      <c r="M18" s="144" t="s">
        <v>2343</v>
      </c>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row>
    <row r="19" spans="1:69" ht="54.75">
      <c r="A19" s="32"/>
      <c r="B19" s="32"/>
      <c r="C19" s="32"/>
      <c r="D19" s="32"/>
      <c r="E19" s="32"/>
      <c r="F19" s="32" t="s">
        <v>696</v>
      </c>
      <c r="G19" s="32" t="s">
        <v>324</v>
      </c>
      <c r="H19" s="32">
        <v>8</v>
      </c>
      <c r="I19" s="32">
        <v>8</v>
      </c>
      <c r="J19" s="32">
        <v>1</v>
      </c>
      <c r="K19" s="143" t="s">
        <v>1290</v>
      </c>
      <c r="L19" s="32" t="s">
        <v>929</v>
      </c>
      <c r="M19" s="144" t="s">
        <v>1155</v>
      </c>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row>
    <row r="20" spans="1:69">
      <c r="A20" s="32"/>
      <c r="B20" s="32"/>
      <c r="C20" s="32"/>
      <c r="D20" s="32"/>
      <c r="E20" s="32"/>
      <c r="F20" s="32" t="s">
        <v>696</v>
      </c>
      <c r="G20" s="143" t="s">
        <v>1702</v>
      </c>
      <c r="H20" s="32">
        <v>9</v>
      </c>
      <c r="I20" s="32">
        <v>9</v>
      </c>
      <c r="J20" s="32">
        <v>1</v>
      </c>
      <c r="K20" s="143" t="s">
        <v>1290</v>
      </c>
      <c r="L20" s="32" t="s">
        <v>929</v>
      </c>
      <c r="M20" s="144" t="s">
        <v>1932</v>
      </c>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row>
    <row r="21" spans="1:69" ht="27.75">
      <c r="A21" s="32"/>
      <c r="B21" s="32"/>
      <c r="C21" s="32"/>
      <c r="D21" s="32"/>
      <c r="E21" s="32"/>
      <c r="F21" s="32" t="s">
        <v>966</v>
      </c>
      <c r="G21" s="209" t="s">
        <v>2430</v>
      </c>
      <c r="H21" s="32">
        <v>11</v>
      </c>
      <c r="I21" s="32">
        <v>11</v>
      </c>
      <c r="J21" s="32">
        <v>1</v>
      </c>
      <c r="K21" s="32" t="s">
        <v>921</v>
      </c>
      <c r="L21" s="210" t="s">
        <v>968</v>
      </c>
      <c r="M21" s="144" t="s">
        <v>2431</v>
      </c>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row>
    <row r="22" spans="1:69" ht="54.75">
      <c r="A22" s="32"/>
      <c r="B22" s="32"/>
      <c r="C22" s="32"/>
      <c r="D22" s="32"/>
      <c r="E22" s="32"/>
      <c r="F22" s="32" t="s">
        <v>966</v>
      </c>
      <c r="G22" s="209" t="s">
        <v>2444</v>
      </c>
      <c r="H22" s="32">
        <v>13</v>
      </c>
      <c r="I22" s="32">
        <v>12</v>
      </c>
      <c r="J22" s="32">
        <v>2</v>
      </c>
      <c r="K22" s="32" t="s">
        <v>921</v>
      </c>
      <c r="L22" s="210" t="s">
        <v>929</v>
      </c>
      <c r="M22" s="144" t="s">
        <v>2445</v>
      </c>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row>
    <row r="23" spans="1:69">
      <c r="A23" s="32" t="s">
        <v>699</v>
      </c>
      <c r="B23" s="32" t="s">
        <v>699</v>
      </c>
      <c r="C23" s="32" t="s">
        <v>700</v>
      </c>
      <c r="D23" s="32" t="s">
        <v>701</v>
      </c>
      <c r="E23" s="32"/>
      <c r="F23" s="32" t="s">
        <v>696</v>
      </c>
      <c r="G23" s="32" t="s">
        <v>1933</v>
      </c>
      <c r="H23" s="32">
        <v>31</v>
      </c>
      <c r="I23" s="32">
        <v>0</v>
      </c>
      <c r="J23" s="32">
        <v>32</v>
      </c>
      <c r="K23" s="32" t="s">
        <v>921</v>
      </c>
      <c r="L23" s="32" t="s">
        <v>929</v>
      </c>
      <c r="M23" s="32" t="s">
        <v>645</v>
      </c>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row>
    <row r="24" spans="1:69">
      <c r="A24" s="32" t="s">
        <v>702</v>
      </c>
      <c r="B24" s="32" t="s">
        <v>702</v>
      </c>
      <c r="C24" s="32" t="s">
        <v>703</v>
      </c>
      <c r="D24" s="32" t="s">
        <v>704</v>
      </c>
      <c r="E24" s="32"/>
      <c r="F24" s="32" t="s">
        <v>696</v>
      </c>
      <c r="G24" s="143" t="s">
        <v>936</v>
      </c>
      <c r="H24" s="32">
        <v>15</v>
      </c>
      <c r="I24" s="32">
        <v>0</v>
      </c>
      <c r="J24" s="32">
        <v>16</v>
      </c>
      <c r="K24" s="32" t="s">
        <v>921</v>
      </c>
      <c r="L24" s="32" t="s">
        <v>929</v>
      </c>
      <c r="M24" s="143" t="s">
        <v>935</v>
      </c>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row>
    <row r="25" spans="1:69">
      <c r="A25" s="32" t="s">
        <v>705</v>
      </c>
      <c r="B25" s="32" t="s">
        <v>705</v>
      </c>
      <c r="C25" s="32" t="s">
        <v>706</v>
      </c>
      <c r="D25" s="32" t="s">
        <v>707</v>
      </c>
      <c r="E25" s="32"/>
      <c r="F25" s="32" t="s">
        <v>696</v>
      </c>
      <c r="G25" s="143" t="s">
        <v>1553</v>
      </c>
      <c r="H25" s="32">
        <v>7</v>
      </c>
      <c r="I25" s="32">
        <v>0</v>
      </c>
      <c r="J25" s="32">
        <v>8</v>
      </c>
      <c r="K25" s="32" t="s">
        <v>921</v>
      </c>
      <c r="L25" s="32" t="s">
        <v>929</v>
      </c>
      <c r="M25" s="143" t="s">
        <v>1554</v>
      </c>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row>
    <row r="26" spans="1:69">
      <c r="A26" s="32"/>
      <c r="B26" s="32"/>
      <c r="C26" s="32"/>
      <c r="D26" s="32"/>
      <c r="E26" s="32"/>
      <c r="F26" s="32" t="s">
        <v>696</v>
      </c>
      <c r="G26" s="143" t="s">
        <v>1555</v>
      </c>
      <c r="H26" s="32">
        <v>15</v>
      </c>
      <c r="I26" s="32">
        <v>8</v>
      </c>
      <c r="J26" s="32">
        <v>8</v>
      </c>
      <c r="K26" s="32" t="s">
        <v>921</v>
      </c>
      <c r="L26" s="32" t="s">
        <v>929</v>
      </c>
      <c r="M26" s="143" t="s">
        <v>1556</v>
      </c>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row>
    <row r="27" spans="1:69" ht="68.25">
      <c r="A27" s="32" t="s">
        <v>708</v>
      </c>
      <c r="B27" s="32" t="s">
        <v>708</v>
      </c>
      <c r="C27" s="32" t="s">
        <v>709</v>
      </c>
      <c r="D27" s="32" t="s">
        <v>710</v>
      </c>
      <c r="E27" s="150"/>
      <c r="F27" s="32" t="s">
        <v>696</v>
      </c>
      <c r="G27" s="143" t="s">
        <v>1125</v>
      </c>
      <c r="H27" s="32">
        <v>10</v>
      </c>
      <c r="I27" s="32">
        <v>9</v>
      </c>
      <c r="J27" s="32">
        <v>2</v>
      </c>
      <c r="K27" s="143" t="s">
        <v>1623</v>
      </c>
      <c r="L27" s="143" t="s">
        <v>972</v>
      </c>
      <c r="M27" s="144" t="s">
        <v>528</v>
      </c>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row>
    <row r="28" spans="1:69" ht="41.25">
      <c r="A28" s="32"/>
      <c r="B28" s="32"/>
      <c r="C28" s="32"/>
      <c r="D28" s="32"/>
      <c r="E28" s="32"/>
      <c r="F28" s="32" t="s">
        <v>696</v>
      </c>
      <c r="G28" s="32" t="s">
        <v>1595</v>
      </c>
      <c r="H28" s="32">
        <v>15</v>
      </c>
      <c r="I28" s="32">
        <v>15</v>
      </c>
      <c r="J28" s="32">
        <v>1</v>
      </c>
      <c r="K28" s="143" t="s">
        <v>1623</v>
      </c>
      <c r="L28" s="32" t="s">
        <v>698</v>
      </c>
      <c r="M28" s="144" t="s">
        <v>537</v>
      </c>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row>
    <row r="29" spans="1:69" s="142" customFormat="1" ht="14.25">
      <c r="A29" s="32"/>
      <c r="B29" s="32"/>
      <c r="C29" s="32"/>
      <c r="D29" s="32"/>
      <c r="E29" s="32"/>
      <c r="F29" s="32" t="s">
        <v>696</v>
      </c>
      <c r="G29" s="32" t="s">
        <v>904</v>
      </c>
      <c r="H29" s="32">
        <v>25</v>
      </c>
      <c r="I29" s="32">
        <v>23</v>
      </c>
      <c r="J29" s="32">
        <v>3</v>
      </c>
      <c r="K29" s="32" t="s">
        <v>905</v>
      </c>
      <c r="L29" s="32" t="s">
        <v>698</v>
      </c>
      <c r="M29" s="32" t="s">
        <v>906</v>
      </c>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row>
    <row r="30" spans="1:69">
      <c r="A30" s="143" t="s">
        <v>1762</v>
      </c>
      <c r="B30" s="143" t="s">
        <v>1762</v>
      </c>
      <c r="C30" s="143" t="s">
        <v>1763</v>
      </c>
      <c r="D30" s="143" t="s">
        <v>1764</v>
      </c>
      <c r="E30" s="32"/>
      <c r="F30" s="32" t="s">
        <v>696</v>
      </c>
      <c r="G30" s="143" t="s">
        <v>1767</v>
      </c>
      <c r="H30" s="32">
        <v>0</v>
      </c>
      <c r="I30" s="32">
        <v>0</v>
      </c>
      <c r="J30" s="32">
        <v>1</v>
      </c>
      <c r="K30" s="32" t="s">
        <v>693</v>
      </c>
      <c r="L30" s="143" t="s">
        <v>929</v>
      </c>
      <c r="M30" s="143" t="s">
        <v>1766</v>
      </c>
    </row>
    <row r="31" spans="1:69">
      <c r="A31" s="143"/>
      <c r="B31" s="143"/>
      <c r="C31" s="143"/>
      <c r="D31" s="143"/>
      <c r="E31" s="32"/>
      <c r="F31" s="32" t="s">
        <v>696</v>
      </c>
      <c r="G31" s="143" t="s">
        <v>1765</v>
      </c>
      <c r="H31" s="32">
        <v>1</v>
      </c>
      <c r="I31" s="32">
        <v>1</v>
      </c>
      <c r="J31" s="32">
        <v>1</v>
      </c>
      <c r="K31" s="32" t="s">
        <v>693</v>
      </c>
      <c r="L31" s="143" t="s">
        <v>929</v>
      </c>
      <c r="M31" s="143" t="s">
        <v>1768</v>
      </c>
    </row>
    <row r="32" spans="1:69">
      <c r="A32" s="143"/>
      <c r="B32" s="143"/>
      <c r="C32" s="143"/>
      <c r="D32" s="143"/>
      <c r="E32" s="32"/>
      <c r="F32" s="32" t="s">
        <v>696</v>
      </c>
      <c r="G32" s="143" t="s">
        <v>1769</v>
      </c>
      <c r="H32" s="32">
        <v>9</v>
      </c>
      <c r="I32" s="32">
        <v>2</v>
      </c>
      <c r="J32" s="32">
        <v>8</v>
      </c>
      <c r="K32" s="143" t="s">
        <v>1774</v>
      </c>
      <c r="L32" s="143" t="s">
        <v>929</v>
      </c>
      <c r="M32" s="143" t="s">
        <v>1771</v>
      </c>
    </row>
    <row r="33" spans="1:69">
      <c r="A33" s="32"/>
      <c r="B33" s="32"/>
      <c r="C33" s="32"/>
      <c r="D33" s="32"/>
      <c r="E33" s="32"/>
      <c r="F33" s="32" t="s">
        <v>696</v>
      </c>
      <c r="G33" s="143" t="s">
        <v>1770</v>
      </c>
      <c r="H33" s="32">
        <v>17</v>
      </c>
      <c r="I33" s="32">
        <v>10</v>
      </c>
      <c r="J33" s="32">
        <v>8</v>
      </c>
      <c r="K33" s="143" t="s">
        <v>1773</v>
      </c>
      <c r="L33" s="143" t="s">
        <v>929</v>
      </c>
      <c r="M33" s="143" t="s">
        <v>1772</v>
      </c>
    </row>
    <row r="34" spans="1:69" ht="81.75">
      <c r="A34" s="143" t="s">
        <v>1321</v>
      </c>
      <c r="B34" s="143" t="s">
        <v>1320</v>
      </c>
      <c r="C34" s="143" t="s">
        <v>1297</v>
      </c>
      <c r="D34" s="143" t="s">
        <v>1298</v>
      </c>
      <c r="E34" s="32"/>
      <c r="F34" s="32" t="s">
        <v>696</v>
      </c>
      <c r="G34" s="32" t="s">
        <v>815</v>
      </c>
      <c r="H34" s="32">
        <v>3</v>
      </c>
      <c r="I34" s="32">
        <v>0</v>
      </c>
      <c r="J34" s="32">
        <v>4</v>
      </c>
      <c r="K34" s="32" t="s">
        <v>693</v>
      </c>
      <c r="L34" s="32" t="s">
        <v>698</v>
      </c>
      <c r="M34" s="144" t="s">
        <v>2348</v>
      </c>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row>
    <row r="35" spans="1:69" ht="27.75">
      <c r="A35" s="143" t="s">
        <v>1322</v>
      </c>
      <c r="B35" s="143" t="s">
        <v>1322</v>
      </c>
      <c r="C35" s="143" t="s">
        <v>1300</v>
      </c>
      <c r="D35" s="143" t="s">
        <v>1299</v>
      </c>
      <c r="E35" s="32"/>
      <c r="F35" s="32" t="s">
        <v>696</v>
      </c>
      <c r="G35" s="32" t="s">
        <v>816</v>
      </c>
      <c r="H35" s="32">
        <v>6</v>
      </c>
      <c r="I35" s="32">
        <v>0</v>
      </c>
      <c r="J35" s="32">
        <v>7</v>
      </c>
      <c r="K35" s="32" t="s">
        <v>711</v>
      </c>
      <c r="L35" s="32" t="s">
        <v>712</v>
      </c>
      <c r="M35" s="144" t="s">
        <v>286</v>
      </c>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row>
    <row r="36" spans="1:69" ht="27.75">
      <c r="A36" s="32"/>
      <c r="B36" s="32"/>
      <c r="C36" s="32"/>
      <c r="D36" s="32"/>
      <c r="E36" s="32"/>
      <c r="F36" s="32" t="s">
        <v>696</v>
      </c>
      <c r="G36" s="32" t="s">
        <v>817</v>
      </c>
      <c r="H36" s="32">
        <v>13</v>
      </c>
      <c r="I36" s="32">
        <v>7</v>
      </c>
      <c r="J36" s="32">
        <v>7</v>
      </c>
      <c r="K36" s="32" t="s">
        <v>711</v>
      </c>
      <c r="L36" s="32" t="s">
        <v>712</v>
      </c>
      <c r="M36" s="144" t="s">
        <v>286</v>
      </c>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row>
    <row r="37" spans="1:69" ht="27.75">
      <c r="A37" s="32"/>
      <c r="B37" s="32"/>
      <c r="C37" s="32"/>
      <c r="D37" s="32"/>
      <c r="E37" s="32"/>
      <c r="F37" s="32" t="s">
        <v>696</v>
      </c>
      <c r="G37" s="32" t="s">
        <v>818</v>
      </c>
      <c r="H37" s="32">
        <v>20</v>
      </c>
      <c r="I37" s="32">
        <v>14</v>
      </c>
      <c r="J37" s="32">
        <v>7</v>
      </c>
      <c r="K37" s="32" t="s">
        <v>711</v>
      </c>
      <c r="L37" s="32" t="s">
        <v>712</v>
      </c>
      <c r="M37" s="144" t="s">
        <v>286</v>
      </c>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row>
    <row r="38" spans="1:69">
      <c r="A38" s="32"/>
      <c r="B38" s="32"/>
      <c r="C38" s="32"/>
      <c r="D38" s="32"/>
      <c r="E38" s="32"/>
      <c r="F38" s="32" t="s">
        <v>696</v>
      </c>
      <c r="G38" s="32" t="s">
        <v>819</v>
      </c>
      <c r="H38" s="32">
        <v>21</v>
      </c>
      <c r="I38" s="32">
        <v>21</v>
      </c>
      <c r="J38" s="32">
        <v>1</v>
      </c>
      <c r="K38" s="32" t="s">
        <v>693</v>
      </c>
      <c r="L38" s="32" t="s">
        <v>712</v>
      </c>
      <c r="M38" s="143" t="s">
        <v>630</v>
      </c>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row>
    <row r="39" spans="1:69" ht="41.25">
      <c r="A39" s="143" t="s">
        <v>1323</v>
      </c>
      <c r="B39" s="143" t="s">
        <v>1323</v>
      </c>
      <c r="C39" s="143" t="s">
        <v>1301</v>
      </c>
      <c r="D39" s="143" t="s">
        <v>1302</v>
      </c>
      <c r="E39" s="32"/>
      <c r="F39" s="32" t="s">
        <v>696</v>
      </c>
      <c r="G39" s="143" t="s">
        <v>1780</v>
      </c>
      <c r="H39" s="32">
        <v>31</v>
      </c>
      <c r="I39" s="32">
        <v>0</v>
      </c>
      <c r="J39" s="32">
        <v>32</v>
      </c>
      <c r="K39" s="32" t="s">
        <v>693</v>
      </c>
      <c r="L39" s="32" t="s">
        <v>698</v>
      </c>
      <c r="M39" s="144" t="s">
        <v>996</v>
      </c>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row>
    <row r="40" spans="1:69" ht="41.25">
      <c r="A40" s="143" t="s">
        <v>1325</v>
      </c>
      <c r="B40" s="143" t="s">
        <v>1325</v>
      </c>
      <c r="C40" s="143" t="s">
        <v>1206</v>
      </c>
      <c r="D40" s="143" t="s">
        <v>1303</v>
      </c>
      <c r="E40" s="32"/>
      <c r="F40" s="32" t="s">
        <v>696</v>
      </c>
      <c r="G40" s="32" t="s">
        <v>820</v>
      </c>
      <c r="H40" s="32">
        <v>0</v>
      </c>
      <c r="I40" s="32">
        <v>0</v>
      </c>
      <c r="J40" s="32">
        <v>1</v>
      </c>
      <c r="K40" s="32" t="s">
        <v>693</v>
      </c>
      <c r="L40" s="32" t="s">
        <v>698</v>
      </c>
      <c r="M40" s="144" t="s">
        <v>997</v>
      </c>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row>
    <row r="41" spans="1:69" ht="27.75">
      <c r="A41" s="143" t="s">
        <v>1324</v>
      </c>
      <c r="B41" s="32" t="s">
        <v>713</v>
      </c>
      <c r="C41" s="143" t="s">
        <v>1304</v>
      </c>
      <c r="D41" s="143" t="s">
        <v>1310</v>
      </c>
      <c r="E41" s="32"/>
      <c r="F41" s="32" t="s">
        <v>696</v>
      </c>
      <c r="G41" s="143" t="s">
        <v>1779</v>
      </c>
      <c r="H41" s="32">
        <v>31</v>
      </c>
      <c r="I41" s="32">
        <v>0</v>
      </c>
      <c r="J41" s="32">
        <v>32</v>
      </c>
      <c r="K41" s="32" t="s">
        <v>693</v>
      </c>
      <c r="L41" s="32" t="s">
        <v>698</v>
      </c>
      <c r="M41" s="144" t="s">
        <v>624</v>
      </c>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row>
    <row r="42" spans="1:69" ht="27.75">
      <c r="A42" s="32" t="s">
        <v>714</v>
      </c>
      <c r="B42" s="32" t="s">
        <v>714</v>
      </c>
      <c r="C42" s="143" t="s">
        <v>1305</v>
      </c>
      <c r="D42" s="143" t="s">
        <v>1311</v>
      </c>
      <c r="E42" s="32"/>
      <c r="F42" s="32" t="s">
        <v>696</v>
      </c>
      <c r="G42" s="32" t="s">
        <v>821</v>
      </c>
      <c r="H42" s="32">
        <v>0</v>
      </c>
      <c r="I42" s="32">
        <v>0</v>
      </c>
      <c r="J42" s="32">
        <v>1</v>
      </c>
      <c r="K42" s="32" t="s">
        <v>693</v>
      </c>
      <c r="L42" s="32" t="s">
        <v>698</v>
      </c>
      <c r="M42" s="144" t="s">
        <v>625</v>
      </c>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row>
    <row r="43" spans="1:69" ht="27.75">
      <c r="A43" s="32" t="s">
        <v>716</v>
      </c>
      <c r="B43" s="32" t="s">
        <v>716</v>
      </c>
      <c r="C43" s="143" t="s">
        <v>1306</v>
      </c>
      <c r="D43" s="143" t="s">
        <v>1312</v>
      </c>
      <c r="E43" s="32"/>
      <c r="F43" s="32" t="s">
        <v>696</v>
      </c>
      <c r="G43" s="32" t="s">
        <v>822</v>
      </c>
      <c r="H43" s="32">
        <v>31</v>
      </c>
      <c r="I43" s="32">
        <v>0</v>
      </c>
      <c r="J43" s="32">
        <v>32</v>
      </c>
      <c r="K43" s="32" t="s">
        <v>693</v>
      </c>
      <c r="L43" s="32" t="s">
        <v>698</v>
      </c>
      <c r="M43" s="144" t="s">
        <v>626</v>
      </c>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row>
    <row r="44" spans="1:69" ht="27.75">
      <c r="A44" s="32" t="s">
        <v>711</v>
      </c>
      <c r="B44" s="32" t="s">
        <v>711</v>
      </c>
      <c r="C44" s="143" t="s">
        <v>715</v>
      </c>
      <c r="D44" s="143" t="s">
        <v>1313</v>
      </c>
      <c r="E44" s="32"/>
      <c r="F44" s="32" t="s">
        <v>696</v>
      </c>
      <c r="G44" s="32" t="s">
        <v>823</v>
      </c>
      <c r="H44" s="32">
        <v>0</v>
      </c>
      <c r="I44" s="32">
        <v>0</v>
      </c>
      <c r="J44" s="32">
        <v>1</v>
      </c>
      <c r="K44" s="32" t="s">
        <v>693</v>
      </c>
      <c r="L44" s="32" t="s">
        <v>698</v>
      </c>
      <c r="M44" s="144" t="s">
        <v>627</v>
      </c>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row>
    <row r="45" spans="1:69">
      <c r="A45" s="32" t="s">
        <v>718</v>
      </c>
      <c r="B45" s="32" t="s">
        <v>718</v>
      </c>
      <c r="C45" s="143" t="s">
        <v>717</v>
      </c>
      <c r="D45" s="143" t="s">
        <v>1314</v>
      </c>
      <c r="E45" s="32"/>
      <c r="F45" s="32" t="s">
        <v>696</v>
      </c>
      <c r="G45" s="32" t="s">
        <v>824</v>
      </c>
      <c r="H45" s="32">
        <v>23</v>
      </c>
      <c r="I45" s="32">
        <v>0</v>
      </c>
      <c r="J45" s="32">
        <v>24</v>
      </c>
      <c r="K45" s="32" t="s">
        <v>693</v>
      </c>
      <c r="L45" s="32" t="s">
        <v>712</v>
      </c>
      <c r="M45" s="143" t="s">
        <v>326</v>
      </c>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row>
    <row r="46" spans="1:69">
      <c r="A46" s="32" t="s">
        <v>719</v>
      </c>
      <c r="B46" s="32" t="s">
        <v>719</v>
      </c>
      <c r="C46" s="143" t="s">
        <v>1307</v>
      </c>
      <c r="D46" s="143" t="s">
        <v>1315</v>
      </c>
      <c r="E46" s="32"/>
      <c r="F46" s="32" t="s">
        <v>696</v>
      </c>
      <c r="G46" s="32" t="s">
        <v>825</v>
      </c>
      <c r="H46" s="32">
        <v>23</v>
      </c>
      <c r="I46" s="32">
        <v>0</v>
      </c>
      <c r="J46" s="32">
        <v>24</v>
      </c>
      <c r="K46" s="32" t="s">
        <v>693</v>
      </c>
      <c r="L46" s="32" t="s">
        <v>712</v>
      </c>
      <c r="M46" s="32" t="s">
        <v>720</v>
      </c>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row>
    <row r="47" spans="1:69">
      <c r="A47" s="32" t="s">
        <v>721</v>
      </c>
      <c r="B47" s="32" t="s">
        <v>721</v>
      </c>
      <c r="C47" s="143" t="s">
        <v>1308</v>
      </c>
      <c r="D47" s="143" t="s">
        <v>1316</v>
      </c>
      <c r="E47" s="32"/>
      <c r="F47" s="32" t="s">
        <v>696</v>
      </c>
      <c r="G47" s="143" t="s">
        <v>1286</v>
      </c>
      <c r="H47" s="32">
        <v>23</v>
      </c>
      <c r="I47" s="32">
        <v>0</v>
      </c>
      <c r="J47" s="32">
        <v>24</v>
      </c>
      <c r="K47" s="32" t="s">
        <v>693</v>
      </c>
      <c r="L47" s="32" t="s">
        <v>712</v>
      </c>
      <c r="M47" s="143" t="s">
        <v>1288</v>
      </c>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row>
    <row r="48" spans="1:69">
      <c r="A48" s="32" t="s">
        <v>722</v>
      </c>
      <c r="B48" s="32" t="s">
        <v>722</v>
      </c>
      <c r="C48" s="143" t="s">
        <v>1309</v>
      </c>
      <c r="D48" s="143" t="s">
        <v>1317</v>
      </c>
      <c r="E48" s="32"/>
      <c r="F48" s="32" t="s">
        <v>696</v>
      </c>
      <c r="G48" s="143" t="s">
        <v>1287</v>
      </c>
      <c r="H48" s="32">
        <v>23</v>
      </c>
      <c r="I48" s="32">
        <v>0</v>
      </c>
      <c r="J48" s="32">
        <v>24</v>
      </c>
      <c r="K48" s="32" t="s">
        <v>693</v>
      </c>
      <c r="L48" s="32" t="s">
        <v>712</v>
      </c>
      <c r="M48" s="143" t="s">
        <v>1289</v>
      </c>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row>
    <row r="49" spans="1:69" ht="41.25">
      <c r="A49" s="32" t="s">
        <v>723</v>
      </c>
      <c r="B49" s="32" t="s">
        <v>723</v>
      </c>
      <c r="C49" s="143" t="s">
        <v>1645</v>
      </c>
      <c r="D49" s="143" t="s">
        <v>1318</v>
      </c>
      <c r="E49" s="32"/>
      <c r="F49" s="32" t="s">
        <v>696</v>
      </c>
      <c r="G49" s="143" t="s">
        <v>1634</v>
      </c>
      <c r="H49" s="32">
        <v>0</v>
      </c>
      <c r="I49" s="32">
        <v>0</v>
      </c>
      <c r="J49" s="32">
        <v>1</v>
      </c>
      <c r="K49" s="32" t="s">
        <v>693</v>
      </c>
      <c r="L49" s="143" t="s">
        <v>1635</v>
      </c>
      <c r="M49" s="144" t="s">
        <v>1636</v>
      </c>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row>
    <row r="50" spans="1:69" ht="41.25">
      <c r="A50" s="32"/>
      <c r="B50" s="32"/>
      <c r="C50" s="32"/>
      <c r="D50" s="32"/>
      <c r="E50" s="32"/>
      <c r="F50" s="32" t="s">
        <v>696</v>
      </c>
      <c r="G50" s="32" t="s">
        <v>724</v>
      </c>
      <c r="H50" s="32">
        <v>1</v>
      </c>
      <c r="I50" s="32">
        <v>1</v>
      </c>
      <c r="J50" s="32">
        <v>1</v>
      </c>
      <c r="K50" s="32" t="s">
        <v>693</v>
      </c>
      <c r="L50" s="32" t="s">
        <v>698</v>
      </c>
      <c r="M50" s="144" t="s">
        <v>639</v>
      </c>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row>
    <row r="51" spans="1:69" ht="41.25">
      <c r="A51" s="32"/>
      <c r="B51" s="32"/>
      <c r="C51" s="32"/>
      <c r="D51" s="32"/>
      <c r="E51" s="32"/>
      <c r="F51" s="32" t="s">
        <v>696</v>
      </c>
      <c r="G51" s="32" t="s">
        <v>725</v>
      </c>
      <c r="H51" s="32">
        <v>2</v>
      </c>
      <c r="I51" s="32">
        <v>2</v>
      </c>
      <c r="J51" s="32">
        <v>1</v>
      </c>
      <c r="K51" s="32" t="s">
        <v>693</v>
      </c>
      <c r="L51" s="32" t="s">
        <v>698</v>
      </c>
      <c r="M51" s="144" t="s">
        <v>309</v>
      </c>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row>
    <row r="52" spans="1:69" ht="41.25">
      <c r="A52" s="32"/>
      <c r="B52" s="32"/>
      <c r="C52" s="32"/>
      <c r="D52" s="32"/>
      <c r="E52" s="32"/>
      <c r="F52" s="32" t="s">
        <v>696</v>
      </c>
      <c r="G52" s="32" t="s">
        <v>726</v>
      </c>
      <c r="H52" s="32">
        <v>3</v>
      </c>
      <c r="I52" s="32">
        <v>3</v>
      </c>
      <c r="J52" s="32">
        <v>1</v>
      </c>
      <c r="K52" s="32" t="s">
        <v>693</v>
      </c>
      <c r="L52" s="32" t="s">
        <v>698</v>
      </c>
      <c r="M52" s="144" t="s">
        <v>452</v>
      </c>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row>
    <row r="53" spans="1:69" ht="41.25">
      <c r="A53" s="32"/>
      <c r="B53" s="32"/>
      <c r="C53" s="32"/>
      <c r="D53" s="32"/>
      <c r="E53" s="32"/>
      <c r="F53" s="32" t="s">
        <v>696</v>
      </c>
      <c r="G53" s="32" t="s">
        <v>727</v>
      </c>
      <c r="H53" s="32">
        <v>4</v>
      </c>
      <c r="I53" s="32">
        <v>4</v>
      </c>
      <c r="J53" s="32">
        <v>1</v>
      </c>
      <c r="K53" s="32" t="s">
        <v>693</v>
      </c>
      <c r="L53" s="32" t="s">
        <v>698</v>
      </c>
      <c r="M53" s="144" t="s">
        <v>453</v>
      </c>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row>
    <row r="54" spans="1:69" ht="41.25">
      <c r="A54" s="32"/>
      <c r="B54" s="32"/>
      <c r="C54" s="32"/>
      <c r="D54" s="32"/>
      <c r="E54" s="32"/>
      <c r="F54" s="32" t="s">
        <v>696</v>
      </c>
      <c r="G54" s="32" t="s">
        <v>728</v>
      </c>
      <c r="H54" s="32">
        <v>5</v>
      </c>
      <c r="I54" s="32">
        <v>5</v>
      </c>
      <c r="J54" s="32">
        <v>1</v>
      </c>
      <c r="K54" s="32" t="s">
        <v>693</v>
      </c>
      <c r="L54" s="32" t="s">
        <v>698</v>
      </c>
      <c r="M54" s="144" t="s">
        <v>454</v>
      </c>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row>
    <row r="55" spans="1:69" ht="41.25">
      <c r="A55" s="32"/>
      <c r="B55" s="32"/>
      <c r="C55" s="32"/>
      <c r="D55" s="32"/>
      <c r="E55" s="32"/>
      <c r="F55" s="32" t="s">
        <v>696</v>
      </c>
      <c r="G55" s="32" t="s">
        <v>729</v>
      </c>
      <c r="H55" s="32">
        <v>6</v>
      </c>
      <c r="I55" s="32">
        <v>6</v>
      </c>
      <c r="J55" s="32">
        <v>1</v>
      </c>
      <c r="K55" s="32" t="s">
        <v>693</v>
      </c>
      <c r="L55" s="32" t="s">
        <v>698</v>
      </c>
      <c r="M55" s="144" t="s">
        <v>503</v>
      </c>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row>
    <row r="56" spans="1:69" ht="41.25">
      <c r="A56" s="32"/>
      <c r="B56" s="32"/>
      <c r="C56" s="32"/>
      <c r="D56" s="32"/>
      <c r="E56" s="32"/>
      <c r="F56" s="32" t="s">
        <v>696</v>
      </c>
      <c r="G56" s="32" t="s">
        <v>731</v>
      </c>
      <c r="H56" s="32">
        <v>10</v>
      </c>
      <c r="I56" s="32">
        <v>10</v>
      </c>
      <c r="J56" s="32">
        <v>1</v>
      </c>
      <c r="K56" s="32" t="s">
        <v>693</v>
      </c>
      <c r="L56" s="32" t="s">
        <v>698</v>
      </c>
      <c r="M56" s="144" t="s">
        <v>284</v>
      </c>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row>
    <row r="57" spans="1:69" ht="41.25">
      <c r="A57" s="32"/>
      <c r="B57" s="32"/>
      <c r="C57" s="32"/>
      <c r="D57" s="32"/>
      <c r="E57" s="32"/>
      <c r="F57" s="32" t="s">
        <v>966</v>
      </c>
      <c r="G57" s="143" t="s">
        <v>1660</v>
      </c>
      <c r="H57" s="32">
        <v>21</v>
      </c>
      <c r="I57" s="32">
        <v>21</v>
      </c>
      <c r="J57" s="32">
        <v>1</v>
      </c>
      <c r="K57" s="32" t="s">
        <v>921</v>
      </c>
      <c r="L57" s="143" t="s">
        <v>929</v>
      </c>
      <c r="M57" s="144" t="s">
        <v>1663</v>
      </c>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row>
    <row r="58" spans="1:69" ht="41.25">
      <c r="A58" s="32"/>
      <c r="B58" s="32"/>
      <c r="C58" s="32"/>
      <c r="D58" s="32"/>
      <c r="E58" s="32"/>
      <c r="F58" s="32" t="s">
        <v>966</v>
      </c>
      <c r="G58" s="143" t="s">
        <v>1661</v>
      </c>
      <c r="H58" s="32">
        <v>22</v>
      </c>
      <c r="I58" s="32">
        <v>22</v>
      </c>
      <c r="J58" s="32">
        <v>1</v>
      </c>
      <c r="K58" s="32" t="s">
        <v>921</v>
      </c>
      <c r="L58" s="143" t="s">
        <v>929</v>
      </c>
      <c r="M58" s="144" t="s">
        <v>1662</v>
      </c>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row>
    <row r="59" spans="1:69" ht="41.25">
      <c r="A59" s="32"/>
      <c r="B59" s="32"/>
      <c r="C59" s="32"/>
      <c r="D59" s="32"/>
      <c r="E59" s="32"/>
      <c r="F59" s="32" t="s">
        <v>966</v>
      </c>
      <c r="G59" s="143" t="s">
        <v>1009</v>
      </c>
      <c r="H59" s="32">
        <v>23</v>
      </c>
      <c r="I59" s="32">
        <v>23</v>
      </c>
      <c r="J59" s="32">
        <v>1</v>
      </c>
      <c r="K59" s="32" t="s">
        <v>921</v>
      </c>
      <c r="L59" s="143" t="s">
        <v>929</v>
      </c>
      <c r="M59" s="144" t="s">
        <v>1010</v>
      </c>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row>
    <row r="60" spans="1:69" ht="41.25">
      <c r="A60" s="32"/>
      <c r="B60" s="32"/>
      <c r="C60" s="32"/>
      <c r="D60" s="32"/>
      <c r="E60" s="32"/>
      <c r="F60" s="32" t="s">
        <v>966</v>
      </c>
      <c r="G60" s="127" t="s">
        <v>1627</v>
      </c>
      <c r="H60" s="146">
        <v>30</v>
      </c>
      <c r="I60" s="146">
        <v>30</v>
      </c>
      <c r="J60" s="32">
        <v>1</v>
      </c>
      <c r="K60" s="150" t="s">
        <v>1616</v>
      </c>
      <c r="L60" s="143" t="s">
        <v>1282</v>
      </c>
      <c r="M60" s="144" t="s">
        <v>1643</v>
      </c>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row>
    <row r="61" spans="1:69" ht="41.25">
      <c r="A61" s="32"/>
      <c r="B61" s="32"/>
      <c r="C61" s="32"/>
      <c r="D61" s="32"/>
      <c r="E61" s="32"/>
      <c r="F61" s="32" t="s">
        <v>966</v>
      </c>
      <c r="G61" s="127" t="s">
        <v>1628</v>
      </c>
      <c r="H61" s="146">
        <v>31</v>
      </c>
      <c r="I61" s="146">
        <v>31</v>
      </c>
      <c r="J61" s="32">
        <v>1</v>
      </c>
      <c r="K61" s="150" t="s">
        <v>1616</v>
      </c>
      <c r="L61" s="143" t="s">
        <v>1282</v>
      </c>
      <c r="M61" s="144" t="s">
        <v>1644</v>
      </c>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row>
    <row r="62" spans="1:69" ht="41.25">
      <c r="A62" s="32" t="s">
        <v>742</v>
      </c>
      <c r="B62" s="32" t="s">
        <v>742</v>
      </c>
      <c r="C62" s="143" t="s">
        <v>1330</v>
      </c>
      <c r="D62" s="143" t="s">
        <v>1207</v>
      </c>
      <c r="E62" s="32"/>
      <c r="F62" s="32" t="s">
        <v>696</v>
      </c>
      <c r="G62" s="32" t="s">
        <v>826</v>
      </c>
      <c r="H62" s="32">
        <v>0</v>
      </c>
      <c r="I62" s="32">
        <v>0</v>
      </c>
      <c r="J62" s="32">
        <v>1</v>
      </c>
      <c r="K62" s="32" t="s">
        <v>693</v>
      </c>
      <c r="L62" s="32" t="s">
        <v>743</v>
      </c>
      <c r="M62" s="144" t="s">
        <v>500</v>
      </c>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row>
    <row r="63" spans="1:69" ht="41.25">
      <c r="A63" s="32"/>
      <c r="B63" s="32"/>
      <c r="C63" s="32"/>
      <c r="D63" s="32"/>
      <c r="E63" s="32"/>
      <c r="F63" s="32" t="s">
        <v>696</v>
      </c>
      <c r="G63" s="32" t="s">
        <v>827</v>
      </c>
      <c r="H63" s="32">
        <v>1</v>
      </c>
      <c r="I63" s="32">
        <v>1</v>
      </c>
      <c r="J63" s="32">
        <v>1</v>
      </c>
      <c r="K63" s="32" t="s">
        <v>693</v>
      </c>
      <c r="L63" s="32" t="s">
        <v>743</v>
      </c>
      <c r="M63" s="144" t="s">
        <v>500</v>
      </c>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row>
    <row r="64" spans="1:69" ht="41.25">
      <c r="A64" s="32"/>
      <c r="B64" s="32"/>
      <c r="C64" s="32"/>
      <c r="D64" s="32"/>
      <c r="E64" s="32"/>
      <c r="F64" s="32" t="s">
        <v>696</v>
      </c>
      <c r="G64" s="149" t="s">
        <v>1512</v>
      </c>
      <c r="H64" s="146">
        <v>2</v>
      </c>
      <c r="I64" s="146">
        <v>2</v>
      </c>
      <c r="J64" s="146">
        <v>1</v>
      </c>
      <c r="K64" s="146" t="s">
        <v>693</v>
      </c>
      <c r="L64" s="146" t="s">
        <v>743</v>
      </c>
      <c r="M64" s="147" t="s">
        <v>500</v>
      </c>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row>
    <row r="65" spans="1:69" ht="41.25">
      <c r="A65" s="32"/>
      <c r="B65" s="32"/>
      <c r="C65" s="32"/>
      <c r="D65" s="32"/>
      <c r="E65" s="32"/>
      <c r="F65" s="32" t="s">
        <v>696</v>
      </c>
      <c r="G65" s="32" t="s">
        <v>828</v>
      </c>
      <c r="H65" s="32">
        <v>3</v>
      </c>
      <c r="I65" s="32">
        <v>3</v>
      </c>
      <c r="J65" s="32">
        <v>1</v>
      </c>
      <c r="K65" s="32" t="s">
        <v>693</v>
      </c>
      <c r="L65" s="32" t="s">
        <v>743</v>
      </c>
      <c r="M65" s="144" t="s">
        <v>500</v>
      </c>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row>
    <row r="66" spans="1:69" ht="41.25">
      <c r="A66" s="32"/>
      <c r="B66" s="32"/>
      <c r="C66" s="32"/>
      <c r="D66" s="32"/>
      <c r="E66" s="32"/>
      <c r="F66" s="146" t="s">
        <v>696</v>
      </c>
      <c r="G66" s="146" t="s">
        <v>829</v>
      </c>
      <c r="H66" s="146">
        <v>4</v>
      </c>
      <c r="I66" s="146">
        <v>4</v>
      </c>
      <c r="J66" s="146">
        <v>1</v>
      </c>
      <c r="K66" s="146" t="s">
        <v>693</v>
      </c>
      <c r="L66" s="146" t="s">
        <v>743</v>
      </c>
      <c r="M66" s="147" t="s">
        <v>500</v>
      </c>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row>
    <row r="67" spans="1:69" ht="41.25">
      <c r="A67" s="32"/>
      <c r="B67" s="32"/>
      <c r="C67" s="32"/>
      <c r="D67" s="32"/>
      <c r="E67" s="32"/>
      <c r="F67" s="146" t="s">
        <v>696</v>
      </c>
      <c r="G67" s="146" t="s">
        <v>830</v>
      </c>
      <c r="H67" s="146">
        <v>5</v>
      </c>
      <c r="I67" s="146">
        <v>5</v>
      </c>
      <c r="J67" s="146">
        <v>1</v>
      </c>
      <c r="K67" s="146" t="s">
        <v>693</v>
      </c>
      <c r="L67" s="146" t="s">
        <v>743</v>
      </c>
      <c r="M67" s="147" t="s">
        <v>500</v>
      </c>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row>
    <row r="68" spans="1:69" ht="41.25">
      <c r="A68" s="32"/>
      <c r="B68" s="32"/>
      <c r="C68" s="32"/>
      <c r="D68" s="32"/>
      <c r="E68" s="32"/>
      <c r="F68" s="146" t="s">
        <v>696</v>
      </c>
      <c r="G68" s="146" t="s">
        <v>831</v>
      </c>
      <c r="H68" s="146">
        <v>6</v>
      </c>
      <c r="I68" s="146">
        <v>6</v>
      </c>
      <c r="J68" s="146">
        <v>1</v>
      </c>
      <c r="K68" s="146" t="s">
        <v>693</v>
      </c>
      <c r="L68" s="146" t="s">
        <v>743</v>
      </c>
      <c r="M68" s="147" t="s">
        <v>500</v>
      </c>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row>
    <row r="69" spans="1:69" ht="41.25">
      <c r="A69" s="32"/>
      <c r="B69" s="32"/>
      <c r="C69" s="32"/>
      <c r="D69" s="32"/>
      <c r="E69" s="32"/>
      <c r="F69" s="32" t="s">
        <v>696</v>
      </c>
      <c r="G69" s="32" t="s">
        <v>833</v>
      </c>
      <c r="H69" s="32">
        <v>10</v>
      </c>
      <c r="I69" s="146">
        <v>10</v>
      </c>
      <c r="J69" s="32">
        <v>1</v>
      </c>
      <c r="K69" s="32" t="s">
        <v>693</v>
      </c>
      <c r="L69" s="32" t="s">
        <v>743</v>
      </c>
      <c r="M69" s="144" t="s">
        <v>500</v>
      </c>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row>
    <row r="70" spans="1:69" ht="41.25">
      <c r="A70" s="32"/>
      <c r="B70" s="32"/>
      <c r="C70" s="32"/>
      <c r="D70" s="32"/>
      <c r="E70" s="32"/>
      <c r="F70" s="32" t="s">
        <v>966</v>
      </c>
      <c r="G70" s="149" t="s">
        <v>1647</v>
      </c>
      <c r="H70" s="146">
        <v>21</v>
      </c>
      <c r="I70" s="146">
        <v>21</v>
      </c>
      <c r="J70" s="146">
        <v>1</v>
      </c>
      <c r="K70" s="146" t="s">
        <v>921</v>
      </c>
      <c r="L70" s="146" t="s">
        <v>968</v>
      </c>
      <c r="M70" s="147" t="s">
        <v>500</v>
      </c>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row>
    <row r="71" spans="1:69" ht="41.25">
      <c r="A71" s="32"/>
      <c r="B71" s="32"/>
      <c r="C71" s="32"/>
      <c r="D71" s="32"/>
      <c r="E71" s="32"/>
      <c r="F71" s="32" t="s">
        <v>966</v>
      </c>
      <c r="G71" s="149" t="s">
        <v>1648</v>
      </c>
      <c r="H71" s="146">
        <v>22</v>
      </c>
      <c r="I71" s="146">
        <v>22</v>
      </c>
      <c r="J71" s="32">
        <v>1</v>
      </c>
      <c r="K71" s="32" t="s">
        <v>921</v>
      </c>
      <c r="L71" s="32" t="s">
        <v>968</v>
      </c>
      <c r="M71" s="144" t="s">
        <v>500</v>
      </c>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row>
    <row r="72" spans="1:69" ht="41.25">
      <c r="A72" s="32"/>
      <c r="B72" s="32"/>
      <c r="C72" s="32"/>
      <c r="D72" s="32"/>
      <c r="E72" s="32"/>
      <c r="F72" s="32" t="s">
        <v>966</v>
      </c>
      <c r="G72" s="210" t="s">
        <v>1008</v>
      </c>
      <c r="H72" s="146">
        <v>23</v>
      </c>
      <c r="I72" s="146">
        <v>23</v>
      </c>
      <c r="J72" s="32">
        <v>1</v>
      </c>
      <c r="K72" s="32" t="s">
        <v>921</v>
      </c>
      <c r="L72" s="32" t="s">
        <v>968</v>
      </c>
      <c r="M72" s="144" t="s">
        <v>500</v>
      </c>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row>
    <row r="73" spans="1:69" ht="41.25">
      <c r="A73" s="32"/>
      <c r="B73" s="32"/>
      <c r="C73" s="32"/>
      <c r="D73" s="32"/>
      <c r="E73" s="32"/>
      <c r="F73" s="32" t="s">
        <v>966</v>
      </c>
      <c r="G73" s="127" t="s">
        <v>1615</v>
      </c>
      <c r="H73" s="146">
        <v>30</v>
      </c>
      <c r="I73" s="146">
        <v>30</v>
      </c>
      <c r="J73" s="32">
        <v>1</v>
      </c>
      <c r="K73" s="150" t="s">
        <v>1616</v>
      </c>
      <c r="L73" s="150" t="s">
        <v>1478</v>
      </c>
      <c r="M73" s="144" t="s">
        <v>500</v>
      </c>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row>
    <row r="74" spans="1:69" ht="41.25">
      <c r="A74" s="32"/>
      <c r="B74" s="32"/>
      <c r="C74" s="32"/>
      <c r="D74" s="32"/>
      <c r="E74" s="32"/>
      <c r="F74" s="32" t="s">
        <v>966</v>
      </c>
      <c r="G74" s="127" t="s">
        <v>1617</v>
      </c>
      <c r="H74" s="146">
        <v>31</v>
      </c>
      <c r="I74" s="146">
        <v>31</v>
      </c>
      <c r="J74" s="32">
        <v>1</v>
      </c>
      <c r="K74" s="150" t="s">
        <v>1616</v>
      </c>
      <c r="L74" s="150" t="s">
        <v>1478</v>
      </c>
      <c r="M74" s="144" t="s">
        <v>500</v>
      </c>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row>
    <row r="75" spans="1:69">
      <c r="A75" s="32" t="s">
        <v>744</v>
      </c>
      <c r="B75" s="32" t="s">
        <v>744</v>
      </c>
      <c r="C75" s="143" t="s">
        <v>1331</v>
      </c>
      <c r="D75" s="143" t="s">
        <v>1332</v>
      </c>
      <c r="E75" s="32"/>
      <c r="F75" s="32" t="s">
        <v>696</v>
      </c>
      <c r="G75" s="143" t="s">
        <v>1748</v>
      </c>
      <c r="H75" s="32">
        <v>31</v>
      </c>
      <c r="I75" s="32">
        <v>0</v>
      </c>
      <c r="J75" s="32">
        <v>32</v>
      </c>
      <c r="K75" s="32" t="s">
        <v>693</v>
      </c>
      <c r="L75" s="32" t="s">
        <v>698</v>
      </c>
      <c r="M75" s="32" t="s">
        <v>745</v>
      </c>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row>
    <row r="76" spans="1:69">
      <c r="A76" s="32" t="s">
        <v>746</v>
      </c>
      <c r="B76" s="32" t="s">
        <v>746</v>
      </c>
      <c r="C76" s="143" t="s">
        <v>1333</v>
      </c>
      <c r="D76" s="143" t="s">
        <v>1334</v>
      </c>
      <c r="E76" s="32"/>
      <c r="F76" s="32" t="s">
        <v>696</v>
      </c>
      <c r="G76" s="32" t="s">
        <v>841</v>
      </c>
      <c r="H76" s="32">
        <v>31</v>
      </c>
      <c r="I76" s="32">
        <v>0</v>
      </c>
      <c r="J76" s="32">
        <v>32</v>
      </c>
      <c r="K76" s="32" t="s">
        <v>693</v>
      </c>
      <c r="L76" s="32" t="s">
        <v>698</v>
      </c>
      <c r="M76" s="32" t="s">
        <v>346</v>
      </c>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row>
    <row r="77" spans="1:69">
      <c r="A77" s="32" t="s">
        <v>748</v>
      </c>
      <c r="B77" s="32" t="s">
        <v>748</v>
      </c>
      <c r="C77" s="143" t="s">
        <v>1353</v>
      </c>
      <c r="D77" s="143" t="s">
        <v>1335</v>
      </c>
      <c r="E77" s="32"/>
      <c r="F77" s="32" t="s">
        <v>696</v>
      </c>
      <c r="G77" s="32" t="s">
        <v>842</v>
      </c>
      <c r="H77" s="32">
        <v>31</v>
      </c>
      <c r="I77" s="32">
        <v>0</v>
      </c>
      <c r="J77" s="32">
        <v>32</v>
      </c>
      <c r="K77" s="32" t="s">
        <v>693</v>
      </c>
      <c r="L77" s="32" t="s">
        <v>698</v>
      </c>
      <c r="M77" s="32" t="s">
        <v>347</v>
      </c>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row>
    <row r="78" spans="1:69">
      <c r="A78" s="32" t="s">
        <v>749</v>
      </c>
      <c r="B78" s="32" t="s">
        <v>749</v>
      </c>
      <c r="C78" s="143" t="s">
        <v>1354</v>
      </c>
      <c r="D78" s="143" t="s">
        <v>747</v>
      </c>
      <c r="E78" s="32"/>
      <c r="F78" s="32" t="s">
        <v>696</v>
      </c>
      <c r="G78" s="32" t="s">
        <v>843</v>
      </c>
      <c r="H78" s="32">
        <v>31</v>
      </c>
      <c r="I78" s="32">
        <v>0</v>
      </c>
      <c r="J78" s="32">
        <v>32</v>
      </c>
      <c r="K78" s="32" t="s">
        <v>693</v>
      </c>
      <c r="L78" s="32" t="s">
        <v>698</v>
      </c>
      <c r="M78" s="32" t="s">
        <v>348</v>
      </c>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row>
    <row r="79" spans="1:69">
      <c r="A79" s="32" t="s">
        <v>751</v>
      </c>
      <c r="B79" s="32" t="s">
        <v>751</v>
      </c>
      <c r="C79" s="143" t="s">
        <v>1355</v>
      </c>
      <c r="D79" s="143" t="s">
        <v>1336</v>
      </c>
      <c r="E79" s="32"/>
      <c r="F79" s="32" t="s">
        <v>696</v>
      </c>
      <c r="G79" s="32" t="s">
        <v>844</v>
      </c>
      <c r="H79" s="32">
        <v>31</v>
      </c>
      <c r="I79" s="32">
        <v>0</v>
      </c>
      <c r="J79" s="32">
        <v>32</v>
      </c>
      <c r="K79" s="32" t="s">
        <v>693</v>
      </c>
      <c r="L79" s="32" t="s">
        <v>698</v>
      </c>
      <c r="M79" s="32" t="s">
        <v>349</v>
      </c>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row>
    <row r="80" spans="1:69">
      <c r="A80" s="32" t="s">
        <v>752</v>
      </c>
      <c r="B80" s="32" t="s">
        <v>752</v>
      </c>
      <c r="C80" s="143" t="s">
        <v>1356</v>
      </c>
      <c r="D80" s="143" t="s">
        <v>750</v>
      </c>
      <c r="E80" s="32"/>
      <c r="F80" s="32" t="s">
        <v>696</v>
      </c>
      <c r="G80" s="32" t="s">
        <v>845</v>
      </c>
      <c r="H80" s="32">
        <v>31</v>
      </c>
      <c r="I80" s="32">
        <v>0</v>
      </c>
      <c r="J80" s="32">
        <v>32</v>
      </c>
      <c r="K80" s="32" t="s">
        <v>693</v>
      </c>
      <c r="L80" s="32" t="s">
        <v>698</v>
      </c>
      <c r="M80" s="32" t="s">
        <v>350</v>
      </c>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row>
    <row r="81" spans="1:69">
      <c r="A81" s="32" t="s">
        <v>754</v>
      </c>
      <c r="B81" s="32" t="s">
        <v>754</v>
      </c>
      <c r="C81" s="143" t="s">
        <v>1357</v>
      </c>
      <c r="D81" s="143" t="s">
        <v>1337</v>
      </c>
      <c r="E81" s="32"/>
      <c r="F81" s="32" t="s">
        <v>696</v>
      </c>
      <c r="G81" s="32" t="s">
        <v>846</v>
      </c>
      <c r="H81" s="32">
        <v>31</v>
      </c>
      <c r="I81" s="32">
        <v>0</v>
      </c>
      <c r="J81" s="32">
        <v>32</v>
      </c>
      <c r="K81" s="32" t="s">
        <v>693</v>
      </c>
      <c r="L81" s="32" t="s">
        <v>698</v>
      </c>
      <c r="M81" s="32" t="s">
        <v>351</v>
      </c>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row>
    <row r="82" spans="1:69">
      <c r="A82" s="32" t="s">
        <v>755</v>
      </c>
      <c r="B82" s="32" t="s">
        <v>755</v>
      </c>
      <c r="C82" s="143" t="s">
        <v>1358</v>
      </c>
      <c r="D82" s="143" t="s">
        <v>753</v>
      </c>
      <c r="E82" s="32"/>
      <c r="F82" s="32" t="s">
        <v>696</v>
      </c>
      <c r="G82" s="32" t="s">
        <v>847</v>
      </c>
      <c r="H82" s="32">
        <v>31</v>
      </c>
      <c r="I82" s="32">
        <v>0</v>
      </c>
      <c r="J82" s="32">
        <v>32</v>
      </c>
      <c r="K82" s="32" t="s">
        <v>693</v>
      </c>
      <c r="L82" s="32" t="s">
        <v>698</v>
      </c>
      <c r="M82" s="32" t="s">
        <v>352</v>
      </c>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row>
    <row r="83" spans="1:69">
      <c r="A83" s="32" t="s">
        <v>757</v>
      </c>
      <c r="B83" s="32" t="s">
        <v>757</v>
      </c>
      <c r="C83" s="143" t="s">
        <v>1359</v>
      </c>
      <c r="D83" s="143" t="s">
        <v>1338</v>
      </c>
      <c r="E83" s="32"/>
      <c r="F83" s="32" t="s">
        <v>696</v>
      </c>
      <c r="G83" s="32" t="s">
        <v>848</v>
      </c>
      <c r="H83" s="32">
        <v>31</v>
      </c>
      <c r="I83" s="32">
        <v>0</v>
      </c>
      <c r="J83" s="32">
        <v>32</v>
      </c>
      <c r="K83" s="32" t="s">
        <v>693</v>
      </c>
      <c r="L83" s="32" t="s">
        <v>698</v>
      </c>
      <c r="M83" s="32" t="s">
        <v>758</v>
      </c>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row>
    <row r="84" spans="1:69">
      <c r="A84" s="32" t="s">
        <v>759</v>
      </c>
      <c r="B84" s="32" t="s">
        <v>759</v>
      </c>
      <c r="C84" s="143" t="s">
        <v>1360</v>
      </c>
      <c r="D84" s="143" t="s">
        <v>756</v>
      </c>
      <c r="E84" s="32"/>
      <c r="F84" s="32" t="s">
        <v>696</v>
      </c>
      <c r="G84" s="32" t="s">
        <v>849</v>
      </c>
      <c r="H84" s="32">
        <v>31</v>
      </c>
      <c r="I84" s="32">
        <v>0</v>
      </c>
      <c r="J84" s="32">
        <v>32</v>
      </c>
      <c r="K84" s="32" t="s">
        <v>693</v>
      </c>
      <c r="L84" s="32" t="s">
        <v>698</v>
      </c>
      <c r="M84" s="32" t="s">
        <v>761</v>
      </c>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row>
    <row r="85" spans="1:69">
      <c r="A85" s="32" t="s">
        <v>762</v>
      </c>
      <c r="B85" s="32" t="s">
        <v>762</v>
      </c>
      <c r="C85" s="143" t="s">
        <v>1361</v>
      </c>
      <c r="D85" s="143" t="s">
        <v>1339</v>
      </c>
      <c r="E85" s="32"/>
      <c r="F85" s="32" t="s">
        <v>696</v>
      </c>
      <c r="G85" s="32" t="s">
        <v>850</v>
      </c>
      <c r="H85" s="32">
        <v>31</v>
      </c>
      <c r="I85" s="32">
        <v>0</v>
      </c>
      <c r="J85" s="32">
        <v>32</v>
      </c>
      <c r="K85" s="32" t="s">
        <v>693</v>
      </c>
      <c r="L85" s="32" t="s">
        <v>698</v>
      </c>
      <c r="M85" s="32" t="s">
        <v>763</v>
      </c>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row>
    <row r="86" spans="1:69">
      <c r="A86" s="32" t="s">
        <v>764</v>
      </c>
      <c r="B86" s="32" t="s">
        <v>764</v>
      </c>
      <c r="C86" s="143" t="s">
        <v>1362</v>
      </c>
      <c r="D86" s="143" t="s">
        <v>760</v>
      </c>
      <c r="E86" s="32"/>
      <c r="F86" s="32" t="s">
        <v>696</v>
      </c>
      <c r="G86" s="32" t="s">
        <v>851</v>
      </c>
      <c r="H86" s="32">
        <v>31</v>
      </c>
      <c r="I86" s="32">
        <v>0</v>
      </c>
      <c r="J86" s="32">
        <v>32</v>
      </c>
      <c r="K86" s="32" t="s">
        <v>693</v>
      </c>
      <c r="L86" s="32" t="s">
        <v>698</v>
      </c>
      <c r="M86" s="32" t="s">
        <v>766</v>
      </c>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row>
    <row r="87" spans="1:69">
      <c r="A87" s="32" t="s">
        <v>767</v>
      </c>
      <c r="B87" s="32" t="s">
        <v>767</v>
      </c>
      <c r="C87" s="143" t="s">
        <v>1363</v>
      </c>
      <c r="D87" s="143" t="s">
        <v>1340</v>
      </c>
      <c r="E87" s="32"/>
      <c r="F87" s="32" t="s">
        <v>696</v>
      </c>
      <c r="G87" s="32" t="s">
        <v>852</v>
      </c>
      <c r="H87" s="32">
        <v>31</v>
      </c>
      <c r="I87" s="32">
        <v>0</v>
      </c>
      <c r="J87" s="32">
        <v>32</v>
      </c>
      <c r="K87" s="32" t="s">
        <v>693</v>
      </c>
      <c r="L87" s="32" t="s">
        <v>698</v>
      </c>
      <c r="M87" s="32" t="s">
        <v>768</v>
      </c>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row>
    <row r="88" spans="1:69">
      <c r="A88" s="32" t="s">
        <v>769</v>
      </c>
      <c r="B88" s="32" t="s">
        <v>769</v>
      </c>
      <c r="C88" s="143" t="s">
        <v>1364</v>
      </c>
      <c r="D88" s="143" t="s">
        <v>765</v>
      </c>
      <c r="E88" s="32"/>
      <c r="F88" s="32" t="s">
        <v>696</v>
      </c>
      <c r="G88" s="143" t="s">
        <v>1747</v>
      </c>
      <c r="H88" s="32">
        <v>31</v>
      </c>
      <c r="I88" s="32">
        <v>0</v>
      </c>
      <c r="J88" s="32">
        <v>32</v>
      </c>
      <c r="K88" s="32" t="s">
        <v>693</v>
      </c>
      <c r="L88" s="32" t="s">
        <v>698</v>
      </c>
      <c r="M88" s="32" t="s">
        <v>601</v>
      </c>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row>
    <row r="89" spans="1:69">
      <c r="A89" s="32" t="s">
        <v>771</v>
      </c>
      <c r="B89" s="32" t="s">
        <v>771</v>
      </c>
      <c r="C89" s="143" t="s">
        <v>1365</v>
      </c>
      <c r="D89" s="143" t="s">
        <v>1341</v>
      </c>
      <c r="E89" s="32"/>
      <c r="F89" s="32" t="s">
        <v>696</v>
      </c>
      <c r="G89" s="32" t="s">
        <v>853</v>
      </c>
      <c r="H89" s="32">
        <v>31</v>
      </c>
      <c r="I89" s="32">
        <v>0</v>
      </c>
      <c r="J89" s="32">
        <v>32</v>
      </c>
      <c r="K89" s="32" t="s">
        <v>693</v>
      </c>
      <c r="L89" s="32" t="s">
        <v>698</v>
      </c>
      <c r="M89" s="32" t="s">
        <v>602</v>
      </c>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row>
    <row r="90" spans="1:69">
      <c r="A90" s="32" t="s">
        <v>772</v>
      </c>
      <c r="B90" s="32" t="s">
        <v>772</v>
      </c>
      <c r="C90" s="143" t="s">
        <v>1366</v>
      </c>
      <c r="D90" s="143" t="s">
        <v>770</v>
      </c>
      <c r="E90" s="32"/>
      <c r="F90" s="32" t="s">
        <v>696</v>
      </c>
      <c r="G90" s="32" t="s">
        <v>854</v>
      </c>
      <c r="H90" s="32">
        <v>31</v>
      </c>
      <c r="I90" s="32">
        <v>0</v>
      </c>
      <c r="J90" s="32">
        <v>32</v>
      </c>
      <c r="K90" s="32" t="s">
        <v>693</v>
      </c>
      <c r="L90" s="32" t="s">
        <v>698</v>
      </c>
      <c r="M90" s="32" t="s">
        <v>603</v>
      </c>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row>
    <row r="91" spans="1:69">
      <c r="A91" s="32" t="s">
        <v>774</v>
      </c>
      <c r="B91" s="32" t="s">
        <v>774</v>
      </c>
      <c r="C91" s="143" t="s">
        <v>1367</v>
      </c>
      <c r="D91" s="143" t="s">
        <v>1342</v>
      </c>
      <c r="E91" s="32"/>
      <c r="F91" s="32" t="s">
        <v>696</v>
      </c>
      <c r="G91" s="32" t="s">
        <v>855</v>
      </c>
      <c r="H91" s="32">
        <v>31</v>
      </c>
      <c r="I91" s="32">
        <v>0</v>
      </c>
      <c r="J91" s="32">
        <v>32</v>
      </c>
      <c r="K91" s="32" t="s">
        <v>693</v>
      </c>
      <c r="L91" s="32" t="s">
        <v>698</v>
      </c>
      <c r="M91" s="32" t="s">
        <v>604</v>
      </c>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row>
    <row r="92" spans="1:69">
      <c r="A92" s="32" t="s">
        <v>775</v>
      </c>
      <c r="B92" s="32" t="s">
        <v>775</v>
      </c>
      <c r="C92" s="143" t="s">
        <v>1368</v>
      </c>
      <c r="D92" s="143" t="s">
        <v>773</v>
      </c>
      <c r="E92" s="32"/>
      <c r="F92" s="32" t="s">
        <v>696</v>
      </c>
      <c r="G92" s="32" t="s">
        <v>856</v>
      </c>
      <c r="H92" s="32">
        <v>31</v>
      </c>
      <c r="I92" s="32">
        <v>0</v>
      </c>
      <c r="J92" s="32">
        <v>32</v>
      </c>
      <c r="K92" s="32" t="s">
        <v>693</v>
      </c>
      <c r="L92" s="32" t="s">
        <v>698</v>
      </c>
      <c r="M92" s="32" t="s">
        <v>605</v>
      </c>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row>
    <row r="93" spans="1:69">
      <c r="A93" s="32" t="s">
        <v>777</v>
      </c>
      <c r="B93" s="32" t="s">
        <v>777</v>
      </c>
      <c r="C93" s="143" t="s">
        <v>1369</v>
      </c>
      <c r="D93" s="143" t="s">
        <v>1343</v>
      </c>
      <c r="E93" s="32"/>
      <c r="F93" s="32" t="s">
        <v>696</v>
      </c>
      <c r="G93" s="32" t="s">
        <v>857</v>
      </c>
      <c r="H93" s="32">
        <v>31</v>
      </c>
      <c r="I93" s="32">
        <v>0</v>
      </c>
      <c r="J93" s="32">
        <v>32</v>
      </c>
      <c r="K93" s="32" t="s">
        <v>693</v>
      </c>
      <c r="L93" s="32" t="s">
        <v>698</v>
      </c>
      <c r="M93" s="32" t="s">
        <v>606</v>
      </c>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row>
    <row r="94" spans="1:69">
      <c r="A94" s="32" t="s">
        <v>778</v>
      </c>
      <c r="B94" s="32" t="s">
        <v>778</v>
      </c>
      <c r="C94" s="143" t="s">
        <v>1370</v>
      </c>
      <c r="D94" s="143" t="s">
        <v>776</v>
      </c>
      <c r="E94" s="32"/>
      <c r="F94" s="32" t="s">
        <v>696</v>
      </c>
      <c r="G94" s="32" t="s">
        <v>858</v>
      </c>
      <c r="H94" s="32">
        <v>31</v>
      </c>
      <c r="I94" s="32">
        <v>0</v>
      </c>
      <c r="J94" s="32">
        <v>32</v>
      </c>
      <c r="K94" s="32" t="s">
        <v>693</v>
      </c>
      <c r="L94" s="32" t="s">
        <v>698</v>
      </c>
      <c r="M94" s="32" t="s">
        <v>607</v>
      </c>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row>
    <row r="95" spans="1:69">
      <c r="A95" s="32" t="s">
        <v>780</v>
      </c>
      <c r="B95" s="32" t="s">
        <v>780</v>
      </c>
      <c r="C95" s="143" t="s">
        <v>1371</v>
      </c>
      <c r="D95" s="143" t="s">
        <v>1344</v>
      </c>
      <c r="E95" s="32"/>
      <c r="F95" s="32" t="s">
        <v>696</v>
      </c>
      <c r="G95" s="32" t="s">
        <v>859</v>
      </c>
      <c r="H95" s="32">
        <v>31</v>
      </c>
      <c r="I95" s="32">
        <v>0</v>
      </c>
      <c r="J95" s="32">
        <v>32</v>
      </c>
      <c r="K95" s="32" t="s">
        <v>693</v>
      </c>
      <c r="L95" s="32" t="s">
        <v>698</v>
      </c>
      <c r="M95" s="32" t="s">
        <v>608</v>
      </c>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row>
    <row r="96" spans="1:69">
      <c r="A96" s="32" t="s">
        <v>781</v>
      </c>
      <c r="B96" s="32" t="s">
        <v>781</v>
      </c>
      <c r="C96" s="143" t="s">
        <v>1372</v>
      </c>
      <c r="D96" s="143" t="s">
        <v>779</v>
      </c>
      <c r="E96" s="32"/>
      <c r="F96" s="32" t="s">
        <v>696</v>
      </c>
      <c r="G96" s="32" t="s">
        <v>860</v>
      </c>
      <c r="H96" s="32">
        <v>31</v>
      </c>
      <c r="I96" s="32">
        <v>0</v>
      </c>
      <c r="J96" s="32">
        <v>32</v>
      </c>
      <c r="K96" s="32" t="s">
        <v>693</v>
      </c>
      <c r="L96" s="32" t="s">
        <v>698</v>
      </c>
      <c r="M96" s="32" t="s">
        <v>609</v>
      </c>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row>
    <row r="97" spans="1:69">
      <c r="A97" s="32" t="s">
        <v>783</v>
      </c>
      <c r="B97" s="32" t="s">
        <v>783</v>
      </c>
      <c r="C97" s="143" t="s">
        <v>1373</v>
      </c>
      <c r="D97" s="143" t="s">
        <v>1345</v>
      </c>
      <c r="E97" s="32"/>
      <c r="F97" s="32" t="s">
        <v>696</v>
      </c>
      <c r="G97" s="32" t="s">
        <v>861</v>
      </c>
      <c r="H97" s="32">
        <v>31</v>
      </c>
      <c r="I97" s="32">
        <v>0</v>
      </c>
      <c r="J97" s="32">
        <v>32</v>
      </c>
      <c r="K97" s="32" t="s">
        <v>693</v>
      </c>
      <c r="L97" s="32" t="s">
        <v>698</v>
      </c>
      <c r="M97" s="32" t="s">
        <v>610</v>
      </c>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row>
    <row r="98" spans="1:69">
      <c r="A98" s="32" t="s">
        <v>784</v>
      </c>
      <c r="B98" s="32" t="s">
        <v>784</v>
      </c>
      <c r="C98" s="143" t="s">
        <v>1374</v>
      </c>
      <c r="D98" s="143" t="s">
        <v>782</v>
      </c>
      <c r="E98" s="32"/>
      <c r="F98" s="32" t="s">
        <v>696</v>
      </c>
      <c r="G98" s="32" t="s">
        <v>862</v>
      </c>
      <c r="H98" s="32">
        <v>31</v>
      </c>
      <c r="I98" s="32">
        <v>0</v>
      </c>
      <c r="J98" s="32">
        <v>32</v>
      </c>
      <c r="K98" s="32" t="s">
        <v>693</v>
      </c>
      <c r="L98" s="32" t="s">
        <v>698</v>
      </c>
      <c r="M98" s="32" t="s">
        <v>611</v>
      </c>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row>
    <row r="99" spans="1:69">
      <c r="A99" s="32" t="s">
        <v>786</v>
      </c>
      <c r="B99" s="32" t="s">
        <v>786</v>
      </c>
      <c r="C99" s="143" t="s">
        <v>1375</v>
      </c>
      <c r="D99" s="143" t="s">
        <v>1346</v>
      </c>
      <c r="E99" s="32"/>
      <c r="F99" s="32" t="s">
        <v>696</v>
      </c>
      <c r="G99" s="32" t="s">
        <v>863</v>
      </c>
      <c r="H99" s="32">
        <v>31</v>
      </c>
      <c r="I99" s="32">
        <v>0</v>
      </c>
      <c r="J99" s="32">
        <v>32</v>
      </c>
      <c r="K99" s="32" t="s">
        <v>693</v>
      </c>
      <c r="L99" s="32" t="s">
        <v>698</v>
      </c>
      <c r="M99" s="32" t="s">
        <v>612</v>
      </c>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row>
    <row r="100" spans="1:69">
      <c r="A100" s="32" t="s">
        <v>787</v>
      </c>
      <c r="B100" s="32" t="s">
        <v>787</v>
      </c>
      <c r="C100" s="143" t="s">
        <v>1376</v>
      </c>
      <c r="D100" s="143" t="s">
        <v>785</v>
      </c>
      <c r="E100" s="32"/>
      <c r="F100" s="32" t="s">
        <v>696</v>
      </c>
      <c r="G100" s="143" t="s">
        <v>2341</v>
      </c>
      <c r="H100" s="32">
        <v>31</v>
      </c>
      <c r="I100" s="32">
        <v>0</v>
      </c>
      <c r="J100" s="32">
        <v>32</v>
      </c>
      <c r="K100" s="32" t="s">
        <v>693</v>
      </c>
      <c r="L100" s="32" t="s">
        <v>698</v>
      </c>
      <c r="M100" s="32" t="s">
        <v>613</v>
      </c>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row>
    <row r="101" spans="1:69">
      <c r="A101" s="32" t="s">
        <v>789</v>
      </c>
      <c r="B101" s="32" t="s">
        <v>789</v>
      </c>
      <c r="C101" s="143" t="s">
        <v>1377</v>
      </c>
      <c r="D101" s="143" t="s">
        <v>1347</v>
      </c>
      <c r="E101" s="32"/>
      <c r="F101" s="32" t="s">
        <v>696</v>
      </c>
      <c r="G101" s="32" t="s">
        <v>864</v>
      </c>
      <c r="H101" s="32">
        <v>31</v>
      </c>
      <c r="I101" s="32">
        <v>0</v>
      </c>
      <c r="J101" s="32">
        <v>32</v>
      </c>
      <c r="K101" s="32" t="s">
        <v>693</v>
      </c>
      <c r="L101" s="32" t="s">
        <v>698</v>
      </c>
      <c r="M101" s="32" t="s">
        <v>614</v>
      </c>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row>
    <row r="102" spans="1:69">
      <c r="A102" s="32" t="s">
        <v>790</v>
      </c>
      <c r="B102" s="32" t="s">
        <v>790</v>
      </c>
      <c r="C102" s="143" t="s">
        <v>1378</v>
      </c>
      <c r="D102" s="143" t="s">
        <v>788</v>
      </c>
      <c r="E102" s="32"/>
      <c r="F102" s="32" t="s">
        <v>696</v>
      </c>
      <c r="G102" s="32" t="s">
        <v>865</v>
      </c>
      <c r="H102" s="32">
        <v>31</v>
      </c>
      <c r="I102" s="32">
        <v>0</v>
      </c>
      <c r="J102" s="32">
        <v>32</v>
      </c>
      <c r="K102" s="32" t="s">
        <v>693</v>
      </c>
      <c r="L102" s="32" t="s">
        <v>698</v>
      </c>
      <c r="M102" s="32" t="s">
        <v>615</v>
      </c>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row>
    <row r="103" spans="1:69">
      <c r="A103" s="32" t="s">
        <v>792</v>
      </c>
      <c r="B103" s="32" t="s">
        <v>792</v>
      </c>
      <c r="C103" s="143" t="s">
        <v>1379</v>
      </c>
      <c r="D103" s="143" t="s">
        <v>1348</v>
      </c>
      <c r="E103" s="32"/>
      <c r="F103" s="32" t="s">
        <v>696</v>
      </c>
      <c r="G103" s="32" t="s">
        <v>866</v>
      </c>
      <c r="H103" s="32">
        <v>31</v>
      </c>
      <c r="I103" s="32">
        <v>0</v>
      </c>
      <c r="J103" s="32">
        <v>32</v>
      </c>
      <c r="K103" s="32" t="s">
        <v>693</v>
      </c>
      <c r="L103" s="32" t="s">
        <v>698</v>
      </c>
      <c r="M103" s="32" t="s">
        <v>616</v>
      </c>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row>
    <row r="104" spans="1:69">
      <c r="A104" s="32" t="s">
        <v>793</v>
      </c>
      <c r="B104" s="32" t="s">
        <v>793</v>
      </c>
      <c r="C104" s="143" t="s">
        <v>1380</v>
      </c>
      <c r="D104" s="143" t="s">
        <v>791</v>
      </c>
      <c r="E104" s="32"/>
      <c r="F104" s="32" t="s">
        <v>696</v>
      </c>
      <c r="G104" s="32" t="s">
        <v>867</v>
      </c>
      <c r="H104" s="32">
        <v>31</v>
      </c>
      <c r="I104" s="32">
        <v>0</v>
      </c>
      <c r="J104" s="32">
        <v>32</v>
      </c>
      <c r="K104" s="32" t="s">
        <v>693</v>
      </c>
      <c r="L104" s="32" t="s">
        <v>698</v>
      </c>
      <c r="M104" s="32" t="s">
        <v>617</v>
      </c>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row>
    <row r="105" spans="1:69">
      <c r="A105" s="32" t="s">
        <v>794</v>
      </c>
      <c r="B105" s="32" t="s">
        <v>794</v>
      </c>
      <c r="C105" s="143" t="s">
        <v>1381</v>
      </c>
      <c r="D105" s="143" t="s">
        <v>1349</v>
      </c>
      <c r="E105" s="32"/>
      <c r="F105" s="32" t="s">
        <v>696</v>
      </c>
      <c r="G105" s="32" t="s">
        <v>868</v>
      </c>
      <c r="H105" s="32">
        <v>31</v>
      </c>
      <c r="I105" s="32">
        <v>0</v>
      </c>
      <c r="J105" s="32">
        <v>32</v>
      </c>
      <c r="K105" s="32" t="s">
        <v>693</v>
      </c>
      <c r="L105" s="32" t="s">
        <v>698</v>
      </c>
      <c r="M105" s="32" t="s">
        <v>618</v>
      </c>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row>
    <row r="106" spans="1:69">
      <c r="A106" s="32" t="s">
        <v>795</v>
      </c>
      <c r="B106" s="32" t="s">
        <v>795</v>
      </c>
      <c r="C106" s="143" t="s">
        <v>1382</v>
      </c>
      <c r="D106" s="143" t="s">
        <v>1350</v>
      </c>
      <c r="E106" s="32"/>
      <c r="F106" s="32" t="s">
        <v>696</v>
      </c>
      <c r="G106" s="32" t="s">
        <v>869</v>
      </c>
      <c r="H106" s="32">
        <v>31</v>
      </c>
      <c r="I106" s="32">
        <v>0</v>
      </c>
      <c r="J106" s="32">
        <v>32</v>
      </c>
      <c r="K106" s="32" t="s">
        <v>693</v>
      </c>
      <c r="L106" s="32" t="s">
        <v>698</v>
      </c>
      <c r="M106" s="32" t="s">
        <v>619</v>
      </c>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row>
    <row r="107" spans="1:69">
      <c r="A107" s="32" t="s">
        <v>796</v>
      </c>
      <c r="B107" s="32" t="s">
        <v>796</v>
      </c>
      <c r="C107" s="143" t="s">
        <v>1383</v>
      </c>
      <c r="D107" s="143" t="s">
        <v>1351</v>
      </c>
      <c r="E107" s="32"/>
      <c r="F107" s="32" t="s">
        <v>696</v>
      </c>
      <c r="G107" s="32" t="s">
        <v>870</v>
      </c>
      <c r="H107" s="32">
        <v>3</v>
      </c>
      <c r="I107" s="32">
        <v>0</v>
      </c>
      <c r="J107" s="32">
        <v>4</v>
      </c>
      <c r="K107" s="32" t="s">
        <v>693</v>
      </c>
      <c r="L107" s="32" t="s">
        <v>698</v>
      </c>
      <c r="M107" s="32" t="s">
        <v>797</v>
      </c>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row>
    <row r="108" spans="1:69">
      <c r="A108" s="32"/>
      <c r="B108" s="32"/>
      <c r="E108" s="32"/>
      <c r="F108" s="32" t="s">
        <v>696</v>
      </c>
      <c r="G108" s="32" t="s">
        <v>871</v>
      </c>
      <c r="H108" s="32">
        <v>7</v>
      </c>
      <c r="I108" s="32">
        <v>4</v>
      </c>
      <c r="J108" s="32">
        <v>4</v>
      </c>
      <c r="K108" s="32" t="s">
        <v>693</v>
      </c>
      <c r="L108" s="32" t="s">
        <v>698</v>
      </c>
      <c r="M108" s="32" t="s">
        <v>798</v>
      </c>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row>
    <row r="109" spans="1:69">
      <c r="A109" s="32" t="s">
        <v>799</v>
      </c>
      <c r="B109" s="32" t="s">
        <v>799</v>
      </c>
      <c r="C109" s="143" t="s">
        <v>1384</v>
      </c>
      <c r="D109" s="143" t="s">
        <v>1352</v>
      </c>
      <c r="E109" s="32"/>
      <c r="F109" s="32" t="s">
        <v>696</v>
      </c>
      <c r="G109" s="32" t="s">
        <v>872</v>
      </c>
      <c r="H109" s="32">
        <v>3</v>
      </c>
      <c r="I109" s="32">
        <v>0</v>
      </c>
      <c r="J109" s="32">
        <v>4</v>
      </c>
      <c r="K109" s="143" t="s">
        <v>1703</v>
      </c>
      <c r="L109" s="32" t="s">
        <v>698</v>
      </c>
      <c r="M109" s="32" t="s">
        <v>800</v>
      </c>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row>
    <row r="110" spans="1:69">
      <c r="A110" s="32"/>
      <c r="B110" s="32"/>
      <c r="C110" s="32"/>
      <c r="D110" s="32"/>
      <c r="E110" s="32"/>
      <c r="F110" s="32" t="s">
        <v>696</v>
      </c>
      <c r="G110" s="32" t="s">
        <v>873</v>
      </c>
      <c r="H110" s="32">
        <v>7</v>
      </c>
      <c r="I110" s="32">
        <v>4</v>
      </c>
      <c r="J110" s="32">
        <v>4</v>
      </c>
      <c r="K110" s="143" t="s">
        <v>1703</v>
      </c>
      <c r="L110" s="32" t="s">
        <v>698</v>
      </c>
      <c r="M110" s="32" t="s">
        <v>801</v>
      </c>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row>
    <row r="111" spans="1:69">
      <c r="A111" s="32"/>
      <c r="B111" s="32"/>
      <c r="C111" s="32"/>
      <c r="D111" s="32"/>
      <c r="E111" s="32"/>
      <c r="F111" s="32" t="s">
        <v>696</v>
      </c>
      <c r="G111" s="32" t="s">
        <v>909</v>
      </c>
      <c r="H111" s="32">
        <v>11</v>
      </c>
      <c r="I111" s="32">
        <v>8</v>
      </c>
      <c r="J111" s="32">
        <v>4</v>
      </c>
      <c r="K111" s="143" t="s">
        <v>1703</v>
      </c>
      <c r="L111" s="32" t="s">
        <v>698</v>
      </c>
      <c r="M111" s="32" t="s">
        <v>910</v>
      </c>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row>
    <row r="112" spans="1:69">
      <c r="A112" s="32"/>
      <c r="B112" s="32"/>
      <c r="C112" s="32"/>
      <c r="D112" s="32"/>
      <c r="E112" s="32"/>
      <c r="F112" s="32" t="s">
        <v>696</v>
      </c>
      <c r="G112" s="32" t="s">
        <v>911</v>
      </c>
      <c r="H112" s="32">
        <v>15</v>
      </c>
      <c r="I112" s="32">
        <v>12</v>
      </c>
      <c r="J112" s="32">
        <v>4</v>
      </c>
      <c r="K112" s="143" t="s">
        <v>1703</v>
      </c>
      <c r="L112" s="32" t="s">
        <v>698</v>
      </c>
      <c r="M112" s="32" t="s">
        <v>912</v>
      </c>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row>
    <row r="113" spans="1:69">
      <c r="A113" s="32"/>
      <c r="B113" s="32"/>
      <c r="C113" s="32"/>
      <c r="D113" s="32"/>
      <c r="E113" s="32"/>
      <c r="F113" s="32" t="s">
        <v>696</v>
      </c>
      <c r="G113" s="32" t="s">
        <v>913</v>
      </c>
      <c r="H113" s="32">
        <v>19</v>
      </c>
      <c r="I113" s="32">
        <v>16</v>
      </c>
      <c r="J113" s="32">
        <v>4</v>
      </c>
      <c r="K113" s="32" t="s">
        <v>693</v>
      </c>
      <c r="L113" s="32" t="s">
        <v>698</v>
      </c>
      <c r="M113" s="32" t="s">
        <v>914</v>
      </c>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row>
    <row r="114" spans="1:69">
      <c r="A114" s="32"/>
      <c r="B114" s="32"/>
      <c r="C114" s="32"/>
      <c r="D114" s="32"/>
      <c r="E114" s="32"/>
      <c r="F114" s="32" t="s">
        <v>696</v>
      </c>
      <c r="G114" s="32" t="s">
        <v>915</v>
      </c>
      <c r="H114" s="32">
        <v>23</v>
      </c>
      <c r="I114" s="32">
        <v>20</v>
      </c>
      <c r="J114" s="32">
        <v>4</v>
      </c>
      <c r="K114" s="32" t="s">
        <v>693</v>
      </c>
      <c r="L114" s="32" t="s">
        <v>698</v>
      </c>
      <c r="M114" s="32" t="s">
        <v>916</v>
      </c>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row>
    <row r="115" spans="1:69">
      <c r="A115" s="143"/>
      <c r="B115" s="143"/>
      <c r="C115" s="32"/>
      <c r="D115" s="32"/>
      <c r="E115" s="32"/>
      <c r="F115" s="32" t="s">
        <v>696</v>
      </c>
      <c r="G115" s="143" t="s">
        <v>954</v>
      </c>
      <c r="H115" s="32">
        <v>27</v>
      </c>
      <c r="I115" s="32">
        <v>24</v>
      </c>
      <c r="J115" s="32">
        <v>4</v>
      </c>
      <c r="K115" s="143" t="s">
        <v>1703</v>
      </c>
      <c r="L115" s="32" t="s">
        <v>698</v>
      </c>
      <c r="M115" s="143" t="s">
        <v>956</v>
      </c>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row>
    <row r="116" spans="1:69">
      <c r="A116" s="32"/>
      <c r="B116" s="32"/>
      <c r="C116" s="32"/>
      <c r="D116" s="32"/>
      <c r="E116" s="32"/>
      <c r="F116" s="32" t="s">
        <v>696</v>
      </c>
      <c r="G116" s="143" t="s">
        <v>955</v>
      </c>
      <c r="H116" s="32">
        <v>31</v>
      </c>
      <c r="I116" s="32">
        <v>28</v>
      </c>
      <c r="J116" s="32">
        <v>4</v>
      </c>
      <c r="K116" s="32" t="s">
        <v>693</v>
      </c>
      <c r="L116" s="32" t="s">
        <v>698</v>
      </c>
      <c r="M116" s="143" t="s">
        <v>957</v>
      </c>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row>
    <row r="117" spans="1:69">
      <c r="A117" s="143" t="s">
        <v>939</v>
      </c>
      <c r="B117" s="143" t="s">
        <v>939</v>
      </c>
      <c r="C117" s="143" t="s">
        <v>1385</v>
      </c>
      <c r="D117" s="143" t="s">
        <v>1386</v>
      </c>
      <c r="E117" s="32"/>
      <c r="F117" s="32" t="s">
        <v>696</v>
      </c>
      <c r="G117" s="32" t="s">
        <v>874</v>
      </c>
      <c r="H117" s="32">
        <v>0</v>
      </c>
      <c r="I117" s="32">
        <v>0</v>
      </c>
      <c r="J117" s="32">
        <v>1</v>
      </c>
      <c r="K117" s="32" t="s">
        <v>693</v>
      </c>
      <c r="L117" s="32" t="s">
        <v>698</v>
      </c>
      <c r="M117" s="32" t="s">
        <v>802</v>
      </c>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row>
    <row r="118" spans="1:69">
      <c r="A118" s="32"/>
      <c r="B118" s="32"/>
      <c r="C118" s="32"/>
      <c r="D118" s="32"/>
      <c r="E118" s="32"/>
      <c r="F118" s="32" t="s">
        <v>696</v>
      </c>
      <c r="G118" s="32" t="s">
        <v>875</v>
      </c>
      <c r="H118" s="32">
        <v>1</v>
      </c>
      <c r="I118" s="32">
        <v>1</v>
      </c>
      <c r="J118" s="32">
        <v>1</v>
      </c>
      <c r="K118" s="32" t="s">
        <v>693</v>
      </c>
      <c r="L118" s="32" t="s">
        <v>698</v>
      </c>
      <c r="M118" s="32" t="s">
        <v>803</v>
      </c>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row>
    <row r="119" spans="1:69">
      <c r="A119" s="32"/>
      <c r="B119" s="32"/>
      <c r="C119" s="32"/>
      <c r="D119" s="32"/>
      <c r="E119" s="32"/>
      <c r="F119" s="32" t="s">
        <v>696</v>
      </c>
      <c r="G119" s="32" t="s">
        <v>876</v>
      </c>
      <c r="H119" s="32">
        <v>2</v>
      </c>
      <c r="I119" s="32">
        <v>2</v>
      </c>
      <c r="J119" s="32">
        <v>1</v>
      </c>
      <c r="K119" s="32" t="s">
        <v>693</v>
      </c>
      <c r="L119" s="32" t="s">
        <v>698</v>
      </c>
      <c r="M119" s="143" t="s">
        <v>1704</v>
      </c>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row>
    <row r="120" spans="1:69">
      <c r="A120" s="32"/>
      <c r="B120" s="32"/>
      <c r="C120" s="32"/>
      <c r="D120" s="32"/>
      <c r="E120" s="32"/>
      <c r="F120" s="32" t="s">
        <v>696</v>
      </c>
      <c r="G120" s="32" t="s">
        <v>877</v>
      </c>
      <c r="H120" s="32">
        <v>3</v>
      </c>
      <c r="I120" s="32">
        <v>3</v>
      </c>
      <c r="J120" s="32">
        <v>1</v>
      </c>
      <c r="K120" s="32" t="s">
        <v>693</v>
      </c>
      <c r="L120" s="32" t="s">
        <v>698</v>
      </c>
      <c r="M120" s="32" t="s">
        <v>804</v>
      </c>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row>
    <row r="121" spans="1:69">
      <c r="A121" s="143" t="s">
        <v>940</v>
      </c>
      <c r="B121" s="143" t="s">
        <v>940</v>
      </c>
      <c r="C121" s="143" t="s">
        <v>1387</v>
      </c>
      <c r="D121" s="143" t="s">
        <v>1388</v>
      </c>
      <c r="E121" s="32"/>
      <c r="F121" s="32" t="s">
        <v>696</v>
      </c>
      <c r="G121" s="32" t="s">
        <v>878</v>
      </c>
      <c r="H121" s="32">
        <v>9</v>
      </c>
      <c r="I121" s="32">
        <v>0</v>
      </c>
      <c r="J121" s="32">
        <v>10</v>
      </c>
      <c r="K121" s="32" t="s">
        <v>693</v>
      </c>
      <c r="L121" s="32" t="s">
        <v>698</v>
      </c>
      <c r="M121" s="32" t="s">
        <v>805</v>
      </c>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row>
    <row r="122" spans="1:69">
      <c r="A122" s="32"/>
      <c r="B122" s="32"/>
      <c r="C122" s="32"/>
      <c r="D122" s="32"/>
      <c r="E122" s="32"/>
      <c r="F122" s="32" t="s">
        <v>696</v>
      </c>
      <c r="G122" s="32" t="s">
        <v>879</v>
      </c>
      <c r="H122" s="32">
        <v>19</v>
      </c>
      <c r="I122" s="32">
        <v>10</v>
      </c>
      <c r="J122" s="32">
        <v>10</v>
      </c>
      <c r="K122" s="32" t="s">
        <v>693</v>
      </c>
      <c r="L122" s="32" t="s">
        <v>698</v>
      </c>
      <c r="M122" s="32" t="s">
        <v>806</v>
      </c>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row>
    <row r="123" spans="1:69">
      <c r="A123" s="143" t="s">
        <v>941</v>
      </c>
      <c r="B123" s="143" t="s">
        <v>941</v>
      </c>
      <c r="C123" s="143" t="s">
        <v>1390</v>
      </c>
      <c r="D123" s="143" t="s">
        <v>1389</v>
      </c>
      <c r="E123" s="32"/>
      <c r="F123" s="32" t="s">
        <v>696</v>
      </c>
      <c r="G123" s="32" t="s">
        <v>880</v>
      </c>
      <c r="H123" s="32">
        <v>9</v>
      </c>
      <c r="I123" s="32">
        <v>0</v>
      </c>
      <c r="J123" s="32">
        <v>10</v>
      </c>
      <c r="K123" s="32" t="s">
        <v>693</v>
      </c>
      <c r="L123" s="32" t="s">
        <v>698</v>
      </c>
      <c r="M123" s="32" t="s">
        <v>805</v>
      </c>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row>
    <row r="124" spans="1:69">
      <c r="A124" s="32"/>
      <c r="B124" s="32"/>
      <c r="C124" s="32"/>
      <c r="D124" s="32"/>
      <c r="E124" s="32"/>
      <c r="F124" s="32" t="s">
        <v>696</v>
      </c>
      <c r="G124" s="32" t="s">
        <v>881</v>
      </c>
      <c r="H124" s="32">
        <v>19</v>
      </c>
      <c r="I124" s="32">
        <v>10</v>
      </c>
      <c r="J124" s="32">
        <v>10</v>
      </c>
      <c r="K124" s="32" t="s">
        <v>693</v>
      </c>
      <c r="L124" s="32" t="s">
        <v>698</v>
      </c>
      <c r="M124" s="32" t="s">
        <v>806</v>
      </c>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row>
    <row r="125" spans="1:69">
      <c r="A125" s="143" t="s">
        <v>942</v>
      </c>
      <c r="B125" s="143" t="s">
        <v>942</v>
      </c>
      <c r="C125" s="143" t="s">
        <v>1391</v>
      </c>
      <c r="D125" s="143" t="s">
        <v>1392</v>
      </c>
      <c r="E125" s="32"/>
      <c r="F125" s="32" t="s">
        <v>696</v>
      </c>
      <c r="G125" s="32" t="s">
        <v>882</v>
      </c>
      <c r="H125" s="32">
        <v>0</v>
      </c>
      <c r="I125" s="32">
        <v>0</v>
      </c>
      <c r="J125" s="32">
        <v>1</v>
      </c>
      <c r="K125" s="32" t="s">
        <v>693</v>
      </c>
      <c r="L125" s="32" t="s">
        <v>698</v>
      </c>
      <c r="M125" s="32" t="s">
        <v>807</v>
      </c>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row>
    <row r="126" spans="1:69">
      <c r="A126" s="32"/>
      <c r="B126" s="32"/>
      <c r="C126" s="32"/>
      <c r="D126" s="32"/>
      <c r="E126" s="32"/>
      <c r="F126" s="32" t="s">
        <v>696</v>
      </c>
      <c r="G126" s="32" t="s">
        <v>883</v>
      </c>
      <c r="H126" s="32">
        <v>1</v>
      </c>
      <c r="I126" s="32">
        <v>1</v>
      </c>
      <c r="J126" s="32">
        <v>1</v>
      </c>
      <c r="K126" s="32" t="s">
        <v>693</v>
      </c>
      <c r="L126" s="32" t="s">
        <v>697</v>
      </c>
      <c r="M126" s="32" t="s">
        <v>808</v>
      </c>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row>
    <row r="127" spans="1:69">
      <c r="A127" s="143" t="s">
        <v>943</v>
      </c>
      <c r="B127" s="143" t="s">
        <v>943</v>
      </c>
      <c r="C127" s="143" t="s">
        <v>1400</v>
      </c>
      <c r="D127" s="143" t="s">
        <v>1393</v>
      </c>
      <c r="E127" s="32"/>
      <c r="F127" s="32" t="s">
        <v>696</v>
      </c>
      <c r="G127" s="32" t="s">
        <v>884</v>
      </c>
      <c r="H127" s="32">
        <v>31</v>
      </c>
      <c r="I127" s="32">
        <v>0</v>
      </c>
      <c r="J127" s="32">
        <v>32</v>
      </c>
      <c r="K127" s="32" t="s">
        <v>693</v>
      </c>
      <c r="L127" s="32" t="s">
        <v>712</v>
      </c>
      <c r="M127" s="32" t="s">
        <v>809</v>
      </c>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row>
    <row r="128" spans="1:69">
      <c r="A128" s="143" t="s">
        <v>944</v>
      </c>
      <c r="B128" s="143" t="s">
        <v>944</v>
      </c>
      <c r="C128" s="143" t="s">
        <v>1401</v>
      </c>
      <c r="D128" s="143" t="s">
        <v>1394</v>
      </c>
      <c r="E128" s="32"/>
      <c r="F128" s="32" t="s">
        <v>696</v>
      </c>
      <c r="G128" s="32" t="s">
        <v>885</v>
      </c>
      <c r="H128" s="32">
        <v>23</v>
      </c>
      <c r="I128" s="32">
        <v>0</v>
      </c>
      <c r="J128" s="32">
        <v>24</v>
      </c>
      <c r="K128" s="32" t="s">
        <v>693</v>
      </c>
      <c r="L128" s="32" t="s">
        <v>712</v>
      </c>
      <c r="M128" s="32" t="s">
        <v>810</v>
      </c>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row>
    <row r="129" spans="1:69">
      <c r="A129" s="143" t="s">
        <v>945</v>
      </c>
      <c r="B129" s="143" t="s">
        <v>945</v>
      </c>
      <c r="C129" s="143" t="s">
        <v>1402</v>
      </c>
      <c r="D129" s="143" t="s">
        <v>1395</v>
      </c>
      <c r="E129" s="32"/>
      <c r="F129" s="32" t="s">
        <v>696</v>
      </c>
      <c r="G129" s="32" t="s">
        <v>886</v>
      </c>
      <c r="H129" s="32">
        <v>31</v>
      </c>
      <c r="I129" s="32">
        <v>0</v>
      </c>
      <c r="J129" s="32">
        <v>32</v>
      </c>
      <c r="K129" s="32" t="s">
        <v>693</v>
      </c>
      <c r="L129" s="32" t="s">
        <v>712</v>
      </c>
      <c r="M129" s="32" t="s">
        <v>811</v>
      </c>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row>
    <row r="130" spans="1:69">
      <c r="A130" s="143" t="s">
        <v>946</v>
      </c>
      <c r="B130" s="143" t="s">
        <v>946</v>
      </c>
      <c r="C130" s="143" t="s">
        <v>1403</v>
      </c>
      <c r="D130" s="143" t="s">
        <v>1396</v>
      </c>
      <c r="E130" s="32"/>
      <c r="F130" s="32" t="s">
        <v>696</v>
      </c>
      <c r="G130" s="32" t="s">
        <v>887</v>
      </c>
      <c r="H130" s="32">
        <v>23</v>
      </c>
      <c r="I130" s="32">
        <v>0</v>
      </c>
      <c r="J130" s="32">
        <v>24</v>
      </c>
      <c r="K130" s="32" t="s">
        <v>693</v>
      </c>
      <c r="L130" s="32" t="s">
        <v>712</v>
      </c>
      <c r="M130" s="32" t="s">
        <v>811</v>
      </c>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row>
    <row r="131" spans="1:69">
      <c r="A131" s="143" t="s">
        <v>947</v>
      </c>
      <c r="B131" s="143" t="s">
        <v>947</v>
      </c>
      <c r="C131" s="143" t="s">
        <v>1404</v>
      </c>
      <c r="D131" s="143" t="s">
        <v>1397</v>
      </c>
      <c r="E131" s="32"/>
      <c r="F131" s="32" t="s">
        <v>696</v>
      </c>
      <c r="G131" s="32" t="s">
        <v>888</v>
      </c>
      <c r="H131" s="32">
        <v>31</v>
      </c>
      <c r="I131" s="32">
        <v>0</v>
      </c>
      <c r="J131" s="32">
        <v>32</v>
      </c>
      <c r="K131" s="32" t="s">
        <v>693</v>
      </c>
      <c r="L131" s="32" t="s">
        <v>712</v>
      </c>
      <c r="M131" s="32" t="s">
        <v>812</v>
      </c>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row>
    <row r="132" spans="1:69">
      <c r="A132" s="143" t="s">
        <v>948</v>
      </c>
      <c r="B132" s="143" t="s">
        <v>948</v>
      </c>
      <c r="C132" s="143" t="s">
        <v>1405</v>
      </c>
      <c r="D132" s="143" t="s">
        <v>1398</v>
      </c>
      <c r="E132" s="32"/>
      <c r="F132" s="32" t="s">
        <v>696</v>
      </c>
      <c r="G132" s="32" t="s">
        <v>889</v>
      </c>
      <c r="H132" s="32">
        <v>23</v>
      </c>
      <c r="I132" s="32">
        <v>0</v>
      </c>
      <c r="J132" s="32">
        <v>24</v>
      </c>
      <c r="K132" s="32" t="s">
        <v>693</v>
      </c>
      <c r="L132" s="32" t="s">
        <v>712</v>
      </c>
      <c r="M132" s="32" t="s">
        <v>812</v>
      </c>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row>
    <row r="133" spans="1:69">
      <c r="A133" s="143" t="s">
        <v>949</v>
      </c>
      <c r="B133" s="143" t="s">
        <v>949</v>
      </c>
      <c r="C133" s="143" t="s">
        <v>1406</v>
      </c>
      <c r="D133" s="143" t="s">
        <v>1399</v>
      </c>
      <c r="E133" s="32"/>
      <c r="F133" s="32" t="s">
        <v>696</v>
      </c>
      <c r="G133" s="32" t="s">
        <v>890</v>
      </c>
      <c r="H133" s="32">
        <v>0</v>
      </c>
      <c r="I133" s="32">
        <v>0</v>
      </c>
      <c r="J133" s="32">
        <v>1</v>
      </c>
      <c r="K133" s="32" t="s">
        <v>693</v>
      </c>
      <c r="L133" s="32" t="s">
        <v>698</v>
      </c>
      <c r="M133" s="143" t="s">
        <v>378</v>
      </c>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row>
    <row r="134" spans="1:69" ht="95.25">
      <c r="A134" s="32"/>
      <c r="B134" s="32"/>
      <c r="C134" s="32"/>
      <c r="D134" s="32"/>
      <c r="E134" s="32"/>
      <c r="F134" s="32" t="s">
        <v>696</v>
      </c>
      <c r="G134" s="32" t="s">
        <v>891</v>
      </c>
      <c r="H134" s="32">
        <v>5</v>
      </c>
      <c r="I134" s="32">
        <v>1</v>
      </c>
      <c r="J134" s="32">
        <v>5</v>
      </c>
      <c r="K134" s="32" t="s">
        <v>693</v>
      </c>
      <c r="L134" s="32" t="s">
        <v>698</v>
      </c>
      <c r="M134" s="144" t="s">
        <v>2345</v>
      </c>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row>
    <row r="135" spans="1:69" ht="95.25">
      <c r="A135" s="32"/>
      <c r="B135" s="32"/>
      <c r="C135" s="32"/>
      <c r="D135" s="32"/>
      <c r="E135" s="32"/>
      <c r="F135" s="32" t="s">
        <v>696</v>
      </c>
      <c r="G135" s="32" t="s">
        <v>892</v>
      </c>
      <c r="H135" s="32">
        <v>10</v>
      </c>
      <c r="I135" s="32">
        <v>6</v>
      </c>
      <c r="J135" s="32">
        <v>5</v>
      </c>
      <c r="K135" s="32" t="s">
        <v>693</v>
      </c>
      <c r="L135" s="32" t="s">
        <v>712</v>
      </c>
      <c r="M135" s="144" t="s">
        <v>2346</v>
      </c>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row>
    <row r="136" spans="1:69">
      <c r="A136" s="143" t="s">
        <v>950</v>
      </c>
      <c r="B136" s="143" t="s">
        <v>950</v>
      </c>
      <c r="C136" s="143" t="s">
        <v>1208</v>
      </c>
      <c r="D136" s="143" t="s">
        <v>1407</v>
      </c>
      <c r="E136" s="32"/>
      <c r="F136" s="32" t="s">
        <v>696</v>
      </c>
      <c r="G136" s="32" t="s">
        <v>893</v>
      </c>
      <c r="H136" s="32">
        <v>31</v>
      </c>
      <c r="I136" s="32">
        <v>0</v>
      </c>
      <c r="J136" s="32">
        <v>32</v>
      </c>
      <c r="K136" s="32" t="s">
        <v>693</v>
      </c>
      <c r="L136" s="32" t="s">
        <v>712</v>
      </c>
      <c r="M136" s="143" t="s">
        <v>622</v>
      </c>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row>
    <row r="137" spans="1:69">
      <c r="A137" s="143" t="s">
        <v>951</v>
      </c>
      <c r="B137" s="143" t="s">
        <v>951</v>
      </c>
      <c r="C137" s="143" t="s">
        <v>1209</v>
      </c>
      <c r="D137" s="143" t="s">
        <v>1408</v>
      </c>
      <c r="E137" s="32"/>
      <c r="F137" s="32" t="s">
        <v>696</v>
      </c>
      <c r="G137" s="32" t="s">
        <v>894</v>
      </c>
      <c r="H137" s="32">
        <v>0</v>
      </c>
      <c r="I137" s="32">
        <v>0</v>
      </c>
      <c r="J137" s="32">
        <v>1</v>
      </c>
      <c r="K137" s="32" t="s">
        <v>693</v>
      </c>
      <c r="L137" s="32" t="s">
        <v>712</v>
      </c>
      <c r="M137" s="143" t="s">
        <v>623</v>
      </c>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row>
    <row r="138" spans="1:69">
      <c r="A138" s="143" t="s">
        <v>952</v>
      </c>
      <c r="B138" s="143" t="s">
        <v>952</v>
      </c>
      <c r="C138" s="143" t="s">
        <v>1210</v>
      </c>
      <c r="D138" s="143" t="s">
        <v>1211</v>
      </c>
      <c r="E138" s="32"/>
      <c r="F138" s="32" t="s">
        <v>696</v>
      </c>
      <c r="G138" s="143" t="s">
        <v>1717</v>
      </c>
      <c r="H138" s="32">
        <v>0</v>
      </c>
      <c r="I138" s="32">
        <v>0</v>
      </c>
      <c r="J138" s="32">
        <v>1</v>
      </c>
      <c r="K138" s="143" t="s">
        <v>1623</v>
      </c>
      <c r="L138" s="143" t="s">
        <v>1294</v>
      </c>
      <c r="M138" s="143" t="s">
        <v>1718</v>
      </c>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row>
    <row r="139" spans="1:69">
      <c r="A139" s="143"/>
      <c r="B139" s="143"/>
      <c r="C139" s="143"/>
      <c r="D139" s="143"/>
      <c r="E139" s="32"/>
      <c r="F139" s="32" t="s">
        <v>696</v>
      </c>
      <c r="G139" s="143" t="s">
        <v>1716</v>
      </c>
      <c r="H139" s="32">
        <v>1</v>
      </c>
      <c r="I139" s="32">
        <v>1</v>
      </c>
      <c r="J139" s="32">
        <v>1</v>
      </c>
      <c r="K139" s="143" t="s">
        <v>1623</v>
      </c>
      <c r="L139" s="143" t="s">
        <v>1294</v>
      </c>
      <c r="M139" s="143" t="s">
        <v>1719</v>
      </c>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row>
    <row r="140" spans="1:69" ht="99">
      <c r="A140" s="32"/>
      <c r="B140" s="32"/>
      <c r="C140" s="32"/>
      <c r="D140" s="32"/>
      <c r="E140" s="32"/>
      <c r="F140" s="32" t="s">
        <v>696</v>
      </c>
      <c r="G140" s="143" t="s">
        <v>922</v>
      </c>
      <c r="H140" s="32">
        <v>3</v>
      </c>
      <c r="I140" s="32">
        <v>2</v>
      </c>
      <c r="J140" s="32">
        <v>2</v>
      </c>
      <c r="K140" s="143" t="s">
        <v>921</v>
      </c>
      <c r="L140" s="32" t="s">
        <v>698</v>
      </c>
      <c r="M140" s="69" t="s">
        <v>1646</v>
      </c>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row>
    <row r="141" spans="1:69">
      <c r="A141" s="143" t="s">
        <v>930</v>
      </c>
      <c r="B141" s="143" t="s">
        <v>930</v>
      </c>
      <c r="C141" s="143" t="s">
        <v>1215</v>
      </c>
      <c r="D141" s="143" t="s">
        <v>1213</v>
      </c>
      <c r="E141" s="32"/>
      <c r="F141" s="32" t="s">
        <v>696</v>
      </c>
      <c r="G141" s="143" t="s">
        <v>931</v>
      </c>
      <c r="H141" s="32">
        <v>7</v>
      </c>
      <c r="I141" s="32">
        <v>0</v>
      </c>
      <c r="J141" s="32">
        <v>8</v>
      </c>
      <c r="K141" s="32" t="s">
        <v>693</v>
      </c>
      <c r="L141" s="143" t="s">
        <v>929</v>
      </c>
      <c r="M141" s="143" t="s">
        <v>932</v>
      </c>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row>
    <row r="142" spans="1:69">
      <c r="A142" s="143"/>
      <c r="B142" s="143"/>
      <c r="C142" s="143"/>
      <c r="D142" s="143"/>
      <c r="E142" s="32"/>
      <c r="F142" s="32" t="s">
        <v>696</v>
      </c>
      <c r="G142" s="213" t="s">
        <v>1982</v>
      </c>
      <c r="H142" s="214">
        <v>17</v>
      </c>
      <c r="I142" s="214">
        <v>8</v>
      </c>
      <c r="J142" s="214">
        <v>10</v>
      </c>
      <c r="K142" s="214" t="s">
        <v>693</v>
      </c>
      <c r="L142" s="213" t="s">
        <v>929</v>
      </c>
      <c r="M142" s="213" t="s">
        <v>1982</v>
      </c>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row>
    <row r="143" spans="1:69">
      <c r="A143" s="32"/>
      <c r="B143" s="32"/>
      <c r="C143" s="32"/>
      <c r="D143" s="32"/>
      <c r="E143" s="32"/>
      <c r="F143" s="32" t="s">
        <v>696</v>
      </c>
      <c r="G143" s="213" t="s">
        <v>1983</v>
      </c>
      <c r="H143" s="214">
        <v>27</v>
      </c>
      <c r="I143" s="214">
        <v>18</v>
      </c>
      <c r="J143" s="214">
        <v>10</v>
      </c>
      <c r="K143" s="214" t="s">
        <v>693</v>
      </c>
      <c r="L143" s="213" t="s">
        <v>929</v>
      </c>
      <c r="M143" s="213" t="s">
        <v>1983</v>
      </c>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row>
    <row r="144" spans="1:69">
      <c r="A144" s="143" t="s">
        <v>970</v>
      </c>
      <c r="B144" s="143" t="s">
        <v>970</v>
      </c>
      <c r="C144" s="143" t="s">
        <v>917</v>
      </c>
      <c r="D144" s="143" t="s">
        <v>1218</v>
      </c>
      <c r="E144" s="32"/>
      <c r="F144" s="32" t="s">
        <v>696</v>
      </c>
      <c r="G144" s="143" t="s">
        <v>1024</v>
      </c>
      <c r="H144" s="32">
        <v>31</v>
      </c>
      <c r="I144" s="32">
        <v>0</v>
      </c>
      <c r="J144" s="32">
        <v>32</v>
      </c>
      <c r="K144" s="32" t="s">
        <v>693</v>
      </c>
      <c r="L144" s="32" t="s">
        <v>698</v>
      </c>
      <c r="M144" s="143" t="s">
        <v>2397</v>
      </c>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row>
    <row r="145" spans="1:69">
      <c r="A145" s="143" t="s">
        <v>974</v>
      </c>
      <c r="B145" s="143" t="s">
        <v>974</v>
      </c>
      <c r="C145" s="143" t="s">
        <v>1216</v>
      </c>
      <c r="D145" s="143" t="s">
        <v>1219</v>
      </c>
      <c r="E145" s="32"/>
      <c r="F145" s="32" t="s">
        <v>696</v>
      </c>
      <c r="G145" s="143" t="s">
        <v>1025</v>
      </c>
      <c r="H145" s="32">
        <v>31</v>
      </c>
      <c r="I145" s="32">
        <v>0</v>
      </c>
      <c r="J145" s="32">
        <v>32</v>
      </c>
      <c r="K145" s="32" t="s">
        <v>693</v>
      </c>
      <c r="L145" s="32" t="s">
        <v>698</v>
      </c>
      <c r="M145" s="143" t="s">
        <v>2397</v>
      </c>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row>
    <row r="146" spans="1:69">
      <c r="A146" s="143" t="s">
        <v>985</v>
      </c>
      <c r="B146" s="143" t="s">
        <v>985</v>
      </c>
      <c r="C146" s="143" t="s">
        <v>1217</v>
      </c>
      <c r="D146" s="143" t="s">
        <v>1411</v>
      </c>
      <c r="E146" s="32"/>
      <c r="F146" s="32" t="s">
        <v>696</v>
      </c>
      <c r="G146" s="143" t="s">
        <v>1026</v>
      </c>
      <c r="H146" s="32">
        <v>31</v>
      </c>
      <c r="I146" s="32">
        <v>0</v>
      </c>
      <c r="J146" s="32">
        <v>32</v>
      </c>
      <c r="K146" s="32" t="s">
        <v>693</v>
      </c>
      <c r="L146" s="32" t="s">
        <v>698</v>
      </c>
      <c r="M146" s="143" t="s">
        <v>2397</v>
      </c>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row>
    <row r="147" spans="1:69">
      <c r="A147" s="143" t="s">
        <v>986</v>
      </c>
      <c r="B147" s="143" t="s">
        <v>986</v>
      </c>
      <c r="C147" s="143" t="s">
        <v>1086</v>
      </c>
      <c r="D147" s="143" t="s">
        <v>1412</v>
      </c>
      <c r="E147" s="32"/>
      <c r="F147" s="32" t="s">
        <v>696</v>
      </c>
      <c r="G147" s="143" t="s">
        <v>1027</v>
      </c>
      <c r="H147" s="32">
        <v>31</v>
      </c>
      <c r="I147" s="32">
        <v>0</v>
      </c>
      <c r="J147" s="32">
        <v>32</v>
      </c>
      <c r="K147" s="32" t="s">
        <v>693</v>
      </c>
      <c r="L147" s="32" t="s">
        <v>698</v>
      </c>
      <c r="M147" s="143" t="s">
        <v>2397</v>
      </c>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row>
    <row r="148" spans="1:69">
      <c r="A148" s="143" t="s">
        <v>998</v>
      </c>
      <c r="B148" s="143" t="s">
        <v>998</v>
      </c>
      <c r="C148" s="143" t="s">
        <v>1087</v>
      </c>
      <c r="D148" s="143" t="s">
        <v>1413</v>
      </c>
      <c r="E148" s="32"/>
      <c r="F148" s="32" t="s">
        <v>696</v>
      </c>
      <c r="G148" s="143" t="s">
        <v>1028</v>
      </c>
      <c r="H148" s="32">
        <v>31</v>
      </c>
      <c r="I148" s="32">
        <v>0</v>
      </c>
      <c r="J148" s="32">
        <v>32</v>
      </c>
      <c r="K148" s="32" t="s">
        <v>693</v>
      </c>
      <c r="L148" s="32" t="s">
        <v>698</v>
      </c>
      <c r="M148" s="143" t="s">
        <v>2397</v>
      </c>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row>
    <row r="149" spans="1:69">
      <c r="A149" s="143" t="s">
        <v>999</v>
      </c>
      <c r="B149" s="143" t="s">
        <v>999</v>
      </c>
      <c r="C149" s="143" t="s">
        <v>1088</v>
      </c>
      <c r="D149" s="143" t="s">
        <v>1414</v>
      </c>
      <c r="E149" s="32"/>
      <c r="F149" s="32" t="s">
        <v>696</v>
      </c>
      <c r="G149" s="143" t="s">
        <v>1029</v>
      </c>
      <c r="H149" s="32">
        <v>31</v>
      </c>
      <c r="I149" s="32">
        <v>0</v>
      </c>
      <c r="J149" s="32">
        <v>32</v>
      </c>
      <c r="K149" s="32" t="s">
        <v>693</v>
      </c>
      <c r="L149" s="32" t="s">
        <v>698</v>
      </c>
      <c r="M149" s="143" t="s">
        <v>2397</v>
      </c>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row>
    <row r="150" spans="1:69">
      <c r="A150" s="143" t="s">
        <v>1000</v>
      </c>
      <c r="B150" s="143" t="s">
        <v>1000</v>
      </c>
      <c r="C150" s="143" t="s">
        <v>1089</v>
      </c>
      <c r="D150" s="143" t="s">
        <v>1415</v>
      </c>
      <c r="E150" s="32"/>
      <c r="F150" s="32" t="s">
        <v>696</v>
      </c>
      <c r="G150" s="143" t="s">
        <v>1030</v>
      </c>
      <c r="H150" s="32">
        <v>31</v>
      </c>
      <c r="I150" s="32">
        <v>0</v>
      </c>
      <c r="J150" s="32">
        <v>32</v>
      </c>
      <c r="K150" s="32" t="s">
        <v>693</v>
      </c>
      <c r="L150" s="32" t="s">
        <v>698</v>
      </c>
      <c r="M150" s="143" t="s">
        <v>2397</v>
      </c>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row>
    <row r="151" spans="1:69">
      <c r="A151" s="143" t="s">
        <v>1001</v>
      </c>
      <c r="B151" s="143" t="s">
        <v>1001</v>
      </c>
      <c r="C151" s="143" t="s">
        <v>1090</v>
      </c>
      <c r="D151" s="143" t="s">
        <v>1416</v>
      </c>
      <c r="E151" s="32"/>
      <c r="F151" s="32" t="s">
        <v>696</v>
      </c>
      <c r="G151" s="143" t="s">
        <v>1031</v>
      </c>
      <c r="H151" s="32">
        <v>31</v>
      </c>
      <c r="I151" s="32">
        <v>0</v>
      </c>
      <c r="J151" s="32">
        <v>32</v>
      </c>
      <c r="K151" s="32" t="s">
        <v>693</v>
      </c>
      <c r="L151" s="32" t="s">
        <v>698</v>
      </c>
      <c r="M151" s="143" t="s">
        <v>2397</v>
      </c>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row>
    <row r="152" spans="1:69">
      <c r="A152" s="143" t="s">
        <v>1002</v>
      </c>
      <c r="B152" s="143" t="s">
        <v>1002</v>
      </c>
      <c r="C152" s="143" t="s">
        <v>1091</v>
      </c>
      <c r="D152" s="143" t="s">
        <v>1417</v>
      </c>
      <c r="E152" s="32"/>
      <c r="F152" s="32" t="s">
        <v>696</v>
      </c>
      <c r="G152" s="143" t="s">
        <v>1032</v>
      </c>
      <c r="H152" s="32">
        <v>31</v>
      </c>
      <c r="I152" s="32">
        <v>0</v>
      </c>
      <c r="J152" s="32">
        <v>32</v>
      </c>
      <c r="K152" s="32" t="s">
        <v>693</v>
      </c>
      <c r="L152" s="32" t="s">
        <v>698</v>
      </c>
      <c r="M152" s="143" t="s">
        <v>2397</v>
      </c>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row>
    <row r="153" spans="1:69">
      <c r="A153" s="143" t="s">
        <v>1003</v>
      </c>
      <c r="B153" s="143" t="s">
        <v>1003</v>
      </c>
      <c r="C153" s="143" t="s">
        <v>1092</v>
      </c>
      <c r="D153" s="143" t="s">
        <v>1418</v>
      </c>
      <c r="E153" s="32"/>
      <c r="F153" s="32" t="s">
        <v>696</v>
      </c>
      <c r="G153" s="143" t="s">
        <v>1033</v>
      </c>
      <c r="H153" s="32">
        <v>31</v>
      </c>
      <c r="I153" s="32">
        <v>0</v>
      </c>
      <c r="J153" s="32">
        <v>32</v>
      </c>
      <c r="K153" s="32" t="s">
        <v>693</v>
      </c>
      <c r="L153" s="32" t="s">
        <v>698</v>
      </c>
      <c r="M153" s="143" t="s">
        <v>2397</v>
      </c>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row>
    <row r="154" spans="1:69">
      <c r="A154" s="143" t="s">
        <v>1040</v>
      </c>
      <c r="B154" s="143" t="s">
        <v>1040</v>
      </c>
      <c r="C154" s="143" t="s">
        <v>1093</v>
      </c>
      <c r="D154" s="143" t="s">
        <v>1419</v>
      </c>
      <c r="E154" s="32"/>
      <c r="F154" s="32" t="s">
        <v>696</v>
      </c>
      <c r="G154" s="143" t="s">
        <v>1034</v>
      </c>
      <c r="H154" s="32">
        <v>31</v>
      </c>
      <c r="I154" s="32">
        <v>0</v>
      </c>
      <c r="J154" s="32">
        <v>32</v>
      </c>
      <c r="K154" s="32" t="s">
        <v>693</v>
      </c>
      <c r="L154" s="32" t="s">
        <v>698</v>
      </c>
      <c r="M154" s="143" t="s">
        <v>2397</v>
      </c>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row>
    <row r="155" spans="1:69">
      <c r="A155" s="143" t="s">
        <v>1041</v>
      </c>
      <c r="B155" s="143" t="s">
        <v>1041</v>
      </c>
      <c r="C155" s="143" t="s">
        <v>1094</v>
      </c>
      <c r="D155" s="143" t="s">
        <v>1420</v>
      </c>
      <c r="E155" s="32"/>
      <c r="F155" s="32" t="s">
        <v>696</v>
      </c>
      <c r="G155" s="143" t="s">
        <v>1035</v>
      </c>
      <c r="H155" s="32">
        <v>31</v>
      </c>
      <c r="I155" s="32">
        <v>0</v>
      </c>
      <c r="J155" s="32">
        <v>32</v>
      </c>
      <c r="K155" s="32" t="s">
        <v>693</v>
      </c>
      <c r="L155" s="32" t="s">
        <v>698</v>
      </c>
      <c r="M155" s="143" t="s">
        <v>2397</v>
      </c>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row>
    <row r="156" spans="1:69">
      <c r="A156" s="143" t="s">
        <v>1042</v>
      </c>
      <c r="B156" s="143" t="s">
        <v>1042</v>
      </c>
      <c r="C156" s="143" t="s">
        <v>1095</v>
      </c>
      <c r="D156" s="143" t="s">
        <v>1421</v>
      </c>
      <c r="E156" s="32"/>
      <c r="F156" s="32" t="s">
        <v>696</v>
      </c>
      <c r="G156" s="143" t="s">
        <v>1036</v>
      </c>
      <c r="H156" s="32">
        <v>31</v>
      </c>
      <c r="I156" s="32">
        <v>0</v>
      </c>
      <c r="J156" s="32">
        <v>32</v>
      </c>
      <c r="K156" s="32" t="s">
        <v>693</v>
      </c>
      <c r="L156" s="32" t="s">
        <v>698</v>
      </c>
      <c r="M156" s="143" t="s">
        <v>2397</v>
      </c>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row>
    <row r="157" spans="1:69">
      <c r="A157" s="143" t="s">
        <v>1043</v>
      </c>
      <c r="B157" s="143" t="s">
        <v>1043</v>
      </c>
      <c r="C157" s="143" t="s">
        <v>1096</v>
      </c>
      <c r="D157" s="143" t="s">
        <v>1422</v>
      </c>
      <c r="E157" s="32"/>
      <c r="F157" s="32" t="s">
        <v>696</v>
      </c>
      <c r="G157" s="143" t="s">
        <v>1037</v>
      </c>
      <c r="H157" s="32">
        <v>31</v>
      </c>
      <c r="I157" s="32">
        <v>0</v>
      </c>
      <c r="J157" s="32">
        <v>32</v>
      </c>
      <c r="K157" s="32" t="s">
        <v>693</v>
      </c>
      <c r="L157" s="32" t="s">
        <v>698</v>
      </c>
      <c r="M157" s="143" t="s">
        <v>2397</v>
      </c>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row>
    <row r="158" spans="1:69">
      <c r="A158" s="143" t="s">
        <v>1044</v>
      </c>
      <c r="B158" s="143" t="s">
        <v>1044</v>
      </c>
      <c r="C158" s="143" t="s">
        <v>1097</v>
      </c>
      <c r="D158" s="143" t="s">
        <v>1423</v>
      </c>
      <c r="E158" s="32"/>
      <c r="F158" s="32" t="s">
        <v>696</v>
      </c>
      <c r="G158" s="143" t="s">
        <v>1038</v>
      </c>
      <c r="H158" s="32">
        <v>31</v>
      </c>
      <c r="I158" s="32">
        <v>0</v>
      </c>
      <c r="J158" s="32">
        <v>32</v>
      </c>
      <c r="K158" s="32" t="s">
        <v>693</v>
      </c>
      <c r="L158" s="32" t="s">
        <v>698</v>
      </c>
      <c r="M158" s="143" t="s">
        <v>2397</v>
      </c>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row>
    <row r="159" spans="1:69">
      <c r="A159" s="143" t="s">
        <v>1045</v>
      </c>
      <c r="B159" s="143" t="s">
        <v>1045</v>
      </c>
      <c r="C159" s="143" t="s">
        <v>1098</v>
      </c>
      <c r="D159" s="143" t="s">
        <v>1424</v>
      </c>
      <c r="E159" s="32"/>
      <c r="F159" s="32" t="s">
        <v>696</v>
      </c>
      <c r="G159" s="143" t="s">
        <v>1039</v>
      </c>
      <c r="H159" s="32">
        <v>31</v>
      </c>
      <c r="I159" s="32">
        <v>0</v>
      </c>
      <c r="J159" s="32">
        <v>32</v>
      </c>
      <c r="K159" s="32" t="s">
        <v>693</v>
      </c>
      <c r="L159" s="32" t="s">
        <v>698</v>
      </c>
      <c r="M159" s="143" t="s">
        <v>2397</v>
      </c>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row>
    <row r="160" spans="1:69">
      <c r="A160" s="143" t="s">
        <v>1046</v>
      </c>
      <c r="B160" s="143" t="s">
        <v>1046</v>
      </c>
      <c r="C160" s="143" t="s">
        <v>1157</v>
      </c>
      <c r="D160" s="143" t="s">
        <v>1425</v>
      </c>
      <c r="E160" s="32"/>
      <c r="F160" s="32" t="s">
        <v>696</v>
      </c>
      <c r="G160" s="143" t="s">
        <v>1221</v>
      </c>
      <c r="H160" s="32">
        <v>31</v>
      </c>
      <c r="I160" s="32">
        <v>0</v>
      </c>
      <c r="J160" s="32">
        <v>32</v>
      </c>
      <c r="K160" s="32" t="s">
        <v>693</v>
      </c>
      <c r="L160" s="32" t="s">
        <v>698</v>
      </c>
      <c r="M160" s="143" t="s">
        <v>2397</v>
      </c>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row>
    <row r="161" spans="1:69">
      <c r="A161" s="143" t="s">
        <v>1047</v>
      </c>
      <c r="B161" s="143" t="s">
        <v>1047</v>
      </c>
      <c r="C161" s="143" t="s">
        <v>1158</v>
      </c>
      <c r="D161" s="143" t="s">
        <v>1426</v>
      </c>
      <c r="E161" s="32"/>
      <c r="F161" s="32" t="s">
        <v>696</v>
      </c>
      <c r="G161" s="143" t="s">
        <v>1222</v>
      </c>
      <c r="H161" s="32">
        <v>31</v>
      </c>
      <c r="I161" s="32">
        <v>0</v>
      </c>
      <c r="J161" s="32">
        <v>32</v>
      </c>
      <c r="K161" s="32" t="s">
        <v>693</v>
      </c>
      <c r="L161" s="32" t="s">
        <v>698</v>
      </c>
      <c r="M161" s="143" t="s">
        <v>2397</v>
      </c>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row>
    <row r="162" spans="1:69">
      <c r="A162" s="143" t="s">
        <v>1048</v>
      </c>
      <c r="B162" s="143" t="s">
        <v>1048</v>
      </c>
      <c r="C162" s="143" t="s">
        <v>1159</v>
      </c>
      <c r="D162" s="143" t="s">
        <v>1427</v>
      </c>
      <c r="E162" s="32"/>
      <c r="F162" s="32" t="s">
        <v>696</v>
      </c>
      <c r="G162" s="143" t="s">
        <v>1223</v>
      </c>
      <c r="H162" s="32">
        <v>31</v>
      </c>
      <c r="I162" s="32">
        <v>0</v>
      </c>
      <c r="J162" s="32">
        <v>32</v>
      </c>
      <c r="K162" s="32" t="s">
        <v>693</v>
      </c>
      <c r="L162" s="32" t="s">
        <v>698</v>
      </c>
      <c r="M162" s="143" t="s">
        <v>2397</v>
      </c>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row>
    <row r="163" spans="1:69">
      <c r="A163" s="143" t="s">
        <v>1049</v>
      </c>
      <c r="B163" s="143" t="s">
        <v>1049</v>
      </c>
      <c r="C163" s="143" t="s">
        <v>1160</v>
      </c>
      <c r="D163" s="143" t="s">
        <v>1428</v>
      </c>
      <c r="E163" s="32"/>
      <c r="F163" s="32" t="s">
        <v>696</v>
      </c>
      <c r="G163" s="143" t="s">
        <v>1224</v>
      </c>
      <c r="H163" s="32">
        <v>31</v>
      </c>
      <c r="I163" s="32">
        <v>0</v>
      </c>
      <c r="J163" s="32">
        <v>32</v>
      </c>
      <c r="K163" s="32" t="s">
        <v>693</v>
      </c>
      <c r="L163" s="32" t="s">
        <v>698</v>
      </c>
      <c r="M163" s="143" t="s">
        <v>2397</v>
      </c>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row>
    <row r="164" spans="1:69">
      <c r="A164" s="143" t="s">
        <v>1050</v>
      </c>
      <c r="B164" s="143" t="s">
        <v>1050</v>
      </c>
      <c r="C164" s="143" t="s">
        <v>1161</v>
      </c>
      <c r="D164" s="143" t="s">
        <v>1429</v>
      </c>
      <c r="E164" s="32"/>
      <c r="F164" s="32" t="s">
        <v>696</v>
      </c>
      <c r="G164" s="143" t="s">
        <v>1225</v>
      </c>
      <c r="H164" s="32">
        <v>31</v>
      </c>
      <c r="I164" s="32">
        <v>0</v>
      </c>
      <c r="J164" s="32">
        <v>32</v>
      </c>
      <c r="K164" s="32" t="s">
        <v>693</v>
      </c>
      <c r="L164" s="32" t="s">
        <v>698</v>
      </c>
      <c r="M164" s="143" t="s">
        <v>2397</v>
      </c>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row>
    <row r="165" spans="1:69">
      <c r="A165" s="143" t="s">
        <v>1051</v>
      </c>
      <c r="B165" s="143" t="s">
        <v>1051</v>
      </c>
      <c r="C165" s="143" t="s">
        <v>1162</v>
      </c>
      <c r="D165" s="143" t="s">
        <v>1430</v>
      </c>
      <c r="E165" s="32"/>
      <c r="F165" s="32" t="s">
        <v>696</v>
      </c>
      <c r="G165" s="143" t="s">
        <v>1226</v>
      </c>
      <c r="H165" s="32">
        <v>31</v>
      </c>
      <c r="I165" s="32">
        <v>0</v>
      </c>
      <c r="J165" s="32">
        <v>32</v>
      </c>
      <c r="K165" s="32" t="s">
        <v>693</v>
      </c>
      <c r="L165" s="32" t="s">
        <v>698</v>
      </c>
      <c r="M165" s="143" t="s">
        <v>2397</v>
      </c>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row>
    <row r="166" spans="1:69">
      <c r="A166" s="143" t="s">
        <v>1052</v>
      </c>
      <c r="B166" s="143" t="s">
        <v>1052</v>
      </c>
      <c r="C166" s="143" t="s">
        <v>1163</v>
      </c>
      <c r="D166" s="143" t="s">
        <v>1431</v>
      </c>
      <c r="E166" s="32"/>
      <c r="F166" s="32" t="s">
        <v>696</v>
      </c>
      <c r="G166" s="143" t="s">
        <v>1227</v>
      </c>
      <c r="H166" s="32">
        <v>31</v>
      </c>
      <c r="I166" s="32">
        <v>0</v>
      </c>
      <c r="J166" s="32">
        <v>32</v>
      </c>
      <c r="K166" s="32" t="s">
        <v>693</v>
      </c>
      <c r="L166" s="32" t="s">
        <v>698</v>
      </c>
      <c r="M166" s="143" t="s">
        <v>2397</v>
      </c>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row>
    <row r="167" spans="1:69">
      <c r="A167" s="143" t="s">
        <v>1053</v>
      </c>
      <c r="B167" s="143" t="s">
        <v>1053</v>
      </c>
      <c r="C167" s="143" t="s">
        <v>1164</v>
      </c>
      <c r="D167" s="143" t="s">
        <v>1432</v>
      </c>
      <c r="E167" s="32"/>
      <c r="F167" s="32" t="s">
        <v>696</v>
      </c>
      <c r="G167" s="143" t="s">
        <v>1228</v>
      </c>
      <c r="H167" s="32">
        <v>31</v>
      </c>
      <c r="I167" s="32">
        <v>0</v>
      </c>
      <c r="J167" s="32">
        <v>32</v>
      </c>
      <c r="K167" s="32" t="s">
        <v>693</v>
      </c>
      <c r="L167" s="32" t="s">
        <v>698</v>
      </c>
      <c r="M167" s="143" t="s">
        <v>2397</v>
      </c>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row>
    <row r="168" spans="1:69">
      <c r="A168" s="143" t="s">
        <v>1054</v>
      </c>
      <c r="B168" s="143" t="s">
        <v>1054</v>
      </c>
      <c r="C168" s="143" t="s">
        <v>1165</v>
      </c>
      <c r="D168" s="143" t="s">
        <v>1433</v>
      </c>
      <c r="E168" s="32"/>
      <c r="F168" s="32" t="s">
        <v>696</v>
      </c>
      <c r="G168" s="143" t="s">
        <v>1229</v>
      </c>
      <c r="H168" s="32">
        <v>31</v>
      </c>
      <c r="I168" s="32">
        <v>0</v>
      </c>
      <c r="J168" s="32">
        <v>32</v>
      </c>
      <c r="K168" s="32" t="s">
        <v>693</v>
      </c>
      <c r="L168" s="32" t="s">
        <v>698</v>
      </c>
      <c r="M168" s="143" t="s">
        <v>2397</v>
      </c>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row>
    <row r="169" spans="1:69">
      <c r="A169" s="143" t="s">
        <v>1055</v>
      </c>
      <c r="B169" s="143" t="s">
        <v>1055</v>
      </c>
      <c r="C169" s="143" t="s">
        <v>1166</v>
      </c>
      <c r="D169" s="143" t="s">
        <v>1434</v>
      </c>
      <c r="E169" s="32"/>
      <c r="F169" s="32" t="s">
        <v>696</v>
      </c>
      <c r="G169" s="143" t="s">
        <v>1230</v>
      </c>
      <c r="H169" s="32">
        <v>31</v>
      </c>
      <c r="I169" s="32">
        <v>0</v>
      </c>
      <c r="J169" s="32">
        <v>32</v>
      </c>
      <c r="K169" s="32" t="s">
        <v>693</v>
      </c>
      <c r="L169" s="32" t="s">
        <v>698</v>
      </c>
      <c r="M169" s="143" t="s">
        <v>2397</v>
      </c>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row>
    <row r="170" spans="1:69">
      <c r="A170" s="143" t="s">
        <v>1056</v>
      </c>
      <c r="B170" s="143" t="s">
        <v>1056</v>
      </c>
      <c r="C170" s="143" t="s">
        <v>1167</v>
      </c>
      <c r="D170" s="143" t="s">
        <v>1435</v>
      </c>
      <c r="E170" s="32"/>
      <c r="F170" s="32" t="s">
        <v>696</v>
      </c>
      <c r="G170" s="143" t="s">
        <v>1231</v>
      </c>
      <c r="H170" s="32">
        <v>31</v>
      </c>
      <c r="I170" s="32">
        <v>0</v>
      </c>
      <c r="J170" s="32">
        <v>32</v>
      </c>
      <c r="K170" s="32" t="s">
        <v>693</v>
      </c>
      <c r="L170" s="32" t="s">
        <v>698</v>
      </c>
      <c r="M170" s="143" t="s">
        <v>2397</v>
      </c>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row>
    <row r="171" spans="1:69">
      <c r="A171" s="143" t="s">
        <v>1057</v>
      </c>
      <c r="B171" s="143" t="s">
        <v>1057</v>
      </c>
      <c r="C171" s="143" t="s">
        <v>1168</v>
      </c>
      <c r="D171" s="143" t="s">
        <v>1436</v>
      </c>
      <c r="E171" s="32"/>
      <c r="F171" s="32" t="s">
        <v>696</v>
      </c>
      <c r="G171" s="143" t="s">
        <v>1232</v>
      </c>
      <c r="H171" s="32">
        <v>31</v>
      </c>
      <c r="I171" s="32">
        <v>0</v>
      </c>
      <c r="J171" s="32">
        <v>32</v>
      </c>
      <c r="K171" s="32" t="s">
        <v>693</v>
      </c>
      <c r="L171" s="32" t="s">
        <v>698</v>
      </c>
      <c r="M171" s="143" t="s">
        <v>2397</v>
      </c>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row>
    <row r="172" spans="1:69">
      <c r="A172" s="143" t="s">
        <v>1058</v>
      </c>
      <c r="B172" s="143" t="s">
        <v>1058</v>
      </c>
      <c r="C172" s="143" t="s">
        <v>1169</v>
      </c>
      <c r="D172" s="143" t="s">
        <v>1437</v>
      </c>
      <c r="E172" s="32"/>
      <c r="F172" s="32" t="s">
        <v>696</v>
      </c>
      <c r="G172" s="143" t="s">
        <v>1233</v>
      </c>
      <c r="H172" s="32">
        <v>31</v>
      </c>
      <c r="I172" s="32">
        <v>0</v>
      </c>
      <c r="J172" s="32">
        <v>32</v>
      </c>
      <c r="K172" s="32" t="s">
        <v>693</v>
      </c>
      <c r="L172" s="32" t="s">
        <v>698</v>
      </c>
      <c r="M172" s="143" t="s">
        <v>2397</v>
      </c>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row>
    <row r="173" spans="1:69">
      <c r="A173" s="143" t="s">
        <v>1059</v>
      </c>
      <c r="B173" s="143" t="s">
        <v>1059</v>
      </c>
      <c r="C173" s="143" t="s">
        <v>1170</v>
      </c>
      <c r="D173" s="143" t="s">
        <v>1438</v>
      </c>
      <c r="E173" s="32"/>
      <c r="F173" s="32" t="s">
        <v>696</v>
      </c>
      <c r="G173" s="143" t="s">
        <v>1234</v>
      </c>
      <c r="H173" s="32">
        <v>31</v>
      </c>
      <c r="I173" s="32">
        <v>0</v>
      </c>
      <c r="J173" s="32">
        <v>32</v>
      </c>
      <c r="K173" s="32" t="s">
        <v>693</v>
      </c>
      <c r="L173" s="32" t="s">
        <v>698</v>
      </c>
      <c r="M173" s="143" t="s">
        <v>2397</v>
      </c>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row>
    <row r="174" spans="1:69">
      <c r="A174" s="143" t="s">
        <v>1060</v>
      </c>
      <c r="B174" s="143" t="s">
        <v>1060</v>
      </c>
      <c r="C174" s="143" t="s">
        <v>1171</v>
      </c>
      <c r="D174" s="143" t="s">
        <v>1439</v>
      </c>
      <c r="E174" s="32"/>
      <c r="F174" s="32" t="s">
        <v>696</v>
      </c>
      <c r="G174" s="143" t="s">
        <v>1235</v>
      </c>
      <c r="H174" s="32">
        <v>31</v>
      </c>
      <c r="I174" s="32">
        <v>0</v>
      </c>
      <c r="J174" s="32">
        <v>32</v>
      </c>
      <c r="K174" s="32" t="s">
        <v>693</v>
      </c>
      <c r="L174" s="32" t="s">
        <v>698</v>
      </c>
      <c r="M174" s="143" t="s">
        <v>2397</v>
      </c>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row>
    <row r="175" spans="1:69">
      <c r="A175" s="143" t="s">
        <v>1061</v>
      </c>
      <c r="B175" s="143" t="s">
        <v>1061</v>
      </c>
      <c r="C175" s="143" t="s">
        <v>1172</v>
      </c>
      <c r="D175" s="143" t="s">
        <v>1440</v>
      </c>
      <c r="E175" s="32"/>
      <c r="F175" s="32" t="s">
        <v>696</v>
      </c>
      <c r="G175" s="143" t="s">
        <v>1236</v>
      </c>
      <c r="H175" s="32">
        <v>31</v>
      </c>
      <c r="I175" s="32">
        <v>0</v>
      </c>
      <c r="J175" s="32">
        <v>32</v>
      </c>
      <c r="K175" s="32" t="s">
        <v>693</v>
      </c>
      <c r="L175" s="32" t="s">
        <v>698</v>
      </c>
      <c r="M175" s="143" t="s">
        <v>2397</v>
      </c>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row>
    <row r="176" spans="1:69">
      <c r="A176" s="143" t="s">
        <v>1063</v>
      </c>
      <c r="B176" s="143" t="s">
        <v>1063</v>
      </c>
      <c r="C176" s="143" t="s">
        <v>1173</v>
      </c>
      <c r="D176" s="143" t="s">
        <v>1441</v>
      </c>
      <c r="E176" s="32"/>
      <c r="F176" s="32" t="s">
        <v>696</v>
      </c>
      <c r="G176" s="143" t="s">
        <v>1062</v>
      </c>
      <c r="H176" s="32">
        <v>7</v>
      </c>
      <c r="I176" s="32">
        <v>0</v>
      </c>
      <c r="J176" s="32">
        <v>8</v>
      </c>
      <c r="K176" s="32" t="s">
        <v>693</v>
      </c>
      <c r="L176" s="32" t="s">
        <v>698</v>
      </c>
      <c r="M176" s="143" t="s">
        <v>2397</v>
      </c>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row>
    <row r="177" spans="1:69">
      <c r="A177" s="143" t="s">
        <v>1064</v>
      </c>
      <c r="B177" s="143" t="s">
        <v>1064</v>
      </c>
      <c r="C177" s="143" t="s">
        <v>1174</v>
      </c>
      <c r="D177" s="143" t="s">
        <v>1442</v>
      </c>
      <c r="E177" s="32"/>
      <c r="F177" s="32" t="s">
        <v>696</v>
      </c>
      <c r="G177" s="143" t="s">
        <v>2400</v>
      </c>
      <c r="H177" s="32">
        <v>7</v>
      </c>
      <c r="I177" s="32">
        <v>0</v>
      </c>
      <c r="J177" s="32">
        <v>8</v>
      </c>
      <c r="K177" s="32" t="s">
        <v>693</v>
      </c>
      <c r="L177" s="32" t="s">
        <v>698</v>
      </c>
      <c r="M177" s="143" t="s">
        <v>2397</v>
      </c>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row>
    <row r="178" spans="1:69">
      <c r="A178" s="143" t="s">
        <v>1065</v>
      </c>
      <c r="B178" s="143" t="s">
        <v>1065</v>
      </c>
      <c r="C178" s="143" t="s">
        <v>1175</v>
      </c>
      <c r="D178" s="143" t="s">
        <v>1443</v>
      </c>
      <c r="E178" s="32"/>
      <c r="F178" s="32" t="s">
        <v>696</v>
      </c>
      <c r="G178" s="143" t="s">
        <v>1110</v>
      </c>
      <c r="H178" s="32">
        <v>7</v>
      </c>
      <c r="I178" s="32">
        <v>0</v>
      </c>
      <c r="J178" s="32">
        <v>8</v>
      </c>
      <c r="K178" s="32" t="s">
        <v>693</v>
      </c>
      <c r="L178" s="32" t="s">
        <v>698</v>
      </c>
      <c r="M178" s="143" t="s">
        <v>2397</v>
      </c>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row>
    <row r="179" spans="1:69">
      <c r="A179" s="143" t="s">
        <v>1066</v>
      </c>
      <c r="B179" s="143" t="s">
        <v>1066</v>
      </c>
      <c r="C179" s="143" t="s">
        <v>1176</v>
      </c>
      <c r="D179" s="143" t="s">
        <v>1444</v>
      </c>
      <c r="E179" s="32"/>
      <c r="F179" s="32" t="s">
        <v>696</v>
      </c>
      <c r="G179" s="143" t="s">
        <v>1111</v>
      </c>
      <c r="H179" s="32">
        <v>7</v>
      </c>
      <c r="I179" s="32">
        <v>0</v>
      </c>
      <c r="J179" s="32">
        <v>8</v>
      </c>
      <c r="K179" s="32" t="s">
        <v>693</v>
      </c>
      <c r="L179" s="32" t="s">
        <v>698</v>
      </c>
      <c r="M179" s="143" t="s">
        <v>2397</v>
      </c>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row>
    <row r="180" spans="1:69">
      <c r="A180" s="143" t="s">
        <v>1067</v>
      </c>
      <c r="B180" s="143" t="s">
        <v>1067</v>
      </c>
      <c r="C180" s="143" t="s">
        <v>1177</v>
      </c>
      <c r="D180" s="143" t="s">
        <v>1445</v>
      </c>
      <c r="E180" s="32"/>
      <c r="F180" s="32" t="s">
        <v>696</v>
      </c>
      <c r="G180" s="143" t="s">
        <v>1112</v>
      </c>
      <c r="H180" s="32">
        <v>7</v>
      </c>
      <c r="I180" s="32">
        <v>0</v>
      </c>
      <c r="J180" s="32">
        <v>8</v>
      </c>
      <c r="K180" s="32" t="s">
        <v>693</v>
      </c>
      <c r="L180" s="32" t="s">
        <v>698</v>
      </c>
      <c r="M180" s="143" t="s">
        <v>2397</v>
      </c>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row>
    <row r="181" spans="1:69">
      <c r="A181" s="143" t="s">
        <v>1068</v>
      </c>
      <c r="B181" s="143" t="s">
        <v>1068</v>
      </c>
      <c r="C181" s="143" t="s">
        <v>1178</v>
      </c>
      <c r="D181" s="143" t="s">
        <v>1446</v>
      </c>
      <c r="E181" s="32"/>
      <c r="F181" s="32" t="s">
        <v>696</v>
      </c>
      <c r="G181" s="143" t="s">
        <v>1113</v>
      </c>
      <c r="H181" s="32">
        <v>7</v>
      </c>
      <c r="I181" s="32">
        <v>0</v>
      </c>
      <c r="J181" s="32">
        <v>8</v>
      </c>
      <c r="K181" s="32" t="s">
        <v>693</v>
      </c>
      <c r="L181" s="32" t="s">
        <v>698</v>
      </c>
      <c r="M181" s="143" t="s">
        <v>2397</v>
      </c>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row>
    <row r="182" spans="1:69">
      <c r="A182" s="143" t="s">
        <v>1069</v>
      </c>
      <c r="B182" s="143" t="s">
        <v>1069</v>
      </c>
      <c r="C182" s="143" t="s">
        <v>1179</v>
      </c>
      <c r="D182" s="143" t="s">
        <v>1447</v>
      </c>
      <c r="E182" s="32"/>
      <c r="F182" s="32" t="s">
        <v>696</v>
      </c>
      <c r="G182" s="143" t="s">
        <v>1114</v>
      </c>
      <c r="H182" s="32">
        <v>7</v>
      </c>
      <c r="I182" s="32">
        <v>0</v>
      </c>
      <c r="J182" s="32">
        <v>8</v>
      </c>
      <c r="K182" s="32" t="s">
        <v>693</v>
      </c>
      <c r="L182" s="32" t="s">
        <v>698</v>
      </c>
      <c r="M182" s="143" t="s">
        <v>2397</v>
      </c>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row>
    <row r="183" spans="1:69">
      <c r="A183" s="143" t="s">
        <v>1070</v>
      </c>
      <c r="B183" s="143" t="s">
        <v>1070</v>
      </c>
      <c r="C183" s="143" t="s">
        <v>1180</v>
      </c>
      <c r="D183" s="143" t="s">
        <v>1448</v>
      </c>
      <c r="E183" s="32"/>
      <c r="F183" s="32" t="s">
        <v>696</v>
      </c>
      <c r="G183" s="143" t="s">
        <v>1115</v>
      </c>
      <c r="H183" s="32">
        <v>7</v>
      </c>
      <c r="I183" s="32">
        <v>0</v>
      </c>
      <c r="J183" s="32">
        <v>8</v>
      </c>
      <c r="K183" s="32" t="s">
        <v>693</v>
      </c>
      <c r="L183" s="32" t="s">
        <v>698</v>
      </c>
      <c r="M183" s="143" t="s">
        <v>2397</v>
      </c>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row>
    <row r="184" spans="1:69">
      <c r="A184" s="143" t="s">
        <v>1071</v>
      </c>
      <c r="B184" s="143" t="s">
        <v>1071</v>
      </c>
      <c r="C184" s="143" t="s">
        <v>1181</v>
      </c>
      <c r="D184" s="143" t="s">
        <v>1449</v>
      </c>
      <c r="E184" s="32"/>
      <c r="F184" s="32" t="s">
        <v>696</v>
      </c>
      <c r="G184" s="143" t="s">
        <v>1116</v>
      </c>
      <c r="H184" s="32">
        <v>7</v>
      </c>
      <c r="I184" s="32">
        <v>0</v>
      </c>
      <c r="J184" s="32">
        <v>8</v>
      </c>
      <c r="K184" s="32" t="s">
        <v>693</v>
      </c>
      <c r="L184" s="32" t="s">
        <v>698</v>
      </c>
      <c r="M184" s="143" t="s">
        <v>2397</v>
      </c>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row>
    <row r="185" spans="1:69">
      <c r="A185" s="143" t="s">
        <v>1072</v>
      </c>
      <c r="B185" s="143" t="s">
        <v>1072</v>
      </c>
      <c r="C185" s="143" t="s">
        <v>1182</v>
      </c>
      <c r="D185" s="143" t="s">
        <v>1450</v>
      </c>
      <c r="E185" s="32"/>
      <c r="F185" s="32" t="s">
        <v>696</v>
      </c>
      <c r="G185" s="143" t="s">
        <v>1117</v>
      </c>
      <c r="H185" s="32">
        <v>7</v>
      </c>
      <c r="I185" s="32">
        <v>0</v>
      </c>
      <c r="J185" s="32">
        <v>8</v>
      </c>
      <c r="K185" s="32" t="s">
        <v>693</v>
      </c>
      <c r="L185" s="32" t="s">
        <v>698</v>
      </c>
      <c r="M185" s="143" t="s">
        <v>2397</v>
      </c>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row>
    <row r="186" spans="1:69">
      <c r="A186" s="143" t="s">
        <v>1073</v>
      </c>
      <c r="B186" s="143" t="s">
        <v>1073</v>
      </c>
      <c r="C186" s="143" t="s">
        <v>1183</v>
      </c>
      <c r="D186" s="143" t="s">
        <v>1451</v>
      </c>
      <c r="E186" s="32"/>
      <c r="F186" s="32" t="s">
        <v>696</v>
      </c>
      <c r="G186" s="143" t="s">
        <v>1118</v>
      </c>
      <c r="H186" s="32">
        <v>7</v>
      </c>
      <c r="I186" s="32">
        <v>0</v>
      </c>
      <c r="J186" s="32">
        <v>8</v>
      </c>
      <c r="K186" s="32" t="s">
        <v>693</v>
      </c>
      <c r="L186" s="32" t="s">
        <v>698</v>
      </c>
      <c r="M186" s="143" t="s">
        <v>2397</v>
      </c>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row>
    <row r="187" spans="1:69">
      <c r="A187" s="143" t="s">
        <v>1074</v>
      </c>
      <c r="B187" s="143" t="s">
        <v>1074</v>
      </c>
      <c r="C187" s="143" t="s">
        <v>1184</v>
      </c>
      <c r="D187" s="143" t="s">
        <v>1452</v>
      </c>
      <c r="E187" s="32"/>
      <c r="F187" s="32" t="s">
        <v>696</v>
      </c>
      <c r="G187" s="143" t="s">
        <v>1119</v>
      </c>
      <c r="H187" s="32">
        <v>7</v>
      </c>
      <c r="I187" s="32">
        <v>0</v>
      </c>
      <c r="J187" s="32">
        <v>8</v>
      </c>
      <c r="K187" s="32" t="s">
        <v>693</v>
      </c>
      <c r="L187" s="32" t="s">
        <v>698</v>
      </c>
      <c r="M187" s="143" t="s">
        <v>2397</v>
      </c>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row>
    <row r="188" spans="1:69">
      <c r="A188" s="143" t="s">
        <v>1075</v>
      </c>
      <c r="B188" s="143" t="s">
        <v>1075</v>
      </c>
      <c r="C188" s="143" t="s">
        <v>1185</v>
      </c>
      <c r="D188" s="143" t="s">
        <v>1453</v>
      </c>
      <c r="E188" s="32"/>
      <c r="F188" s="32" t="s">
        <v>696</v>
      </c>
      <c r="G188" s="143" t="s">
        <v>1120</v>
      </c>
      <c r="H188" s="32">
        <v>7</v>
      </c>
      <c r="I188" s="32">
        <v>0</v>
      </c>
      <c r="J188" s="32">
        <v>8</v>
      </c>
      <c r="K188" s="32" t="s">
        <v>693</v>
      </c>
      <c r="L188" s="32" t="s">
        <v>698</v>
      </c>
      <c r="M188" s="143" t="s">
        <v>2397</v>
      </c>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row>
    <row r="189" spans="1:69">
      <c r="A189" s="143" t="s">
        <v>1076</v>
      </c>
      <c r="B189" s="143" t="s">
        <v>1076</v>
      </c>
      <c r="C189" s="143" t="s">
        <v>1186</v>
      </c>
      <c r="D189" s="143" t="s">
        <v>1454</v>
      </c>
      <c r="E189" s="32"/>
      <c r="F189" s="32" t="s">
        <v>696</v>
      </c>
      <c r="G189" s="143" t="s">
        <v>1121</v>
      </c>
      <c r="H189" s="32">
        <v>7</v>
      </c>
      <c r="I189" s="32">
        <v>0</v>
      </c>
      <c r="J189" s="32">
        <v>8</v>
      </c>
      <c r="K189" s="32" t="s">
        <v>693</v>
      </c>
      <c r="L189" s="32" t="s">
        <v>698</v>
      </c>
      <c r="M189" s="143" t="s">
        <v>2397</v>
      </c>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row>
    <row r="190" spans="1:69">
      <c r="A190" s="143" t="s">
        <v>1077</v>
      </c>
      <c r="B190" s="143" t="s">
        <v>1077</v>
      </c>
      <c r="C190" s="143" t="s">
        <v>1187</v>
      </c>
      <c r="D190" s="143" t="s">
        <v>1455</v>
      </c>
      <c r="E190" s="32"/>
      <c r="F190" s="32" t="s">
        <v>696</v>
      </c>
      <c r="G190" s="143" t="s">
        <v>1122</v>
      </c>
      <c r="H190" s="32">
        <v>7</v>
      </c>
      <c r="I190" s="32">
        <v>0</v>
      </c>
      <c r="J190" s="32">
        <v>8</v>
      </c>
      <c r="K190" s="32" t="s">
        <v>693</v>
      </c>
      <c r="L190" s="32" t="s">
        <v>698</v>
      </c>
      <c r="M190" s="143" t="s">
        <v>2397</v>
      </c>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row>
    <row r="191" spans="1:69">
      <c r="A191" s="143" t="s">
        <v>1078</v>
      </c>
      <c r="B191" s="143" t="s">
        <v>1078</v>
      </c>
      <c r="C191" s="143" t="s">
        <v>1188</v>
      </c>
      <c r="D191" s="143" t="s">
        <v>1456</v>
      </c>
      <c r="E191" s="32"/>
      <c r="F191" s="32" t="s">
        <v>696</v>
      </c>
      <c r="G191" s="143" t="s">
        <v>1123</v>
      </c>
      <c r="H191" s="32">
        <v>7</v>
      </c>
      <c r="I191" s="32">
        <v>0</v>
      </c>
      <c r="J191" s="32">
        <v>8</v>
      </c>
      <c r="K191" s="32" t="s">
        <v>693</v>
      </c>
      <c r="L191" s="32" t="s">
        <v>698</v>
      </c>
      <c r="M191" s="143" t="s">
        <v>2397</v>
      </c>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row>
    <row r="192" spans="1:69">
      <c r="A192" s="143" t="s">
        <v>1079</v>
      </c>
      <c r="B192" s="143" t="s">
        <v>1079</v>
      </c>
      <c r="C192" s="143" t="s">
        <v>1189</v>
      </c>
      <c r="D192" s="143" t="s">
        <v>1457</v>
      </c>
      <c r="E192" s="32"/>
      <c r="F192" s="32" t="s">
        <v>696</v>
      </c>
      <c r="G192" s="143" t="s">
        <v>1237</v>
      </c>
      <c r="H192" s="32">
        <v>7</v>
      </c>
      <c r="I192" s="32">
        <v>0</v>
      </c>
      <c r="J192" s="32">
        <v>8</v>
      </c>
      <c r="K192" s="32" t="s">
        <v>693</v>
      </c>
      <c r="L192" s="32" t="s">
        <v>698</v>
      </c>
      <c r="M192" s="143" t="s">
        <v>2397</v>
      </c>
    </row>
    <row r="193" spans="1:13">
      <c r="A193" s="143" t="s">
        <v>1080</v>
      </c>
      <c r="B193" s="143" t="s">
        <v>1080</v>
      </c>
      <c r="C193" s="143" t="s">
        <v>1190</v>
      </c>
      <c r="D193" s="143" t="s">
        <v>1458</v>
      </c>
      <c r="E193" s="32"/>
      <c r="F193" s="32" t="s">
        <v>696</v>
      </c>
      <c r="G193" s="143" t="s">
        <v>1238</v>
      </c>
      <c r="H193" s="32">
        <v>7</v>
      </c>
      <c r="I193" s="32">
        <v>0</v>
      </c>
      <c r="J193" s="32">
        <v>8</v>
      </c>
      <c r="K193" s="32" t="s">
        <v>693</v>
      </c>
      <c r="L193" s="32" t="s">
        <v>698</v>
      </c>
      <c r="M193" s="143" t="s">
        <v>2397</v>
      </c>
    </row>
    <row r="194" spans="1:13">
      <c r="A194" s="143" t="s">
        <v>1081</v>
      </c>
      <c r="B194" s="143" t="s">
        <v>1081</v>
      </c>
      <c r="C194" s="143" t="s">
        <v>1191</v>
      </c>
      <c r="D194" s="143" t="s">
        <v>1459</v>
      </c>
      <c r="E194" s="32"/>
      <c r="F194" s="32" t="s">
        <v>696</v>
      </c>
      <c r="G194" s="143" t="s">
        <v>1239</v>
      </c>
      <c r="H194" s="32">
        <v>7</v>
      </c>
      <c r="I194" s="32">
        <v>0</v>
      </c>
      <c r="J194" s="32">
        <v>8</v>
      </c>
      <c r="K194" s="32" t="s">
        <v>693</v>
      </c>
      <c r="L194" s="32" t="s">
        <v>698</v>
      </c>
      <c r="M194" s="143" t="s">
        <v>2397</v>
      </c>
    </row>
    <row r="195" spans="1:13">
      <c r="A195" s="143" t="s">
        <v>1082</v>
      </c>
      <c r="B195" s="143" t="s">
        <v>1082</v>
      </c>
      <c r="C195" s="143" t="s">
        <v>1192</v>
      </c>
      <c r="D195" s="143" t="s">
        <v>1460</v>
      </c>
      <c r="E195" s="32"/>
      <c r="F195" s="32" t="s">
        <v>696</v>
      </c>
      <c r="G195" s="143" t="s">
        <v>1240</v>
      </c>
      <c r="H195" s="32">
        <v>7</v>
      </c>
      <c r="I195" s="32">
        <v>0</v>
      </c>
      <c r="J195" s="32">
        <v>8</v>
      </c>
      <c r="K195" s="32" t="s">
        <v>693</v>
      </c>
      <c r="L195" s="32" t="s">
        <v>698</v>
      </c>
      <c r="M195" s="143" t="s">
        <v>2397</v>
      </c>
    </row>
    <row r="196" spans="1:13">
      <c r="A196" s="143" t="s">
        <v>1083</v>
      </c>
      <c r="B196" s="143" t="s">
        <v>1083</v>
      </c>
      <c r="C196" s="143" t="s">
        <v>1193</v>
      </c>
      <c r="D196" s="143" t="s">
        <v>1461</v>
      </c>
      <c r="E196" s="32"/>
      <c r="F196" s="32" t="s">
        <v>696</v>
      </c>
      <c r="G196" s="143" t="s">
        <v>1241</v>
      </c>
      <c r="H196" s="32">
        <v>7</v>
      </c>
      <c r="I196" s="32">
        <v>0</v>
      </c>
      <c r="J196" s="32">
        <v>8</v>
      </c>
      <c r="K196" s="32" t="s">
        <v>693</v>
      </c>
      <c r="L196" s="32" t="s">
        <v>698</v>
      </c>
      <c r="M196" s="143" t="s">
        <v>2397</v>
      </c>
    </row>
    <row r="197" spans="1:13">
      <c r="A197" s="143" t="s">
        <v>1084</v>
      </c>
      <c r="B197" s="143" t="s">
        <v>1084</v>
      </c>
      <c r="C197" s="143" t="s">
        <v>1194</v>
      </c>
      <c r="D197" s="143" t="s">
        <v>1462</v>
      </c>
      <c r="E197" s="32"/>
      <c r="F197" s="32" t="s">
        <v>696</v>
      </c>
      <c r="G197" s="143" t="s">
        <v>1242</v>
      </c>
      <c r="H197" s="32">
        <v>7</v>
      </c>
      <c r="I197" s="32">
        <v>0</v>
      </c>
      <c r="J197" s="32">
        <v>8</v>
      </c>
      <c r="K197" s="32" t="s">
        <v>693</v>
      </c>
      <c r="L197" s="32" t="s">
        <v>698</v>
      </c>
      <c r="M197" s="143" t="s">
        <v>2397</v>
      </c>
    </row>
    <row r="198" spans="1:13">
      <c r="A198" s="143" t="s">
        <v>1085</v>
      </c>
      <c r="B198" s="143" t="s">
        <v>1085</v>
      </c>
      <c r="C198" s="143" t="s">
        <v>1195</v>
      </c>
      <c r="D198" s="143" t="s">
        <v>1463</v>
      </c>
      <c r="E198" s="32"/>
      <c r="F198" s="32" t="s">
        <v>696</v>
      </c>
      <c r="G198" s="143" t="s">
        <v>2399</v>
      </c>
      <c r="H198" s="32">
        <v>7</v>
      </c>
      <c r="I198" s="32">
        <v>0</v>
      </c>
      <c r="J198" s="32">
        <v>8</v>
      </c>
      <c r="K198" s="32" t="s">
        <v>693</v>
      </c>
      <c r="L198" s="32" t="s">
        <v>698</v>
      </c>
      <c r="M198" s="143" t="s">
        <v>2397</v>
      </c>
    </row>
    <row r="199" spans="1:13">
      <c r="A199" s="143" t="s">
        <v>1014</v>
      </c>
      <c r="B199" s="143" t="s">
        <v>1014</v>
      </c>
      <c r="C199" s="143" t="s">
        <v>1196</v>
      </c>
      <c r="D199" s="143" t="s">
        <v>1464</v>
      </c>
      <c r="E199" s="32"/>
      <c r="F199" s="32" t="s">
        <v>696</v>
      </c>
      <c r="G199" s="143" t="s">
        <v>1244</v>
      </c>
      <c r="H199" s="32">
        <v>7</v>
      </c>
      <c r="I199" s="32">
        <v>0</v>
      </c>
      <c r="J199" s="32">
        <v>8</v>
      </c>
      <c r="K199" s="32" t="s">
        <v>693</v>
      </c>
      <c r="L199" s="32" t="s">
        <v>698</v>
      </c>
      <c r="M199" s="143" t="s">
        <v>2397</v>
      </c>
    </row>
    <row r="200" spans="1:13">
      <c r="A200" s="143" t="s">
        <v>1015</v>
      </c>
      <c r="B200" s="143" t="s">
        <v>1015</v>
      </c>
      <c r="C200" s="143" t="s">
        <v>1197</v>
      </c>
      <c r="D200" s="143" t="s">
        <v>1465</v>
      </c>
      <c r="E200" s="32"/>
      <c r="F200" s="32" t="s">
        <v>696</v>
      </c>
      <c r="G200" s="143" t="s">
        <v>1253</v>
      </c>
      <c r="H200" s="32">
        <v>7</v>
      </c>
      <c r="I200" s="32">
        <v>0</v>
      </c>
      <c r="J200" s="32">
        <v>8</v>
      </c>
      <c r="K200" s="32" t="s">
        <v>693</v>
      </c>
      <c r="L200" s="32" t="s">
        <v>698</v>
      </c>
      <c r="M200" s="143" t="s">
        <v>2397</v>
      </c>
    </row>
    <row r="201" spans="1:13">
      <c r="A201" s="143" t="s">
        <v>1016</v>
      </c>
      <c r="B201" s="143" t="s">
        <v>1016</v>
      </c>
      <c r="C201" s="143" t="s">
        <v>1198</v>
      </c>
      <c r="D201" s="143" t="s">
        <v>1466</v>
      </c>
      <c r="E201" s="32"/>
      <c r="F201" s="32" t="s">
        <v>696</v>
      </c>
      <c r="G201" s="143" t="s">
        <v>1245</v>
      </c>
      <c r="H201" s="32">
        <v>7</v>
      </c>
      <c r="I201" s="32">
        <v>0</v>
      </c>
      <c r="J201" s="32">
        <v>8</v>
      </c>
      <c r="K201" s="32" t="s">
        <v>693</v>
      </c>
      <c r="L201" s="32" t="s">
        <v>698</v>
      </c>
      <c r="M201" s="143" t="s">
        <v>2397</v>
      </c>
    </row>
    <row r="202" spans="1:13">
      <c r="A202" s="143" t="s">
        <v>1017</v>
      </c>
      <c r="B202" s="143" t="s">
        <v>1017</v>
      </c>
      <c r="C202" s="143" t="s">
        <v>1199</v>
      </c>
      <c r="D202" s="143" t="s">
        <v>1467</v>
      </c>
      <c r="E202" s="32"/>
      <c r="F202" s="32" t="s">
        <v>696</v>
      </c>
      <c r="G202" s="143" t="s">
        <v>1246</v>
      </c>
      <c r="H202" s="32">
        <v>7</v>
      </c>
      <c r="I202" s="32">
        <v>0</v>
      </c>
      <c r="J202" s="32">
        <v>8</v>
      </c>
      <c r="K202" s="32" t="s">
        <v>693</v>
      </c>
      <c r="L202" s="32" t="s">
        <v>698</v>
      </c>
      <c r="M202" s="143" t="s">
        <v>2397</v>
      </c>
    </row>
    <row r="203" spans="1:13">
      <c r="A203" s="143" t="s">
        <v>1018</v>
      </c>
      <c r="B203" s="143" t="s">
        <v>1018</v>
      </c>
      <c r="C203" s="143" t="s">
        <v>1200</v>
      </c>
      <c r="D203" s="143" t="s">
        <v>1468</v>
      </c>
      <c r="E203" s="32"/>
      <c r="F203" s="32" t="s">
        <v>696</v>
      </c>
      <c r="G203" s="143" t="s">
        <v>1247</v>
      </c>
      <c r="H203" s="32">
        <v>7</v>
      </c>
      <c r="I203" s="32">
        <v>0</v>
      </c>
      <c r="J203" s="32">
        <v>8</v>
      </c>
      <c r="K203" s="32" t="s">
        <v>693</v>
      </c>
      <c r="L203" s="32" t="s">
        <v>698</v>
      </c>
      <c r="M203" s="143" t="s">
        <v>2397</v>
      </c>
    </row>
    <row r="204" spans="1:13">
      <c r="A204" s="143" t="s">
        <v>1019</v>
      </c>
      <c r="B204" s="143" t="s">
        <v>1019</v>
      </c>
      <c r="C204" s="143" t="s">
        <v>1201</v>
      </c>
      <c r="D204" s="143" t="s">
        <v>1469</v>
      </c>
      <c r="E204" s="32"/>
      <c r="F204" s="32" t="s">
        <v>696</v>
      </c>
      <c r="G204" s="143" t="s">
        <v>1248</v>
      </c>
      <c r="H204" s="32">
        <v>7</v>
      </c>
      <c r="I204" s="32">
        <v>0</v>
      </c>
      <c r="J204" s="32">
        <v>8</v>
      </c>
      <c r="K204" s="32" t="s">
        <v>693</v>
      </c>
      <c r="L204" s="32" t="s">
        <v>698</v>
      </c>
      <c r="M204" s="143" t="s">
        <v>2397</v>
      </c>
    </row>
    <row r="205" spans="1:13">
      <c r="A205" s="143" t="s">
        <v>1020</v>
      </c>
      <c r="B205" s="143" t="s">
        <v>1020</v>
      </c>
      <c r="C205" s="143" t="s">
        <v>1202</v>
      </c>
      <c r="D205" s="143" t="s">
        <v>1470</v>
      </c>
      <c r="E205" s="32"/>
      <c r="F205" s="32" t="s">
        <v>696</v>
      </c>
      <c r="G205" s="143" t="s">
        <v>1249</v>
      </c>
      <c r="H205" s="32">
        <v>7</v>
      </c>
      <c r="I205" s="32">
        <v>0</v>
      </c>
      <c r="J205" s="32">
        <v>8</v>
      </c>
      <c r="K205" s="32" t="s">
        <v>693</v>
      </c>
      <c r="L205" s="32" t="s">
        <v>698</v>
      </c>
      <c r="M205" s="143" t="s">
        <v>2397</v>
      </c>
    </row>
    <row r="206" spans="1:13">
      <c r="A206" s="143" t="s">
        <v>1021</v>
      </c>
      <c r="B206" s="143" t="s">
        <v>1021</v>
      </c>
      <c r="C206" s="143" t="s">
        <v>1203</v>
      </c>
      <c r="D206" s="143" t="s">
        <v>1471</v>
      </c>
      <c r="E206" s="32"/>
      <c r="F206" s="32" t="s">
        <v>696</v>
      </c>
      <c r="G206" s="143" t="s">
        <v>2401</v>
      </c>
      <c r="H206" s="32">
        <v>7</v>
      </c>
      <c r="I206" s="32">
        <v>0</v>
      </c>
      <c r="J206" s="32">
        <v>8</v>
      </c>
      <c r="K206" s="32" t="s">
        <v>693</v>
      </c>
      <c r="L206" s="32" t="s">
        <v>698</v>
      </c>
      <c r="M206" s="143" t="s">
        <v>2397</v>
      </c>
    </row>
    <row r="207" spans="1:13">
      <c r="A207" s="143" t="s">
        <v>1022</v>
      </c>
      <c r="B207" s="143" t="s">
        <v>1022</v>
      </c>
      <c r="C207" s="143" t="s">
        <v>1409</v>
      </c>
      <c r="D207" s="143" t="s">
        <v>1472</v>
      </c>
      <c r="E207" s="32"/>
      <c r="F207" s="32" t="s">
        <v>696</v>
      </c>
      <c r="G207" s="143" t="s">
        <v>1251</v>
      </c>
      <c r="H207" s="32">
        <v>7</v>
      </c>
      <c r="I207" s="32">
        <v>0</v>
      </c>
      <c r="J207" s="32">
        <v>8</v>
      </c>
      <c r="K207" s="32" t="s">
        <v>693</v>
      </c>
      <c r="L207" s="32" t="s">
        <v>698</v>
      </c>
      <c r="M207" s="143" t="s">
        <v>2397</v>
      </c>
    </row>
    <row r="208" spans="1:13">
      <c r="A208" s="143" t="s">
        <v>1023</v>
      </c>
      <c r="B208" s="143" t="s">
        <v>1023</v>
      </c>
      <c r="C208" s="143" t="s">
        <v>1410</v>
      </c>
      <c r="D208" s="143" t="s">
        <v>1473</v>
      </c>
      <c r="E208" s="32"/>
      <c r="F208" s="32" t="s">
        <v>696</v>
      </c>
      <c r="G208" s="210" t="s">
        <v>2402</v>
      </c>
      <c r="H208" s="32">
        <v>31</v>
      </c>
      <c r="I208" s="32">
        <v>0</v>
      </c>
      <c r="J208" s="32">
        <v>32</v>
      </c>
      <c r="K208" s="32" t="s">
        <v>693</v>
      </c>
      <c r="L208" s="32" t="s">
        <v>698</v>
      </c>
      <c r="M208" s="143" t="s">
        <v>2404</v>
      </c>
    </row>
    <row r="209" spans="1:13">
      <c r="A209" s="143" t="s">
        <v>1498</v>
      </c>
      <c r="B209" s="143" t="s">
        <v>1498</v>
      </c>
      <c r="C209" s="143" t="s">
        <v>1500</v>
      </c>
      <c r="D209" s="143" t="s">
        <v>1502</v>
      </c>
      <c r="E209" s="32"/>
      <c r="F209" s="32" t="s">
        <v>696</v>
      </c>
      <c r="G209" s="209" t="s">
        <v>2403</v>
      </c>
      <c r="H209" s="32">
        <v>31</v>
      </c>
      <c r="I209" s="32">
        <v>0</v>
      </c>
      <c r="J209" s="32">
        <v>32</v>
      </c>
      <c r="K209" s="32" t="s">
        <v>693</v>
      </c>
      <c r="L209" s="143" t="s">
        <v>929</v>
      </c>
      <c r="M209" s="143" t="s">
        <v>2405</v>
      </c>
    </row>
    <row r="210" spans="1:13">
      <c r="A210" s="143" t="s">
        <v>1499</v>
      </c>
      <c r="B210" s="143" t="s">
        <v>1499</v>
      </c>
      <c r="C210" s="143" t="s">
        <v>1501</v>
      </c>
      <c r="D210" s="143" t="s">
        <v>1503</v>
      </c>
      <c r="E210" s="32"/>
      <c r="F210" s="32" t="s">
        <v>696</v>
      </c>
      <c r="G210" s="127" t="s">
        <v>1530</v>
      </c>
      <c r="H210" s="32">
        <v>23</v>
      </c>
      <c r="I210" s="32">
        <v>0</v>
      </c>
      <c r="J210" s="32">
        <v>24</v>
      </c>
      <c r="K210" s="150" t="s">
        <v>1477</v>
      </c>
      <c r="L210" s="143" t="s">
        <v>972</v>
      </c>
      <c r="M210" s="127" t="s">
        <v>1531</v>
      </c>
    </row>
    <row r="211" spans="1:13">
      <c r="A211" s="143" t="s">
        <v>1504</v>
      </c>
      <c r="B211" s="143" t="s">
        <v>1504</v>
      </c>
      <c r="C211" s="143" t="s">
        <v>1505</v>
      </c>
      <c r="D211" s="143" t="s">
        <v>1506</v>
      </c>
      <c r="E211" s="32"/>
      <c r="F211" s="32" t="s">
        <v>696</v>
      </c>
      <c r="G211" s="127" t="s">
        <v>1532</v>
      </c>
      <c r="H211" s="32">
        <v>23</v>
      </c>
      <c r="I211" s="32">
        <v>0</v>
      </c>
      <c r="J211" s="32">
        <v>24</v>
      </c>
      <c r="K211" s="150" t="s">
        <v>1477</v>
      </c>
      <c r="L211" s="143" t="s">
        <v>972</v>
      </c>
      <c r="M211" s="127" t="s">
        <v>1533</v>
      </c>
    </row>
    <row r="212" spans="1:13">
      <c r="A212" s="143" t="s">
        <v>1520</v>
      </c>
      <c r="B212" s="143" t="s">
        <v>1520</v>
      </c>
      <c r="C212" s="143" t="s">
        <v>1521</v>
      </c>
      <c r="D212" s="143" t="s">
        <v>1522</v>
      </c>
      <c r="E212" s="32"/>
      <c r="F212" s="32" t="s">
        <v>696</v>
      </c>
      <c r="G212" s="127" t="s">
        <v>1513</v>
      </c>
      <c r="H212" s="32">
        <v>23</v>
      </c>
      <c r="I212" s="32">
        <v>0</v>
      </c>
      <c r="J212" s="32">
        <v>24</v>
      </c>
      <c r="K212" s="150" t="s">
        <v>1477</v>
      </c>
      <c r="L212" s="143" t="s">
        <v>972</v>
      </c>
      <c r="M212" s="127" t="s">
        <v>1514</v>
      </c>
    </row>
    <row r="213" spans="1:13">
      <c r="A213" s="143" t="s">
        <v>1544</v>
      </c>
      <c r="B213" s="143" t="s">
        <v>1544</v>
      </c>
      <c r="C213" s="143" t="s">
        <v>1545</v>
      </c>
      <c r="D213" s="143" t="s">
        <v>1549</v>
      </c>
      <c r="E213" s="32"/>
      <c r="F213" s="32" t="s">
        <v>696</v>
      </c>
      <c r="G213" s="143" t="s">
        <v>1557</v>
      </c>
      <c r="H213" s="32">
        <v>7</v>
      </c>
      <c r="I213" s="32">
        <v>0</v>
      </c>
      <c r="J213" s="32">
        <v>8</v>
      </c>
      <c r="K213" s="32" t="s">
        <v>693</v>
      </c>
      <c r="L213" s="32" t="s">
        <v>698</v>
      </c>
      <c r="M213" s="143" t="s">
        <v>1559</v>
      </c>
    </row>
    <row r="214" spans="1:13">
      <c r="A214" s="143"/>
      <c r="B214" s="143"/>
      <c r="F214" s="32" t="s">
        <v>696</v>
      </c>
      <c r="G214" s="143" t="s">
        <v>1558</v>
      </c>
      <c r="H214" s="32">
        <v>15</v>
      </c>
      <c r="I214" s="32">
        <v>8</v>
      </c>
      <c r="J214" s="32">
        <v>8</v>
      </c>
      <c r="K214" s="32" t="s">
        <v>693</v>
      </c>
      <c r="L214" s="32" t="s">
        <v>698</v>
      </c>
      <c r="M214" s="143" t="s">
        <v>1560</v>
      </c>
    </row>
    <row r="215" spans="1:13">
      <c r="A215" s="143" t="s">
        <v>1573</v>
      </c>
      <c r="B215" s="143" t="s">
        <v>1573</v>
      </c>
      <c r="C215" s="143" t="s">
        <v>1546</v>
      </c>
      <c r="D215" s="143" t="s">
        <v>1550</v>
      </c>
      <c r="F215" s="32" t="s">
        <v>696</v>
      </c>
      <c r="G215" s="143" t="s">
        <v>1561</v>
      </c>
      <c r="H215" s="32">
        <v>7</v>
      </c>
      <c r="I215" s="32">
        <v>0</v>
      </c>
      <c r="J215" s="32">
        <v>8</v>
      </c>
      <c r="K215" s="32" t="s">
        <v>693</v>
      </c>
      <c r="L215" s="32" t="s">
        <v>698</v>
      </c>
      <c r="M215" s="143" t="s">
        <v>1563</v>
      </c>
    </row>
    <row r="216" spans="1:13">
      <c r="A216" s="143"/>
      <c r="B216" s="143"/>
      <c r="E216" s="32"/>
      <c r="F216" s="32" t="s">
        <v>696</v>
      </c>
      <c r="G216" s="143" t="s">
        <v>1562</v>
      </c>
      <c r="H216" s="32">
        <v>15</v>
      </c>
      <c r="I216" s="32">
        <v>8</v>
      </c>
      <c r="J216" s="32">
        <v>8</v>
      </c>
      <c r="K216" s="32" t="s">
        <v>693</v>
      </c>
      <c r="L216" s="32" t="s">
        <v>698</v>
      </c>
      <c r="M216" s="143" t="s">
        <v>1564</v>
      </c>
    </row>
    <row r="217" spans="1:13">
      <c r="A217" s="143" t="s">
        <v>1596</v>
      </c>
      <c r="B217" s="143" t="s">
        <v>1596</v>
      </c>
      <c r="C217" s="143" t="s">
        <v>1597</v>
      </c>
      <c r="D217" s="143" t="s">
        <v>1598</v>
      </c>
      <c r="E217" s="32"/>
      <c r="F217" s="32" t="s">
        <v>696</v>
      </c>
      <c r="G217" s="143" t="s">
        <v>1599</v>
      </c>
      <c r="H217" s="32">
        <v>7</v>
      </c>
      <c r="I217" s="32">
        <v>0</v>
      </c>
      <c r="J217" s="32">
        <v>8</v>
      </c>
      <c r="K217" s="150" t="s">
        <v>1604</v>
      </c>
      <c r="L217" s="150" t="s">
        <v>1605</v>
      </c>
      <c r="M217" s="150" t="s">
        <v>1599</v>
      </c>
    </row>
    <row r="218" spans="1:13">
      <c r="A218" s="143"/>
      <c r="B218" s="143"/>
      <c r="E218" s="32"/>
      <c r="F218" s="32" t="s">
        <v>696</v>
      </c>
      <c r="G218" s="150" t="s">
        <v>1600</v>
      </c>
      <c r="H218" s="32">
        <v>15</v>
      </c>
      <c r="I218" s="32">
        <v>8</v>
      </c>
      <c r="J218" s="32">
        <v>8</v>
      </c>
      <c r="K218" s="150" t="s">
        <v>1604</v>
      </c>
      <c r="L218" s="150" t="s">
        <v>1605</v>
      </c>
      <c r="M218" s="150" t="s">
        <v>1600</v>
      </c>
    </row>
    <row r="219" spans="1:13">
      <c r="A219" s="143"/>
      <c r="B219" s="143"/>
      <c r="E219" s="32"/>
      <c r="F219" s="32" t="s">
        <v>696</v>
      </c>
      <c r="G219" s="143" t="s">
        <v>1603</v>
      </c>
      <c r="H219" s="32">
        <v>23</v>
      </c>
      <c r="I219" s="32">
        <v>16</v>
      </c>
      <c r="J219" s="32">
        <v>8</v>
      </c>
      <c r="K219" s="143" t="s">
        <v>1606</v>
      </c>
      <c r="L219" s="150" t="s">
        <v>1605</v>
      </c>
      <c r="M219" s="150" t="s">
        <v>1603</v>
      </c>
    </row>
    <row r="220" spans="1:13">
      <c r="A220" s="143"/>
      <c r="B220" s="143"/>
      <c r="E220" s="32"/>
      <c r="F220" s="32" t="s">
        <v>696</v>
      </c>
      <c r="G220" s="150" t="s">
        <v>1602</v>
      </c>
      <c r="H220" s="32">
        <v>24</v>
      </c>
      <c r="I220" s="32">
        <v>24</v>
      </c>
      <c r="J220" s="32">
        <v>1</v>
      </c>
      <c r="K220" s="143" t="s">
        <v>1607</v>
      </c>
      <c r="L220" s="150" t="s">
        <v>1605</v>
      </c>
      <c r="M220" s="150" t="s">
        <v>1602</v>
      </c>
    </row>
    <row r="221" spans="1:13">
      <c r="A221" s="143"/>
      <c r="B221" s="143"/>
      <c r="D221" s="150"/>
      <c r="E221" s="32"/>
      <c r="F221" s="32" t="s">
        <v>696</v>
      </c>
      <c r="G221" s="150" t="s">
        <v>1601</v>
      </c>
      <c r="H221" s="32">
        <v>25</v>
      </c>
      <c r="I221" s="32">
        <v>25</v>
      </c>
      <c r="J221" s="32">
        <v>1</v>
      </c>
      <c r="K221" s="143" t="s">
        <v>1607</v>
      </c>
      <c r="L221" s="150" t="s">
        <v>1605</v>
      </c>
      <c r="M221" s="150" t="s">
        <v>1601</v>
      </c>
    </row>
    <row r="222" spans="1:13">
      <c r="A222" s="143" t="s">
        <v>1618</v>
      </c>
      <c r="B222" s="143" t="s">
        <v>1618</v>
      </c>
      <c r="C222" s="143" t="s">
        <v>1619</v>
      </c>
      <c r="D222" s="143" t="s">
        <v>1620</v>
      </c>
      <c r="E222" s="32"/>
      <c r="F222" s="32" t="s">
        <v>696</v>
      </c>
      <c r="G222" s="127" t="s">
        <v>1621</v>
      </c>
      <c r="H222" s="32">
        <v>23</v>
      </c>
      <c r="I222" s="32">
        <v>0</v>
      </c>
      <c r="J222" s="32">
        <v>24</v>
      </c>
      <c r="K222" s="150" t="s">
        <v>1290</v>
      </c>
      <c r="L222" s="143" t="s">
        <v>972</v>
      </c>
      <c r="M222" s="127" t="s">
        <v>1622</v>
      </c>
    </row>
    <row r="223" spans="1:13">
      <c r="A223" s="143" t="s">
        <v>1691</v>
      </c>
      <c r="B223" s="143" t="s">
        <v>1690</v>
      </c>
      <c r="C223" s="143" t="s">
        <v>1694</v>
      </c>
      <c r="D223" s="143" t="s">
        <v>1693</v>
      </c>
      <c r="E223" s="32"/>
      <c r="F223" s="32" t="s">
        <v>696</v>
      </c>
      <c r="G223" s="143" t="s">
        <v>1698</v>
      </c>
      <c r="H223" s="32">
        <v>0</v>
      </c>
      <c r="I223" s="32">
        <v>0</v>
      </c>
      <c r="J223" s="32">
        <v>1</v>
      </c>
      <c r="K223" s="32" t="s">
        <v>693</v>
      </c>
      <c r="L223" s="32" t="s">
        <v>698</v>
      </c>
      <c r="M223" s="143" t="s">
        <v>1697</v>
      </c>
    </row>
    <row r="224" spans="1:13">
      <c r="A224" s="32"/>
      <c r="B224" s="32"/>
      <c r="C224" s="32"/>
      <c r="D224" s="32"/>
      <c r="E224" s="32"/>
      <c r="F224" s="32" t="s">
        <v>696</v>
      </c>
      <c r="G224" s="143" t="s">
        <v>1699</v>
      </c>
      <c r="H224" s="32">
        <v>1</v>
      </c>
      <c r="I224" s="32">
        <v>1</v>
      </c>
      <c r="J224" s="32">
        <v>1</v>
      </c>
      <c r="K224" s="32" t="s">
        <v>693</v>
      </c>
      <c r="L224" s="32" t="s">
        <v>698</v>
      </c>
      <c r="M224" s="143" t="s">
        <v>1705</v>
      </c>
    </row>
    <row r="225" spans="1:13">
      <c r="A225" s="143" t="s">
        <v>1692</v>
      </c>
      <c r="B225" s="143" t="s">
        <v>1692</v>
      </c>
      <c r="C225" s="143" t="s">
        <v>1695</v>
      </c>
      <c r="D225" s="143" t="s">
        <v>1696</v>
      </c>
      <c r="E225" s="32"/>
      <c r="F225" s="32" t="s">
        <v>696</v>
      </c>
      <c r="G225" s="143" t="s">
        <v>1700</v>
      </c>
      <c r="H225" s="32">
        <v>9</v>
      </c>
      <c r="I225" s="32">
        <v>0</v>
      </c>
      <c r="J225" s="32">
        <v>10</v>
      </c>
      <c r="K225" s="32" t="s">
        <v>693</v>
      </c>
      <c r="L225" s="32" t="s">
        <v>698</v>
      </c>
      <c r="M225" s="32" t="s">
        <v>805</v>
      </c>
    </row>
    <row r="226" spans="1:13">
      <c r="A226" s="32"/>
      <c r="B226" s="32"/>
      <c r="C226" s="32"/>
      <c r="D226" s="32"/>
      <c r="E226" s="32"/>
      <c r="F226" s="32" t="s">
        <v>696</v>
      </c>
      <c r="G226" s="143" t="s">
        <v>1701</v>
      </c>
      <c r="H226" s="32">
        <v>19</v>
      </c>
      <c r="I226" s="32">
        <v>10</v>
      </c>
      <c r="J226" s="32">
        <v>10</v>
      </c>
      <c r="K226" s="32" t="s">
        <v>693</v>
      </c>
      <c r="L226" s="32" t="s">
        <v>698</v>
      </c>
      <c r="M226" s="32" t="s">
        <v>806</v>
      </c>
    </row>
    <row r="227" spans="1:13">
      <c r="A227" s="143" t="s">
        <v>1710</v>
      </c>
      <c r="B227" s="143" t="s">
        <v>1710</v>
      </c>
      <c r="C227" s="143" t="s">
        <v>1708</v>
      </c>
      <c r="D227" s="143" t="s">
        <v>1709</v>
      </c>
      <c r="E227" s="32"/>
      <c r="F227" s="32" t="s">
        <v>696</v>
      </c>
      <c r="G227" s="143" t="s">
        <v>1711</v>
      </c>
      <c r="H227" s="32">
        <v>7</v>
      </c>
      <c r="I227" s="32">
        <v>0</v>
      </c>
      <c r="J227" s="32">
        <v>8</v>
      </c>
      <c r="K227" s="143" t="s">
        <v>1713</v>
      </c>
      <c r="L227" s="32" t="s">
        <v>698</v>
      </c>
      <c r="M227" s="143" t="s">
        <v>1712</v>
      </c>
    </row>
    <row r="228" spans="1:13">
      <c r="A228" s="32"/>
      <c r="B228" s="32"/>
      <c r="C228" s="32"/>
      <c r="D228" s="32"/>
      <c r="E228" s="32"/>
      <c r="F228" s="32" t="s">
        <v>696</v>
      </c>
      <c r="G228" s="143" t="s">
        <v>1706</v>
      </c>
      <c r="H228" s="32">
        <v>15</v>
      </c>
      <c r="I228" s="32">
        <v>8</v>
      </c>
      <c r="J228" s="32">
        <v>8</v>
      </c>
      <c r="K228" s="143" t="s">
        <v>1714</v>
      </c>
      <c r="L228" s="32" t="s">
        <v>698</v>
      </c>
      <c r="M228" s="143" t="s">
        <v>1707</v>
      </c>
    </row>
    <row r="229" spans="1:13">
      <c r="A229" s="143" t="s">
        <v>1722</v>
      </c>
      <c r="B229" s="143" t="s">
        <v>1722</v>
      </c>
      <c r="C229" s="143" t="s">
        <v>1723</v>
      </c>
      <c r="D229" s="143" t="s">
        <v>1724</v>
      </c>
      <c r="E229" s="32"/>
      <c r="F229" s="32" t="s">
        <v>696</v>
      </c>
      <c r="G229" s="143" t="s">
        <v>1727</v>
      </c>
      <c r="H229" s="32">
        <v>2</v>
      </c>
      <c r="I229" s="32">
        <v>0</v>
      </c>
      <c r="J229" s="32">
        <v>3</v>
      </c>
      <c r="K229" s="143" t="s">
        <v>1729</v>
      </c>
      <c r="L229" s="32" t="s">
        <v>698</v>
      </c>
      <c r="M229" s="143" t="s">
        <v>1730</v>
      </c>
    </row>
    <row r="230" spans="1:13">
      <c r="A230" s="32"/>
      <c r="B230" s="32"/>
      <c r="C230" s="32"/>
      <c r="D230" s="32"/>
      <c r="E230" s="32"/>
      <c r="F230" s="32" t="s">
        <v>696</v>
      </c>
      <c r="G230" s="143" t="s">
        <v>1728</v>
      </c>
      <c r="H230" s="32">
        <v>5</v>
      </c>
      <c r="I230" s="32">
        <v>3</v>
      </c>
      <c r="J230" s="32">
        <v>3</v>
      </c>
      <c r="K230" s="143" t="s">
        <v>1725</v>
      </c>
      <c r="L230" s="32" t="s">
        <v>698</v>
      </c>
      <c r="M230" s="143" t="s">
        <v>1731</v>
      </c>
    </row>
    <row r="231" spans="1:13">
      <c r="A231" s="143" t="s">
        <v>1781</v>
      </c>
      <c r="B231" s="143" t="s">
        <v>1781</v>
      </c>
      <c r="C231" s="143" t="s">
        <v>1782</v>
      </c>
      <c r="D231" s="143" t="s">
        <v>1783</v>
      </c>
      <c r="E231" s="32"/>
      <c r="F231" s="32" t="s">
        <v>696</v>
      </c>
      <c r="G231" s="143" t="s">
        <v>1784</v>
      </c>
      <c r="H231" s="32">
        <v>3</v>
      </c>
      <c r="I231" s="32">
        <v>0</v>
      </c>
      <c r="J231" s="32">
        <v>4</v>
      </c>
      <c r="K231" s="143" t="s">
        <v>1785</v>
      </c>
      <c r="L231" s="32" t="s">
        <v>698</v>
      </c>
      <c r="M231" s="143" t="s">
        <v>1786</v>
      </c>
    </row>
    <row r="232" spans="1:13" ht="41.25">
      <c r="A232" s="143" t="s">
        <v>1935</v>
      </c>
      <c r="B232" s="143" t="s">
        <v>1935</v>
      </c>
      <c r="C232" s="143" t="s">
        <v>1936</v>
      </c>
      <c r="D232" s="143" t="s">
        <v>1937</v>
      </c>
      <c r="E232" s="32"/>
      <c r="F232" s="32" t="s">
        <v>966</v>
      </c>
      <c r="G232" s="215" t="s">
        <v>1943</v>
      </c>
      <c r="H232" s="146">
        <v>0</v>
      </c>
      <c r="I232" s="146">
        <v>0</v>
      </c>
      <c r="J232" s="32">
        <v>1</v>
      </c>
      <c r="K232" s="150" t="s">
        <v>1290</v>
      </c>
      <c r="L232" s="143" t="s">
        <v>1282</v>
      </c>
      <c r="M232" s="144" t="s">
        <v>1939</v>
      </c>
    </row>
    <row r="233" spans="1:13" ht="41.25">
      <c r="A233" s="143"/>
      <c r="B233" s="143"/>
      <c r="C233" s="143"/>
      <c r="D233" s="143"/>
      <c r="E233" s="32"/>
      <c r="F233" s="32" t="s">
        <v>696</v>
      </c>
      <c r="G233" s="216" t="s">
        <v>1962</v>
      </c>
      <c r="H233" s="32">
        <v>5</v>
      </c>
      <c r="I233" s="32">
        <v>5</v>
      </c>
      <c r="J233" s="32">
        <v>1</v>
      </c>
      <c r="K233" s="32" t="s">
        <v>693</v>
      </c>
      <c r="L233" s="143" t="s">
        <v>1282</v>
      </c>
      <c r="M233" s="144" t="s">
        <v>1956</v>
      </c>
    </row>
    <row r="234" spans="1:13" ht="41.25">
      <c r="A234" s="143" t="s">
        <v>1946</v>
      </c>
      <c r="B234" s="143" t="s">
        <v>1946</v>
      </c>
      <c r="C234" s="143" t="s">
        <v>1945</v>
      </c>
      <c r="D234" s="143" t="s">
        <v>1944</v>
      </c>
      <c r="E234" s="32"/>
      <c r="F234" s="32" t="s">
        <v>696</v>
      </c>
      <c r="G234" s="216" t="s">
        <v>1938</v>
      </c>
      <c r="H234" s="32">
        <v>0</v>
      </c>
      <c r="I234" s="32">
        <v>0</v>
      </c>
      <c r="J234" s="32">
        <v>1</v>
      </c>
      <c r="K234" s="32" t="s">
        <v>693</v>
      </c>
      <c r="L234" s="32" t="s">
        <v>743</v>
      </c>
      <c r="M234" s="144" t="s">
        <v>500</v>
      </c>
    </row>
    <row r="235" spans="1:13" ht="41.25">
      <c r="A235" s="143"/>
      <c r="B235" s="143"/>
      <c r="C235" s="143"/>
      <c r="D235" s="143"/>
      <c r="E235" s="32"/>
      <c r="F235" s="32" t="s">
        <v>696</v>
      </c>
      <c r="G235" s="216" t="s">
        <v>1951</v>
      </c>
      <c r="H235" s="32">
        <v>5</v>
      </c>
      <c r="I235" s="32">
        <v>5</v>
      </c>
      <c r="J235" s="32">
        <v>1</v>
      </c>
      <c r="K235" s="32" t="s">
        <v>693</v>
      </c>
      <c r="L235" s="32" t="s">
        <v>743</v>
      </c>
      <c r="M235" s="144" t="s">
        <v>500</v>
      </c>
    </row>
    <row r="236" spans="1:13">
      <c r="A236" s="143" t="s">
        <v>2333</v>
      </c>
      <c r="B236" s="143" t="s">
        <v>2333</v>
      </c>
      <c r="C236" s="143" t="s">
        <v>2334</v>
      </c>
      <c r="D236" s="143" t="s">
        <v>2335</v>
      </c>
      <c r="E236" s="32"/>
      <c r="F236" s="32" t="s">
        <v>696</v>
      </c>
      <c r="G236" s="215" t="s">
        <v>2336</v>
      </c>
      <c r="H236" s="32">
        <v>0</v>
      </c>
      <c r="I236" s="32">
        <v>0</v>
      </c>
      <c r="J236" s="32">
        <v>1</v>
      </c>
      <c r="K236" s="150" t="s">
        <v>1290</v>
      </c>
      <c r="L236" s="143" t="s">
        <v>929</v>
      </c>
      <c r="M236" s="127" t="s">
        <v>2337</v>
      </c>
    </row>
    <row r="237" spans="1:13" ht="54.75">
      <c r="A237" s="32"/>
      <c r="B237" s="32"/>
      <c r="C237" s="32"/>
      <c r="D237" s="32"/>
      <c r="E237" s="32"/>
      <c r="F237" s="32" t="s">
        <v>696</v>
      </c>
      <c r="G237" s="143" t="s">
        <v>1744</v>
      </c>
      <c r="H237" s="32">
        <v>9</v>
      </c>
      <c r="I237" s="32">
        <v>8</v>
      </c>
      <c r="J237" s="32">
        <v>2</v>
      </c>
      <c r="K237" s="32" t="s">
        <v>693</v>
      </c>
      <c r="L237" s="32" t="s">
        <v>698</v>
      </c>
      <c r="M237" s="144" t="s">
        <v>1743</v>
      </c>
    </row>
    <row r="238" spans="1:13">
      <c r="A238" s="32"/>
      <c r="B238" s="32"/>
      <c r="C238" s="32"/>
      <c r="D238" s="32"/>
      <c r="E238" s="32"/>
      <c r="F238" s="32" t="s">
        <v>696</v>
      </c>
      <c r="G238" s="143" t="s">
        <v>923</v>
      </c>
      <c r="H238" s="32">
        <v>10</v>
      </c>
      <c r="I238" s="32">
        <v>10</v>
      </c>
      <c r="J238" s="32">
        <v>1</v>
      </c>
      <c r="K238" s="32" t="s">
        <v>693</v>
      </c>
      <c r="L238" s="32" t="s">
        <v>698</v>
      </c>
      <c r="M238" s="144" t="s">
        <v>924</v>
      </c>
    </row>
    <row r="239" spans="1:13" ht="40.5">
      <c r="A239" s="143" t="s">
        <v>1099</v>
      </c>
      <c r="B239" s="143" t="s">
        <v>1099</v>
      </c>
      <c r="C239" s="143" t="s">
        <v>2406</v>
      </c>
      <c r="D239" s="143" t="s">
        <v>2407</v>
      </c>
      <c r="E239" s="32"/>
      <c r="F239" s="32" t="s">
        <v>696</v>
      </c>
      <c r="G239" s="210" t="s">
        <v>2412</v>
      </c>
      <c r="H239" s="32">
        <v>0</v>
      </c>
      <c r="I239" s="32">
        <v>0</v>
      </c>
      <c r="J239" s="32">
        <v>1</v>
      </c>
      <c r="K239" s="150" t="s">
        <v>1290</v>
      </c>
      <c r="L239" s="143" t="s">
        <v>929</v>
      </c>
      <c r="M239" s="228" t="s">
        <v>2413</v>
      </c>
    </row>
    <row r="240" spans="1:13" ht="40.5">
      <c r="A240" s="143"/>
      <c r="B240" s="143"/>
      <c r="C240" s="143"/>
      <c r="D240" s="143"/>
      <c r="E240" s="32"/>
      <c r="F240" s="32"/>
      <c r="G240" s="210" t="s">
        <v>2421</v>
      </c>
      <c r="H240" s="32">
        <v>1</v>
      </c>
      <c r="I240" s="32">
        <v>1</v>
      </c>
      <c r="J240" s="32">
        <v>1</v>
      </c>
      <c r="K240" s="143" t="s">
        <v>2414</v>
      </c>
      <c r="L240" s="143" t="s">
        <v>929</v>
      </c>
      <c r="M240" s="228" t="s">
        <v>2424</v>
      </c>
    </row>
    <row r="241" spans="1:13" ht="40.5">
      <c r="A241" s="143"/>
      <c r="B241" s="143"/>
      <c r="C241" s="143"/>
      <c r="D241" s="143"/>
      <c r="E241" s="32"/>
      <c r="F241" s="32"/>
      <c r="G241" s="210" t="s">
        <v>2422</v>
      </c>
      <c r="H241" s="32">
        <v>2</v>
      </c>
      <c r="I241" s="32">
        <v>2</v>
      </c>
      <c r="J241" s="32">
        <v>1</v>
      </c>
      <c r="K241" s="150" t="s">
        <v>2415</v>
      </c>
      <c r="L241" s="143" t="s">
        <v>929</v>
      </c>
      <c r="M241" s="228" t="s">
        <v>2425</v>
      </c>
    </row>
    <row r="242" spans="1:13" ht="40.5">
      <c r="A242" s="143"/>
      <c r="B242" s="143"/>
      <c r="C242" s="143"/>
      <c r="D242" s="143"/>
      <c r="E242" s="32"/>
      <c r="F242" s="32"/>
      <c r="G242" s="210" t="s">
        <v>2423</v>
      </c>
      <c r="H242" s="32">
        <v>3</v>
      </c>
      <c r="I242" s="32">
        <v>3</v>
      </c>
      <c r="J242" s="32">
        <v>1</v>
      </c>
      <c r="K242" s="143" t="s">
        <v>2415</v>
      </c>
      <c r="L242" s="143" t="s">
        <v>929</v>
      </c>
      <c r="M242" s="228" t="s">
        <v>2426</v>
      </c>
    </row>
    <row r="243" spans="1:13" ht="40.5">
      <c r="A243" s="143"/>
      <c r="B243" s="143"/>
      <c r="C243" s="143"/>
      <c r="D243" s="143"/>
      <c r="E243" s="32"/>
      <c r="F243" s="32"/>
      <c r="G243" s="210" t="s">
        <v>2428</v>
      </c>
      <c r="H243" s="32">
        <v>4</v>
      </c>
      <c r="I243" s="32">
        <v>4</v>
      </c>
      <c r="J243" s="32">
        <v>1</v>
      </c>
      <c r="K243" s="150" t="s">
        <v>2415</v>
      </c>
      <c r="L243" s="143" t="s">
        <v>929</v>
      </c>
      <c r="M243" s="228" t="s">
        <v>2427</v>
      </c>
    </row>
    <row r="244" spans="1:13" ht="40.5">
      <c r="A244" s="143" t="s">
        <v>1100</v>
      </c>
      <c r="B244" s="143" t="s">
        <v>1100</v>
      </c>
      <c r="C244" s="143" t="s">
        <v>2408</v>
      </c>
      <c r="D244" s="143" t="s">
        <v>2409</v>
      </c>
      <c r="E244" s="32"/>
      <c r="F244" s="32" t="s">
        <v>696</v>
      </c>
      <c r="G244" s="210" t="s">
        <v>2411</v>
      </c>
      <c r="H244" s="32">
        <v>0</v>
      </c>
      <c r="I244" s="32">
        <v>0</v>
      </c>
      <c r="J244" s="32">
        <v>1</v>
      </c>
      <c r="K244" s="150" t="s">
        <v>1290</v>
      </c>
      <c r="L244" s="143" t="s">
        <v>968</v>
      </c>
      <c r="M244" s="228" t="s">
        <v>2410</v>
      </c>
    </row>
    <row r="245" spans="1:13" ht="40.5">
      <c r="A245" s="32"/>
      <c r="B245" s="32"/>
      <c r="C245" s="32"/>
      <c r="D245" s="32"/>
      <c r="E245" s="32"/>
      <c r="F245" s="32"/>
      <c r="G245" s="210" t="s">
        <v>2418</v>
      </c>
      <c r="H245" s="32">
        <v>1</v>
      </c>
      <c r="I245" s="32">
        <v>1</v>
      </c>
      <c r="J245" s="32">
        <v>1</v>
      </c>
      <c r="K245" s="143" t="s">
        <v>2414</v>
      </c>
      <c r="L245" s="143" t="s">
        <v>968</v>
      </c>
      <c r="M245" s="228" t="s">
        <v>2416</v>
      </c>
    </row>
    <row r="246" spans="1:13" ht="40.5">
      <c r="A246" s="32"/>
      <c r="B246" s="32"/>
      <c r="C246" s="32"/>
      <c r="D246" s="32"/>
      <c r="E246" s="32"/>
      <c r="F246" s="32"/>
      <c r="G246" s="210" t="s">
        <v>2419</v>
      </c>
      <c r="H246" s="32">
        <v>2</v>
      </c>
      <c r="I246" s="32">
        <v>2</v>
      </c>
      <c r="J246" s="32">
        <v>1</v>
      </c>
      <c r="K246" s="150" t="s">
        <v>2415</v>
      </c>
      <c r="L246" s="143" t="s">
        <v>968</v>
      </c>
      <c r="M246" s="228" t="s">
        <v>2417</v>
      </c>
    </row>
    <row r="247" spans="1:13" ht="40.5">
      <c r="A247" s="32"/>
      <c r="B247" s="32"/>
      <c r="C247" s="32"/>
      <c r="D247" s="32"/>
      <c r="E247" s="32"/>
      <c r="F247" s="32"/>
      <c r="G247" s="210" t="s">
        <v>2420</v>
      </c>
      <c r="H247" s="32">
        <v>3</v>
      </c>
      <c r="I247" s="32">
        <v>3</v>
      </c>
      <c r="J247" s="32">
        <v>1</v>
      </c>
      <c r="K247" s="143" t="s">
        <v>2414</v>
      </c>
      <c r="L247" s="143" t="s">
        <v>968</v>
      </c>
      <c r="M247" s="228" t="s">
        <v>295</v>
      </c>
    </row>
    <row r="248" spans="1:13" ht="40.5">
      <c r="A248" s="32"/>
      <c r="B248" s="32"/>
      <c r="C248" s="32"/>
      <c r="D248" s="32"/>
      <c r="E248" s="32"/>
      <c r="F248" s="32"/>
      <c r="G248" s="210" t="s">
        <v>2429</v>
      </c>
      <c r="H248" s="32">
        <v>4</v>
      </c>
      <c r="I248" s="32">
        <v>4</v>
      </c>
      <c r="J248" s="32">
        <v>1</v>
      </c>
      <c r="K248" s="143" t="s">
        <v>2414</v>
      </c>
      <c r="L248" s="143" t="s">
        <v>968</v>
      </c>
      <c r="M248" s="228" t="s">
        <v>296</v>
      </c>
    </row>
    <row r="249" spans="1:13">
      <c r="A249" s="143" t="s">
        <v>1101</v>
      </c>
      <c r="B249" s="143" t="s">
        <v>1101</v>
      </c>
      <c r="C249" s="143" t="s">
        <v>2432</v>
      </c>
      <c r="D249" s="143" t="s">
        <v>2433</v>
      </c>
      <c r="E249" s="32"/>
      <c r="F249" s="32" t="s">
        <v>696</v>
      </c>
      <c r="G249" s="231" t="s">
        <v>2434</v>
      </c>
      <c r="H249" s="32">
        <v>31</v>
      </c>
      <c r="I249" s="32">
        <v>0</v>
      </c>
      <c r="J249" s="32">
        <v>32</v>
      </c>
      <c r="K249" s="150" t="s">
        <v>1290</v>
      </c>
      <c r="L249" s="213" t="s">
        <v>972</v>
      </c>
      <c r="M249" s="228" t="s">
        <v>2462</v>
      </c>
    </row>
    <row r="250" spans="1:13">
      <c r="A250" s="143" t="s">
        <v>1102</v>
      </c>
      <c r="B250" s="143" t="s">
        <v>1102</v>
      </c>
      <c r="C250" s="143" t="s">
        <v>2435</v>
      </c>
      <c r="D250" s="143" t="s">
        <v>2436</v>
      </c>
      <c r="E250" s="32"/>
      <c r="F250" s="32" t="s">
        <v>696</v>
      </c>
      <c r="G250" s="231" t="s">
        <v>2437</v>
      </c>
      <c r="H250" s="32">
        <v>7</v>
      </c>
      <c r="I250" s="32">
        <v>0</v>
      </c>
      <c r="J250" s="32">
        <v>8</v>
      </c>
      <c r="K250" s="150" t="s">
        <v>1290</v>
      </c>
      <c r="L250" s="213" t="s">
        <v>972</v>
      </c>
      <c r="M250" s="228" t="s">
        <v>2461</v>
      </c>
    </row>
    <row r="251" spans="1:13">
      <c r="A251" s="32"/>
      <c r="B251" s="32"/>
      <c r="C251" s="32"/>
      <c r="D251" s="32"/>
      <c r="E251" s="32"/>
      <c r="F251" s="32"/>
      <c r="G251" s="231" t="s">
        <v>2438</v>
      </c>
      <c r="H251" s="32">
        <v>17</v>
      </c>
      <c r="I251" s="32">
        <v>8</v>
      </c>
      <c r="J251" s="32">
        <v>10</v>
      </c>
      <c r="K251" s="143" t="s">
        <v>2414</v>
      </c>
      <c r="L251" s="213" t="s">
        <v>972</v>
      </c>
      <c r="M251" s="228" t="s">
        <v>2460</v>
      </c>
    </row>
    <row r="252" spans="1:13" ht="68.25">
      <c r="A252" s="32"/>
      <c r="B252" s="32"/>
      <c r="C252" s="32"/>
      <c r="D252" s="32"/>
      <c r="E252" s="32"/>
      <c r="F252" s="32"/>
      <c r="G252" s="231" t="s">
        <v>2439</v>
      </c>
      <c r="H252" s="32">
        <v>19</v>
      </c>
      <c r="I252" s="32">
        <v>18</v>
      </c>
      <c r="J252" s="32">
        <v>2</v>
      </c>
      <c r="K252" s="143" t="s">
        <v>921</v>
      </c>
      <c r="L252" s="213" t="s">
        <v>972</v>
      </c>
      <c r="M252" s="144" t="s">
        <v>2440</v>
      </c>
    </row>
    <row r="253" spans="1:13">
      <c r="A253" s="143" t="s">
        <v>2447</v>
      </c>
      <c r="B253" s="143" t="s">
        <v>2448</v>
      </c>
      <c r="C253" s="143" t="s">
        <v>2449</v>
      </c>
      <c r="D253" s="143" t="s">
        <v>2450</v>
      </c>
      <c r="E253" s="32"/>
      <c r="F253" s="32" t="s">
        <v>696</v>
      </c>
      <c r="G253" s="210" t="s">
        <v>2451</v>
      </c>
      <c r="H253" s="32">
        <v>31</v>
      </c>
      <c r="I253" s="32">
        <v>0</v>
      </c>
      <c r="J253" s="32">
        <v>32</v>
      </c>
      <c r="K253" s="143" t="s">
        <v>2452</v>
      </c>
      <c r="L253" s="143" t="s">
        <v>2453</v>
      </c>
      <c r="M253" s="144" t="s">
        <v>2454</v>
      </c>
    </row>
    <row r="254" spans="1:13">
      <c r="A254" s="143" t="s">
        <v>2457</v>
      </c>
      <c r="B254" s="143" t="s">
        <v>2457</v>
      </c>
      <c r="C254" s="143" t="s">
        <v>2458</v>
      </c>
      <c r="D254" s="143" t="s">
        <v>2459</v>
      </c>
      <c r="E254" s="32"/>
      <c r="F254" s="32" t="s">
        <v>696</v>
      </c>
      <c r="G254" s="210" t="s">
        <v>2455</v>
      </c>
      <c r="H254" s="32">
        <v>7</v>
      </c>
      <c r="I254" s="32">
        <v>0</v>
      </c>
      <c r="J254" s="32">
        <v>8</v>
      </c>
      <c r="K254" s="143" t="s">
        <v>2456</v>
      </c>
      <c r="L254" s="143" t="s">
        <v>2453</v>
      </c>
      <c r="M254" s="144" t="s">
        <v>2454</v>
      </c>
    </row>
    <row r="255" spans="1:13">
      <c r="A255" s="32" t="s">
        <v>920</v>
      </c>
      <c r="B255" s="32"/>
      <c r="C255" s="32"/>
      <c r="D255" s="32"/>
      <c r="E255" s="32"/>
      <c r="F255" s="32"/>
      <c r="G255" s="32"/>
      <c r="H255" s="32"/>
      <c r="I255" s="32"/>
      <c r="J255" s="32"/>
      <c r="K255" s="32"/>
      <c r="L255" s="32"/>
      <c r="M255" s="32"/>
    </row>
    <row r="256" spans="1:13">
      <c r="A256" s="143"/>
      <c r="B256" s="32"/>
      <c r="C256" s="32"/>
      <c r="D256" s="32"/>
      <c r="E256" s="32"/>
      <c r="F256" s="32"/>
      <c r="G256" s="32"/>
      <c r="H256" s="32"/>
      <c r="I256" s="32"/>
      <c r="J256" s="32"/>
      <c r="K256" s="32"/>
      <c r="L256" s="32"/>
      <c r="M256" s="32"/>
    </row>
    <row r="257" spans="1:13">
      <c r="A257" s="32"/>
      <c r="B257" s="32"/>
      <c r="C257" s="32"/>
      <c r="D257" s="32"/>
      <c r="E257" s="32"/>
      <c r="F257" s="32"/>
      <c r="G257" s="32"/>
      <c r="H257" s="32"/>
      <c r="I257" s="32"/>
      <c r="J257" s="32"/>
      <c r="K257" s="32"/>
      <c r="L257" s="32"/>
      <c r="M257" s="32"/>
    </row>
    <row r="258" spans="1:13">
      <c r="A258" s="32"/>
      <c r="B258" s="32"/>
      <c r="C258" s="32"/>
      <c r="D258" s="32"/>
      <c r="E258" s="32"/>
      <c r="F258" s="32"/>
      <c r="G258" s="32"/>
      <c r="H258" s="32"/>
      <c r="I258" s="32"/>
      <c r="J258" s="32"/>
      <c r="K258" s="32"/>
      <c r="L258" s="32"/>
      <c r="M258" s="32"/>
    </row>
    <row r="259" spans="1:13">
      <c r="A259" s="32"/>
      <c r="B259" s="32"/>
      <c r="C259" s="32"/>
      <c r="D259" s="32"/>
      <c r="E259" s="32"/>
      <c r="F259" s="32"/>
      <c r="G259" s="32"/>
      <c r="H259" s="32"/>
      <c r="I259" s="32"/>
      <c r="J259" s="32"/>
      <c r="K259" s="32"/>
      <c r="L259" s="32"/>
      <c r="M259" s="32"/>
    </row>
    <row r="260" spans="1:13">
      <c r="A260" s="32"/>
      <c r="B260" s="32"/>
      <c r="C260" s="32"/>
      <c r="D260" s="32"/>
      <c r="E260" s="32"/>
      <c r="F260" s="32"/>
      <c r="G260" s="32"/>
      <c r="H260" s="32"/>
      <c r="I260" s="32"/>
      <c r="J260" s="32"/>
      <c r="K260" s="32"/>
      <c r="L260" s="32"/>
      <c r="M260" s="32"/>
    </row>
    <row r="261" spans="1:13">
      <c r="A261" s="32"/>
      <c r="B261" s="32"/>
      <c r="C261" s="32"/>
      <c r="D261" s="32"/>
      <c r="E261" s="32"/>
      <c r="F261" s="32"/>
      <c r="G261" s="32"/>
      <c r="H261" s="32"/>
      <c r="I261" s="32"/>
      <c r="J261" s="32"/>
      <c r="K261" s="32"/>
      <c r="L261" s="32"/>
      <c r="M261" s="32"/>
    </row>
    <row r="262" spans="1:13">
      <c r="A262" s="32"/>
      <c r="B262" s="32"/>
      <c r="C262" s="32"/>
      <c r="D262" s="32"/>
      <c r="E262" s="32"/>
      <c r="F262" s="32"/>
      <c r="G262" s="32"/>
      <c r="H262" s="32"/>
      <c r="I262" s="32"/>
      <c r="J262" s="32"/>
      <c r="K262" s="32"/>
      <c r="L262" s="32"/>
      <c r="M262" s="32"/>
    </row>
    <row r="263" spans="1:13">
      <c r="A263" s="32"/>
      <c r="B263" s="32"/>
      <c r="C263" s="32"/>
      <c r="D263" s="32"/>
      <c r="E263" s="32"/>
      <c r="F263" s="32"/>
      <c r="G263" s="32"/>
      <c r="H263" s="32"/>
      <c r="I263" s="32"/>
      <c r="J263" s="32"/>
      <c r="K263" s="32"/>
      <c r="L263" s="32"/>
      <c r="M263" s="32"/>
    </row>
    <row r="264" spans="1:13">
      <c r="A264" s="32"/>
      <c r="B264" s="32"/>
      <c r="C264" s="32"/>
      <c r="D264" s="32"/>
      <c r="E264" s="32"/>
      <c r="F264" s="32"/>
      <c r="G264" s="32"/>
      <c r="H264" s="32"/>
      <c r="I264" s="32"/>
      <c r="J264" s="32"/>
      <c r="K264" s="32"/>
      <c r="L264" s="32"/>
      <c r="M264" s="32"/>
    </row>
    <row r="265" spans="1:13">
      <c r="A265" s="32"/>
      <c r="B265" s="32"/>
      <c r="C265" s="32"/>
      <c r="D265" s="32"/>
      <c r="E265" s="32"/>
      <c r="F265" s="32"/>
      <c r="G265" s="32"/>
      <c r="H265" s="32"/>
      <c r="I265" s="32"/>
      <c r="J265" s="32"/>
      <c r="K265" s="32"/>
      <c r="L265" s="32"/>
      <c r="M265" s="32"/>
    </row>
    <row r="266" spans="1:13">
      <c r="A266" s="32"/>
      <c r="B266" s="32"/>
      <c r="C266" s="32"/>
      <c r="D266" s="32"/>
      <c r="E266" s="32"/>
      <c r="F266" s="32"/>
      <c r="G266" s="32"/>
      <c r="H266" s="32"/>
      <c r="I266" s="32"/>
      <c r="J266" s="32"/>
      <c r="K266" s="32"/>
      <c r="L266" s="32"/>
      <c r="M266" s="32"/>
    </row>
    <row r="267" spans="1:13">
      <c r="A267" s="32"/>
      <c r="B267" s="32"/>
      <c r="C267" s="32"/>
      <c r="D267" s="32"/>
      <c r="E267" s="32"/>
      <c r="F267" s="32"/>
      <c r="G267" s="32"/>
      <c r="H267" s="32"/>
      <c r="I267" s="32"/>
      <c r="J267" s="32"/>
      <c r="K267" s="32"/>
      <c r="L267" s="32"/>
      <c r="M267" s="32"/>
    </row>
    <row r="268" spans="1:13">
      <c r="A268" s="32"/>
      <c r="B268" s="32"/>
      <c r="C268" s="32"/>
      <c r="D268" s="32"/>
      <c r="E268" s="32"/>
      <c r="F268" s="32"/>
      <c r="G268" s="32"/>
      <c r="H268" s="32"/>
      <c r="I268" s="32"/>
      <c r="J268" s="32"/>
      <c r="K268" s="32"/>
      <c r="L268" s="32"/>
      <c r="M268" s="32"/>
    </row>
    <row r="269" spans="1:13">
      <c r="B269" s="32"/>
      <c r="C269" s="32"/>
      <c r="D269" s="32"/>
      <c r="E269" s="32"/>
      <c r="F269" s="32"/>
      <c r="G269" s="32"/>
      <c r="H269" s="32"/>
      <c r="I269" s="32"/>
      <c r="J269" s="32"/>
      <c r="K269" s="32"/>
      <c r="L269" s="32"/>
      <c r="M269" s="32"/>
    </row>
    <row r="270" spans="1:13">
      <c r="A270" s="32"/>
      <c r="B270" s="32"/>
      <c r="C270" s="32"/>
      <c r="D270" s="32"/>
      <c r="E270" s="32"/>
      <c r="F270" s="32"/>
      <c r="G270" s="32"/>
      <c r="H270" s="32"/>
      <c r="I270" s="32"/>
      <c r="J270" s="32"/>
      <c r="K270" s="32"/>
      <c r="L270" s="32"/>
      <c r="M270" s="32"/>
    </row>
    <row r="271" spans="1:13">
      <c r="A271" s="32"/>
      <c r="B271" s="32"/>
      <c r="C271" s="32"/>
      <c r="D271" s="32"/>
      <c r="E271" s="32"/>
      <c r="F271" s="32"/>
      <c r="G271" s="32"/>
      <c r="H271" s="32"/>
      <c r="I271" s="32"/>
      <c r="J271" s="32"/>
      <c r="K271" s="32"/>
      <c r="L271" s="32"/>
      <c r="M271" s="32"/>
    </row>
    <row r="272" spans="1:13">
      <c r="A272" s="32"/>
      <c r="B272" s="32"/>
      <c r="C272" s="32"/>
      <c r="D272" s="32"/>
      <c r="E272" s="32"/>
      <c r="F272" s="32"/>
      <c r="G272" s="32"/>
      <c r="H272" s="32"/>
      <c r="I272" s="32"/>
      <c r="J272" s="32"/>
      <c r="K272" s="32"/>
      <c r="L272" s="32"/>
      <c r="M272" s="32"/>
    </row>
    <row r="273" spans="1:13">
      <c r="A273" s="32"/>
      <c r="B273" s="32"/>
      <c r="C273" s="32"/>
      <c r="D273" s="32"/>
      <c r="E273" s="32"/>
      <c r="F273" s="32"/>
      <c r="G273" s="32"/>
      <c r="H273" s="32"/>
      <c r="I273" s="32"/>
      <c r="J273" s="32"/>
      <c r="K273" s="32"/>
      <c r="L273" s="32"/>
      <c r="M273" s="32"/>
    </row>
    <row r="274" spans="1:13">
      <c r="A274" s="32"/>
      <c r="B274" s="32"/>
      <c r="C274" s="32"/>
      <c r="D274" s="32"/>
      <c r="E274" s="32"/>
      <c r="F274" s="32"/>
      <c r="G274" s="32"/>
      <c r="H274" s="32"/>
      <c r="I274" s="32"/>
      <c r="J274" s="32"/>
      <c r="K274" s="32"/>
      <c r="L274" s="32"/>
      <c r="M274" s="32"/>
    </row>
    <row r="275" spans="1:13">
      <c r="A275" s="32"/>
      <c r="B275" s="32"/>
      <c r="C275" s="32"/>
      <c r="D275" s="32"/>
      <c r="E275" s="32"/>
      <c r="F275" s="32"/>
      <c r="G275" s="32"/>
      <c r="H275" s="32"/>
      <c r="I275" s="32"/>
      <c r="J275" s="32"/>
      <c r="K275" s="32"/>
      <c r="L275" s="32"/>
      <c r="M275" s="32"/>
    </row>
    <row r="276" spans="1:13">
      <c r="A276" s="32"/>
      <c r="B276" s="32"/>
      <c r="C276" s="32"/>
      <c r="D276" s="32"/>
      <c r="E276" s="32"/>
      <c r="F276" s="32"/>
      <c r="G276" s="32"/>
      <c r="H276" s="32"/>
      <c r="I276" s="32"/>
      <c r="J276" s="32"/>
      <c r="K276" s="32"/>
      <c r="L276" s="32"/>
      <c r="M276" s="32"/>
    </row>
    <row r="277" spans="1:13">
      <c r="A277" s="32"/>
      <c r="B277" s="32"/>
      <c r="C277" s="32"/>
      <c r="D277" s="32"/>
      <c r="E277" s="32"/>
      <c r="F277" s="32"/>
      <c r="G277" s="32"/>
      <c r="H277" s="32"/>
      <c r="I277" s="32"/>
      <c r="J277" s="32"/>
      <c r="K277" s="32"/>
      <c r="L277" s="32"/>
      <c r="M277" s="32"/>
    </row>
    <row r="278" spans="1:13">
      <c r="A278" s="32"/>
      <c r="B278" s="32"/>
      <c r="C278" s="32"/>
      <c r="D278" s="32"/>
      <c r="E278" s="32"/>
      <c r="F278" s="32"/>
      <c r="G278" s="32"/>
      <c r="H278" s="32"/>
      <c r="I278" s="32"/>
      <c r="J278" s="32"/>
      <c r="K278" s="32"/>
      <c r="L278" s="32"/>
      <c r="M278" s="32"/>
    </row>
    <row r="279" spans="1:13">
      <c r="A279" s="32"/>
      <c r="B279" s="32"/>
      <c r="C279" s="32"/>
      <c r="D279" s="32"/>
      <c r="E279" s="32"/>
      <c r="F279" s="32"/>
      <c r="G279" s="32"/>
      <c r="H279" s="32"/>
      <c r="I279" s="32"/>
      <c r="J279" s="32"/>
      <c r="K279" s="32"/>
      <c r="L279" s="32"/>
      <c r="M279" s="32"/>
    </row>
    <row r="280" spans="1:13">
      <c r="A280" s="32"/>
      <c r="B280" s="32"/>
      <c r="C280" s="32"/>
      <c r="D280" s="32"/>
      <c r="E280" s="32"/>
      <c r="F280" s="32"/>
      <c r="G280" s="32"/>
      <c r="H280" s="32"/>
      <c r="I280" s="32"/>
      <c r="J280" s="32"/>
      <c r="K280" s="32"/>
      <c r="L280" s="32"/>
      <c r="M280" s="32"/>
    </row>
    <row r="281" spans="1:13">
      <c r="A281" s="32"/>
    </row>
    <row r="282" spans="1:13">
      <c r="A282" s="32"/>
    </row>
  </sheetData>
  <phoneticPr fontId="24"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396"/>
  <sheetViews>
    <sheetView zoomScale="115" zoomScaleNormal="115" workbookViewId="0">
      <selection activeCell="A22" sqref="A22:XFD22"/>
    </sheetView>
  </sheetViews>
  <sheetFormatPr defaultColWidth="7.5" defaultRowHeight="15"/>
  <cols>
    <col min="1" max="1" width="24.5" style="135" bestFit="1" customWidth="1"/>
    <col min="2" max="2" width="15.375" style="135" bestFit="1" customWidth="1"/>
    <col min="3" max="3" width="16.875" style="135" bestFit="1" customWidth="1"/>
    <col min="4" max="4" width="22" style="135" bestFit="1" customWidth="1"/>
    <col min="5" max="5" width="13" style="135" bestFit="1" customWidth="1"/>
    <col min="6" max="6" width="6" style="135" bestFit="1" customWidth="1"/>
    <col min="7" max="7" width="43.125" style="135" bestFit="1" customWidth="1"/>
    <col min="8" max="8" width="5" style="135" bestFit="1" customWidth="1"/>
    <col min="9" max="9" width="6" style="135" bestFit="1" customWidth="1"/>
    <col min="10" max="10" width="4" style="135" bestFit="1" customWidth="1"/>
    <col min="11" max="12" width="5" style="135" bestFit="1" customWidth="1"/>
    <col min="13" max="13" width="216.875" style="135" bestFit="1" customWidth="1"/>
    <col min="14" max="14" width="6" style="135" bestFit="1" customWidth="1"/>
    <col min="15" max="15" width="7.875" style="135" bestFit="1" customWidth="1"/>
    <col min="16" max="16" width="5.875" style="135" bestFit="1" customWidth="1"/>
    <col min="17" max="17" width="13" style="135" bestFit="1" customWidth="1"/>
    <col min="18" max="18" width="14.375" style="135" bestFit="1" customWidth="1"/>
    <col min="19" max="19" width="7.5" style="135" bestFit="1" customWidth="1"/>
    <col min="20" max="20" width="10.625" style="135" bestFit="1" customWidth="1"/>
    <col min="21" max="21" width="7.5" style="135" bestFit="1" customWidth="1"/>
    <col min="22" max="22" width="10" style="135" bestFit="1" customWidth="1"/>
    <col min="23" max="16384" width="7.5" style="135"/>
  </cols>
  <sheetData>
    <row r="1" spans="1:69" s="131" customFormat="1">
      <c r="A1" s="131" t="s">
        <v>660</v>
      </c>
      <c r="B1" s="132" t="s">
        <v>895</v>
      </c>
      <c r="C1" s="132"/>
      <c r="D1" s="132"/>
      <c r="E1" s="133"/>
      <c r="F1" s="133"/>
    </row>
    <row r="2" spans="1:69" s="131" customFormat="1">
      <c r="A2" s="131" t="s">
        <v>661</v>
      </c>
      <c r="B2" s="132" t="s">
        <v>896</v>
      </c>
      <c r="C2" s="132"/>
      <c r="D2" s="132"/>
      <c r="E2" s="133"/>
      <c r="F2" s="133"/>
    </row>
    <row r="3" spans="1:69" s="131" customFormat="1">
      <c r="A3" s="131" t="s">
        <v>662</v>
      </c>
      <c r="B3" s="132" t="s">
        <v>897</v>
      </c>
      <c r="C3" s="132"/>
      <c r="D3" s="132"/>
      <c r="E3" s="133"/>
      <c r="F3" s="133"/>
      <c r="I3" s="134"/>
      <c r="J3" s="134"/>
      <c r="K3" s="134"/>
      <c r="O3" s="134"/>
    </row>
    <row r="4" spans="1:69" s="131" customFormat="1">
      <c r="A4" s="131" t="s">
        <v>898</v>
      </c>
      <c r="B4" s="132">
        <v>40</v>
      </c>
      <c r="C4" s="132"/>
      <c r="D4" s="132"/>
      <c r="E4" s="133"/>
      <c r="F4" s="133"/>
      <c r="I4" s="134"/>
      <c r="J4" s="134"/>
      <c r="K4" s="134"/>
      <c r="O4" s="134"/>
    </row>
    <row r="5" spans="1:69" s="131" customFormat="1">
      <c r="A5" s="131" t="s">
        <v>663</v>
      </c>
      <c r="B5" s="132" t="s">
        <v>899</v>
      </c>
      <c r="C5" s="132"/>
      <c r="D5" s="132"/>
      <c r="E5" s="133"/>
      <c r="F5" s="133"/>
      <c r="I5" s="134"/>
      <c r="J5" s="134"/>
      <c r="K5" s="134"/>
      <c r="O5" s="134"/>
    </row>
    <row r="6" spans="1:69" s="131" customFormat="1">
      <c r="A6" s="131" t="s">
        <v>664</v>
      </c>
      <c r="B6" s="132" t="s">
        <v>696</v>
      </c>
      <c r="C6" s="132"/>
      <c r="D6" s="132"/>
      <c r="E6" s="133"/>
      <c r="F6" s="133"/>
      <c r="I6" s="134"/>
      <c r="J6" s="134"/>
      <c r="K6" s="134"/>
      <c r="O6" s="134"/>
    </row>
    <row r="7" spans="1:69" s="131" customFormat="1">
      <c r="A7" s="131" t="s">
        <v>665</v>
      </c>
      <c r="B7" s="132" t="s">
        <v>666</v>
      </c>
      <c r="C7" s="132"/>
      <c r="D7" s="132"/>
      <c r="E7" s="133"/>
      <c r="F7" s="133"/>
      <c r="I7" s="134"/>
      <c r="J7" s="134"/>
      <c r="K7" s="134"/>
      <c r="O7" s="134"/>
    </row>
    <row r="8" spans="1:69" s="131" customFormat="1">
      <c r="A8" s="131" t="s">
        <v>667</v>
      </c>
      <c r="B8" s="132" t="s">
        <v>900</v>
      </c>
      <c r="C8" s="132"/>
      <c r="D8" s="132"/>
      <c r="E8" s="133"/>
      <c r="F8" s="133"/>
      <c r="I8" s="134"/>
      <c r="J8" s="134"/>
      <c r="K8" s="134"/>
      <c r="O8" s="134"/>
    </row>
    <row r="9" spans="1:69" s="131" customFormat="1">
      <c r="A9" s="131" t="s">
        <v>901</v>
      </c>
      <c r="B9" s="132">
        <v>1</v>
      </c>
      <c r="C9" s="132"/>
      <c r="D9" s="132"/>
      <c r="E9" s="133"/>
      <c r="F9" s="133"/>
      <c r="I9" s="134"/>
      <c r="J9" s="134"/>
      <c r="K9" s="134"/>
      <c r="O9" s="134"/>
    </row>
    <row r="10" spans="1:69" s="131" customFormat="1">
      <c r="A10" s="131" t="s">
        <v>668</v>
      </c>
      <c r="B10" s="132" t="s">
        <v>902</v>
      </c>
      <c r="C10" s="132"/>
      <c r="D10" s="132"/>
      <c r="E10" s="132"/>
      <c r="F10" s="133"/>
    </row>
    <row r="11" spans="1:69">
      <c r="A11" s="135" t="s">
        <v>669</v>
      </c>
      <c r="C11" s="136"/>
      <c r="D11" s="136"/>
    </row>
    <row r="12" spans="1:69">
      <c r="A12" s="135" t="s">
        <v>670</v>
      </c>
    </row>
    <row r="13" spans="1:69" s="141" customFormat="1" ht="31.5">
      <c r="A13" s="137" t="s">
        <v>671</v>
      </c>
      <c r="B13" s="137" t="s">
        <v>672</v>
      </c>
      <c r="C13" s="137" t="s">
        <v>673</v>
      </c>
      <c r="D13" s="137" t="s">
        <v>674</v>
      </c>
      <c r="E13" s="137" t="s">
        <v>675</v>
      </c>
      <c r="F13" s="137" t="s">
        <v>676</v>
      </c>
      <c r="G13" s="137" t="s">
        <v>677</v>
      </c>
      <c r="H13" s="137" t="s">
        <v>678</v>
      </c>
      <c r="I13" s="137" t="s">
        <v>679</v>
      </c>
      <c r="J13" s="137" t="s">
        <v>680</v>
      </c>
      <c r="K13" s="137" t="s">
        <v>681</v>
      </c>
      <c r="L13" s="137" t="s">
        <v>682</v>
      </c>
      <c r="M13" s="137" t="s">
        <v>683</v>
      </c>
      <c r="N13" s="137" t="s">
        <v>684</v>
      </c>
      <c r="O13" s="137" t="s">
        <v>685</v>
      </c>
      <c r="P13" s="137" t="s">
        <v>686</v>
      </c>
      <c r="Q13" s="137" t="s">
        <v>687</v>
      </c>
      <c r="R13" s="137" t="s">
        <v>688</v>
      </c>
      <c r="S13" s="137" t="s">
        <v>689</v>
      </c>
      <c r="T13" s="138" t="s">
        <v>690</v>
      </c>
      <c r="U13" s="139" t="s">
        <v>691</v>
      </c>
      <c r="V13" s="140" t="s">
        <v>692</v>
      </c>
    </row>
    <row r="14" spans="1:69" s="141" customFormat="1" ht="28.5">
      <c r="A14" s="32" t="s">
        <v>693</v>
      </c>
      <c r="B14" s="32" t="s">
        <v>693</v>
      </c>
      <c r="C14" s="32" t="s">
        <v>694</v>
      </c>
      <c r="D14" s="32" t="s">
        <v>695</v>
      </c>
      <c r="E14" s="32"/>
      <c r="F14" s="32" t="s">
        <v>696</v>
      </c>
      <c r="G14" s="32" t="s">
        <v>813</v>
      </c>
      <c r="H14" s="32">
        <v>0</v>
      </c>
      <c r="I14" s="32">
        <v>0</v>
      </c>
      <c r="J14" s="32">
        <v>1</v>
      </c>
      <c r="K14" s="32" t="s">
        <v>693</v>
      </c>
      <c r="L14" s="32" t="s">
        <v>697</v>
      </c>
      <c r="M14" s="144" t="s">
        <v>244</v>
      </c>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row>
    <row r="15" spans="1:69" s="141" customFormat="1" ht="42">
      <c r="A15" s="32"/>
      <c r="B15" s="32"/>
      <c r="C15" s="32"/>
      <c r="D15" s="32"/>
      <c r="E15" s="32"/>
      <c r="F15" s="32" t="s">
        <v>696</v>
      </c>
      <c r="G15" s="32" t="s">
        <v>1276</v>
      </c>
      <c r="H15" s="32">
        <v>1</v>
      </c>
      <c r="I15" s="32">
        <v>1</v>
      </c>
      <c r="J15" s="32">
        <v>1</v>
      </c>
      <c r="K15" s="32" t="s">
        <v>693</v>
      </c>
      <c r="L15" s="32" t="s">
        <v>697</v>
      </c>
      <c r="M15" s="144" t="s">
        <v>406</v>
      </c>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row>
    <row r="16" spans="1:69" s="141" customFormat="1" ht="42">
      <c r="A16" s="32"/>
      <c r="B16" s="32"/>
      <c r="C16" s="32"/>
      <c r="D16" s="32"/>
      <c r="E16" s="32"/>
      <c r="F16" s="32" t="s">
        <v>696</v>
      </c>
      <c r="G16" s="32" t="s">
        <v>1476</v>
      </c>
      <c r="H16" s="32">
        <v>2</v>
      </c>
      <c r="I16" s="32">
        <v>2</v>
      </c>
      <c r="J16" s="32">
        <v>1</v>
      </c>
      <c r="K16" s="32" t="s">
        <v>693</v>
      </c>
      <c r="L16" s="32" t="s">
        <v>697</v>
      </c>
      <c r="M16" s="144" t="s">
        <v>320</v>
      </c>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row>
    <row r="17" spans="1:69" s="141" customFormat="1" ht="28.5">
      <c r="A17" s="32"/>
      <c r="B17" s="32"/>
      <c r="C17" s="32"/>
      <c r="D17" s="32"/>
      <c r="E17" s="32"/>
      <c r="F17" s="32" t="s">
        <v>696</v>
      </c>
      <c r="G17" s="32" t="s">
        <v>1931</v>
      </c>
      <c r="H17" s="32">
        <v>3</v>
      </c>
      <c r="I17" s="32">
        <v>3</v>
      </c>
      <c r="J17" s="32">
        <v>1</v>
      </c>
      <c r="K17" s="32" t="s">
        <v>693</v>
      </c>
      <c r="L17" s="32" t="s">
        <v>698</v>
      </c>
      <c r="M17" s="144" t="s">
        <v>316</v>
      </c>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row>
    <row r="18" spans="1:69" ht="68.25">
      <c r="A18" s="32"/>
      <c r="B18" s="32"/>
      <c r="C18" s="32"/>
      <c r="D18" s="32"/>
      <c r="E18" s="32"/>
      <c r="F18" s="32" t="s">
        <v>696</v>
      </c>
      <c r="G18" s="143" t="s">
        <v>928</v>
      </c>
      <c r="H18" s="32">
        <v>6</v>
      </c>
      <c r="I18" s="32">
        <v>6</v>
      </c>
      <c r="J18" s="32">
        <v>1</v>
      </c>
      <c r="K18" s="32" t="s">
        <v>921</v>
      </c>
      <c r="L18" s="32" t="s">
        <v>929</v>
      </c>
      <c r="M18" s="144" t="s">
        <v>2343</v>
      </c>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row>
    <row r="19" spans="1:69">
      <c r="A19" s="32"/>
      <c r="B19" s="32"/>
      <c r="C19" s="32"/>
      <c r="D19" s="32"/>
      <c r="E19" s="32"/>
      <c r="F19" s="32" t="s">
        <v>696</v>
      </c>
      <c r="G19" s="207" t="s">
        <v>926</v>
      </c>
      <c r="H19" s="32">
        <v>7</v>
      </c>
      <c r="I19" s="32">
        <v>7</v>
      </c>
      <c r="J19" s="32">
        <v>1</v>
      </c>
      <c r="K19" s="32" t="s">
        <v>921</v>
      </c>
      <c r="L19" s="32" t="s">
        <v>929</v>
      </c>
      <c r="M19" s="144" t="s">
        <v>206</v>
      </c>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row>
    <row r="20" spans="1:69" ht="54.75">
      <c r="A20" s="32"/>
      <c r="B20" s="32"/>
      <c r="C20" s="32"/>
      <c r="D20" s="32"/>
      <c r="E20" s="32"/>
      <c r="F20" s="32" t="s">
        <v>696</v>
      </c>
      <c r="G20" s="32" t="s">
        <v>324</v>
      </c>
      <c r="H20" s="32">
        <v>8</v>
      </c>
      <c r="I20" s="32">
        <v>8</v>
      </c>
      <c r="J20" s="32">
        <v>1</v>
      </c>
      <c r="K20" s="143" t="s">
        <v>1290</v>
      </c>
      <c r="L20" s="32" t="s">
        <v>929</v>
      </c>
      <c r="M20" s="144" t="s">
        <v>1155</v>
      </c>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row>
    <row r="21" spans="1:69">
      <c r="A21" s="32"/>
      <c r="B21" s="32"/>
      <c r="C21" s="32"/>
      <c r="D21" s="32"/>
      <c r="E21" s="32"/>
      <c r="F21" s="32" t="s">
        <v>696</v>
      </c>
      <c r="G21" s="143" t="s">
        <v>1702</v>
      </c>
      <c r="H21" s="32">
        <v>9</v>
      </c>
      <c r="I21" s="32">
        <v>9</v>
      </c>
      <c r="J21" s="32">
        <v>1</v>
      </c>
      <c r="K21" s="143" t="s">
        <v>1290</v>
      </c>
      <c r="L21" s="32" t="s">
        <v>929</v>
      </c>
      <c r="M21" s="144" t="s">
        <v>1932</v>
      </c>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row>
    <row r="22" spans="1:69">
      <c r="A22" s="32"/>
      <c r="B22" s="32"/>
      <c r="C22" s="32"/>
      <c r="D22" s="32"/>
      <c r="E22" s="32"/>
      <c r="F22" s="32" t="s">
        <v>966</v>
      </c>
      <c r="G22" s="208" t="s">
        <v>1739</v>
      </c>
      <c r="H22" s="32">
        <v>10</v>
      </c>
      <c r="I22" s="32">
        <v>10</v>
      </c>
      <c r="J22" s="32">
        <v>1</v>
      </c>
      <c r="K22" s="32" t="s">
        <v>921</v>
      </c>
      <c r="L22" s="143" t="s">
        <v>993</v>
      </c>
      <c r="M22" s="144" t="s">
        <v>1740</v>
      </c>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row>
    <row r="23" spans="1:69">
      <c r="A23" s="32" t="s">
        <v>699</v>
      </c>
      <c r="B23" s="32" t="s">
        <v>699</v>
      </c>
      <c r="C23" s="32" t="s">
        <v>700</v>
      </c>
      <c r="D23" s="32" t="s">
        <v>701</v>
      </c>
      <c r="E23" s="32"/>
      <c r="F23" s="32" t="s">
        <v>696</v>
      </c>
      <c r="G23" s="32" t="s">
        <v>1933</v>
      </c>
      <c r="H23" s="32">
        <v>31</v>
      </c>
      <c r="I23" s="32">
        <v>0</v>
      </c>
      <c r="J23" s="32">
        <v>32</v>
      </c>
      <c r="K23" s="32" t="s">
        <v>921</v>
      </c>
      <c r="L23" s="32" t="s">
        <v>929</v>
      </c>
      <c r="M23" s="32" t="s">
        <v>645</v>
      </c>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row>
    <row r="24" spans="1:69">
      <c r="A24" s="32" t="s">
        <v>702</v>
      </c>
      <c r="B24" s="32" t="s">
        <v>702</v>
      </c>
      <c r="C24" s="32" t="s">
        <v>703</v>
      </c>
      <c r="D24" s="32" t="s">
        <v>704</v>
      </c>
      <c r="E24" s="32"/>
      <c r="F24" s="32" t="s">
        <v>696</v>
      </c>
      <c r="G24" s="143" t="s">
        <v>936</v>
      </c>
      <c r="H24" s="32">
        <v>15</v>
      </c>
      <c r="I24" s="32">
        <v>0</v>
      </c>
      <c r="J24" s="32">
        <v>16</v>
      </c>
      <c r="K24" s="32" t="s">
        <v>921</v>
      </c>
      <c r="L24" s="32" t="s">
        <v>929</v>
      </c>
      <c r="M24" s="143" t="s">
        <v>935</v>
      </c>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row>
    <row r="25" spans="1:69">
      <c r="A25" s="32" t="s">
        <v>705</v>
      </c>
      <c r="B25" s="32" t="s">
        <v>705</v>
      </c>
      <c r="C25" s="32" t="s">
        <v>706</v>
      </c>
      <c r="D25" s="32" t="s">
        <v>707</v>
      </c>
      <c r="E25" s="32"/>
      <c r="F25" s="32" t="s">
        <v>696</v>
      </c>
      <c r="G25" s="143" t="s">
        <v>1553</v>
      </c>
      <c r="H25" s="32">
        <v>7</v>
      </c>
      <c r="I25" s="32">
        <v>0</v>
      </c>
      <c r="J25" s="32">
        <v>8</v>
      </c>
      <c r="K25" s="32" t="s">
        <v>921</v>
      </c>
      <c r="L25" s="32" t="s">
        <v>929</v>
      </c>
      <c r="M25" s="143" t="s">
        <v>1554</v>
      </c>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row>
    <row r="26" spans="1:69">
      <c r="A26" s="32"/>
      <c r="B26" s="32"/>
      <c r="C26" s="32"/>
      <c r="D26" s="32"/>
      <c r="E26" s="32"/>
      <c r="F26" s="32" t="s">
        <v>696</v>
      </c>
      <c r="G26" s="143" t="s">
        <v>1555</v>
      </c>
      <c r="H26" s="32">
        <v>15</v>
      </c>
      <c r="I26" s="32">
        <v>8</v>
      </c>
      <c r="J26" s="32">
        <v>8</v>
      </c>
      <c r="K26" s="32" t="s">
        <v>921</v>
      </c>
      <c r="L26" s="32" t="s">
        <v>929</v>
      </c>
      <c r="M26" s="143" t="s">
        <v>1556</v>
      </c>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row>
    <row r="27" spans="1:69" ht="68.25">
      <c r="A27" s="32" t="s">
        <v>708</v>
      </c>
      <c r="B27" s="32" t="s">
        <v>708</v>
      </c>
      <c r="C27" s="32" t="s">
        <v>709</v>
      </c>
      <c r="D27" s="32" t="s">
        <v>710</v>
      </c>
      <c r="E27" s="32"/>
      <c r="F27" s="32" t="s">
        <v>696</v>
      </c>
      <c r="G27" s="143" t="s">
        <v>1125</v>
      </c>
      <c r="H27" s="32">
        <v>10</v>
      </c>
      <c r="I27" s="32">
        <v>9</v>
      </c>
      <c r="J27" s="32">
        <v>2</v>
      </c>
      <c r="K27" s="143" t="s">
        <v>1623</v>
      </c>
      <c r="L27" s="143" t="s">
        <v>972</v>
      </c>
      <c r="M27" s="144" t="s">
        <v>528</v>
      </c>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row>
    <row r="28" spans="1:69" ht="68.25">
      <c r="A28" s="32"/>
      <c r="B28" s="32"/>
      <c r="C28" s="32"/>
      <c r="E28" s="32"/>
      <c r="F28" s="32" t="s">
        <v>696</v>
      </c>
      <c r="G28" s="206" t="s">
        <v>1934</v>
      </c>
      <c r="H28" s="32">
        <v>12</v>
      </c>
      <c r="I28" s="32">
        <v>11</v>
      </c>
      <c r="J28" s="32">
        <v>2</v>
      </c>
      <c r="K28" s="143" t="s">
        <v>1623</v>
      </c>
      <c r="L28" s="143" t="s">
        <v>972</v>
      </c>
      <c r="M28" s="144" t="s">
        <v>533</v>
      </c>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row>
    <row r="29" spans="1:69" ht="68.25">
      <c r="A29" s="32"/>
      <c r="B29" s="32"/>
      <c r="D29" s="32"/>
      <c r="E29" s="32"/>
      <c r="F29" s="32" t="s">
        <v>696</v>
      </c>
      <c r="G29" s="206" t="s">
        <v>814</v>
      </c>
      <c r="H29" s="32">
        <v>14</v>
      </c>
      <c r="I29" s="32">
        <v>13</v>
      </c>
      <c r="J29" s="32">
        <v>2</v>
      </c>
      <c r="K29" s="143" t="s">
        <v>1623</v>
      </c>
      <c r="L29" s="143" t="s">
        <v>972</v>
      </c>
      <c r="M29" s="144" t="s">
        <v>534</v>
      </c>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row>
    <row r="30" spans="1:69" ht="41.25">
      <c r="A30" s="32"/>
      <c r="B30" s="32"/>
      <c r="C30" s="32"/>
      <c r="D30" s="32"/>
      <c r="E30" s="32"/>
      <c r="F30" s="32" t="s">
        <v>696</v>
      </c>
      <c r="G30" s="32" t="s">
        <v>1595</v>
      </c>
      <c r="H30" s="32">
        <v>15</v>
      </c>
      <c r="I30" s="32">
        <v>15</v>
      </c>
      <c r="J30" s="32">
        <v>1</v>
      </c>
      <c r="K30" s="143" t="s">
        <v>1623</v>
      </c>
      <c r="L30" s="32" t="s">
        <v>698</v>
      </c>
      <c r="M30" s="144" t="s">
        <v>537</v>
      </c>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row>
    <row r="31" spans="1:69" ht="122.25">
      <c r="A31" s="32"/>
      <c r="B31" s="32"/>
      <c r="C31" s="32"/>
      <c r="D31" s="32"/>
      <c r="E31" s="32"/>
      <c r="F31" s="32" t="s">
        <v>696</v>
      </c>
      <c r="G31" s="207" t="s">
        <v>1613</v>
      </c>
      <c r="H31" s="32">
        <v>18</v>
      </c>
      <c r="I31" s="32">
        <v>16</v>
      </c>
      <c r="J31" s="32">
        <v>3</v>
      </c>
      <c r="K31" s="32" t="s">
        <v>693</v>
      </c>
      <c r="L31" s="32" t="s">
        <v>698</v>
      </c>
      <c r="M31" s="144" t="s">
        <v>560</v>
      </c>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row>
    <row r="32" spans="1:69" ht="141.75" customHeight="1">
      <c r="A32" s="32"/>
      <c r="B32" s="32"/>
      <c r="C32" s="32"/>
      <c r="D32" s="32"/>
      <c r="E32" s="32"/>
      <c r="F32" s="32" t="s">
        <v>696</v>
      </c>
      <c r="G32" s="206" t="s">
        <v>903</v>
      </c>
      <c r="H32" s="32">
        <v>22</v>
      </c>
      <c r="I32" s="32">
        <v>19</v>
      </c>
      <c r="J32" s="32">
        <v>4</v>
      </c>
      <c r="K32" s="143" t="s">
        <v>1667</v>
      </c>
      <c r="L32" s="32" t="s">
        <v>929</v>
      </c>
      <c r="M32" s="32" t="s">
        <v>1930</v>
      </c>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row>
    <row r="33" spans="1:69" s="142" customFormat="1" ht="14.25">
      <c r="A33" s="32"/>
      <c r="B33" s="32"/>
      <c r="C33" s="32"/>
      <c r="D33" s="32"/>
      <c r="E33" s="32"/>
      <c r="F33" s="32" t="s">
        <v>696</v>
      </c>
      <c r="G33" s="32" t="s">
        <v>904</v>
      </c>
      <c r="H33" s="32">
        <v>25</v>
      </c>
      <c r="I33" s="32">
        <v>23</v>
      </c>
      <c r="J33" s="32">
        <v>3</v>
      </c>
      <c r="K33" s="32" t="s">
        <v>905</v>
      </c>
      <c r="L33" s="32" t="s">
        <v>698</v>
      </c>
      <c r="M33" s="32" t="s">
        <v>906</v>
      </c>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row>
    <row r="34" spans="1:69" s="32" customFormat="1" ht="13.5">
      <c r="F34" s="32" t="s">
        <v>696</v>
      </c>
      <c r="G34" s="207" t="s">
        <v>1292</v>
      </c>
      <c r="H34" s="32">
        <v>26</v>
      </c>
      <c r="I34" s="32">
        <v>26</v>
      </c>
      <c r="J34" s="32">
        <v>1</v>
      </c>
      <c r="K34" s="150" t="s">
        <v>1290</v>
      </c>
      <c r="L34" s="150" t="s">
        <v>1291</v>
      </c>
      <c r="M34" s="144" t="s">
        <v>1293</v>
      </c>
    </row>
    <row r="35" spans="1:69" s="32" customFormat="1" ht="13.5">
      <c r="A35" s="143" t="s">
        <v>1285</v>
      </c>
      <c r="B35" s="143" t="s">
        <v>1284</v>
      </c>
      <c r="C35" s="143" t="s">
        <v>1204</v>
      </c>
      <c r="D35" s="143" t="s">
        <v>1205</v>
      </c>
      <c r="F35" s="32" t="s">
        <v>696</v>
      </c>
      <c r="G35" s="207" t="s">
        <v>1611</v>
      </c>
      <c r="H35" s="32">
        <v>31</v>
      </c>
      <c r="I35" s="32">
        <v>0</v>
      </c>
      <c r="J35" s="32">
        <v>32</v>
      </c>
      <c r="K35" s="143" t="s">
        <v>1612</v>
      </c>
      <c r="L35" s="150" t="s">
        <v>1282</v>
      </c>
      <c r="M35" s="144" t="s">
        <v>1283</v>
      </c>
    </row>
    <row r="36" spans="1:69">
      <c r="A36" s="143" t="s">
        <v>1319</v>
      </c>
      <c r="B36" s="143" t="s">
        <v>1319</v>
      </c>
      <c r="C36" s="143" t="s">
        <v>1295</v>
      </c>
      <c r="D36" s="143" t="s">
        <v>1296</v>
      </c>
      <c r="E36" s="32"/>
      <c r="F36" s="32" t="s">
        <v>696</v>
      </c>
      <c r="G36" s="207" t="s">
        <v>1126</v>
      </c>
      <c r="H36" s="32">
        <v>15</v>
      </c>
      <c r="I36" s="32">
        <v>0</v>
      </c>
      <c r="J36" s="32">
        <v>16</v>
      </c>
      <c r="K36" s="32" t="s">
        <v>693</v>
      </c>
      <c r="L36" s="143" t="s">
        <v>929</v>
      </c>
      <c r="M36" s="143" t="s">
        <v>1128</v>
      </c>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row>
    <row r="37" spans="1:69">
      <c r="A37" s="32"/>
      <c r="B37" s="32"/>
      <c r="C37" s="32"/>
      <c r="D37" s="32"/>
      <c r="E37" s="32"/>
      <c r="F37" s="32" t="s">
        <v>696</v>
      </c>
      <c r="G37" s="207" t="s">
        <v>1126</v>
      </c>
      <c r="H37" s="32">
        <v>17</v>
      </c>
      <c r="I37" s="32">
        <v>16</v>
      </c>
      <c r="J37" s="32">
        <v>2</v>
      </c>
      <c r="K37" s="32" t="s">
        <v>693</v>
      </c>
      <c r="L37" s="143" t="s">
        <v>929</v>
      </c>
      <c r="M37" s="143" t="s">
        <v>1127</v>
      </c>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row>
    <row r="38" spans="1:69" ht="68.25">
      <c r="A38" s="143"/>
      <c r="B38" s="143"/>
      <c r="C38" s="143"/>
      <c r="D38" s="143"/>
      <c r="E38" s="32"/>
      <c r="F38" s="32" t="s">
        <v>696</v>
      </c>
      <c r="G38" s="207" t="s">
        <v>1126</v>
      </c>
      <c r="H38" s="32">
        <v>19</v>
      </c>
      <c r="I38" s="32">
        <v>18</v>
      </c>
      <c r="J38" s="32">
        <v>2</v>
      </c>
      <c r="K38" s="143" t="s">
        <v>1607</v>
      </c>
      <c r="L38" s="143" t="s">
        <v>929</v>
      </c>
      <c r="M38" s="144" t="s">
        <v>981</v>
      </c>
    </row>
    <row r="39" spans="1:69" ht="68.25">
      <c r="A39" s="143"/>
      <c r="B39" s="143"/>
      <c r="C39" s="143"/>
      <c r="D39" s="143"/>
      <c r="E39" s="32"/>
      <c r="F39" s="32" t="s">
        <v>966</v>
      </c>
      <c r="G39" s="207" t="s">
        <v>1126</v>
      </c>
      <c r="H39" s="32">
        <v>22</v>
      </c>
      <c r="I39" s="32">
        <v>20</v>
      </c>
      <c r="J39" s="32">
        <v>3</v>
      </c>
      <c r="K39" s="32" t="s">
        <v>921</v>
      </c>
      <c r="L39" s="143" t="s">
        <v>929</v>
      </c>
      <c r="M39" s="144" t="s">
        <v>980</v>
      </c>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row>
    <row r="40" spans="1:69" ht="68.25">
      <c r="A40" s="143"/>
      <c r="B40" s="143"/>
      <c r="C40" s="143"/>
      <c r="D40" s="143"/>
      <c r="E40" s="32"/>
      <c r="F40" s="32" t="s">
        <v>966</v>
      </c>
      <c r="G40" s="207" t="s">
        <v>1126</v>
      </c>
      <c r="H40" s="32">
        <v>24</v>
      </c>
      <c r="I40" s="32">
        <v>23</v>
      </c>
      <c r="J40" s="32">
        <v>2</v>
      </c>
      <c r="K40" s="32" t="s">
        <v>921</v>
      </c>
      <c r="L40" s="143" t="s">
        <v>929</v>
      </c>
      <c r="M40" s="144" t="s">
        <v>979</v>
      </c>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row>
    <row r="41" spans="1:69" ht="27.75">
      <c r="A41" s="143"/>
      <c r="B41" s="143"/>
      <c r="C41" s="143"/>
      <c r="D41" s="143"/>
      <c r="E41" s="32"/>
      <c r="F41" s="32" t="s">
        <v>966</v>
      </c>
      <c r="G41" s="207" t="s">
        <v>1126</v>
      </c>
      <c r="H41" s="32">
        <v>25</v>
      </c>
      <c r="I41" s="32">
        <v>25</v>
      </c>
      <c r="J41" s="32">
        <v>1</v>
      </c>
      <c r="K41" s="32" t="s">
        <v>921</v>
      </c>
      <c r="L41" s="143" t="s">
        <v>929</v>
      </c>
      <c r="M41" s="144" t="s">
        <v>1741</v>
      </c>
    </row>
    <row r="42" spans="1:69">
      <c r="A42" s="143" t="s">
        <v>1762</v>
      </c>
      <c r="B42" s="143" t="s">
        <v>1762</v>
      </c>
      <c r="C42" s="143" t="s">
        <v>1763</v>
      </c>
      <c r="D42" s="143" t="s">
        <v>1764</v>
      </c>
      <c r="E42" s="32"/>
      <c r="F42" s="32" t="s">
        <v>696</v>
      </c>
      <c r="G42" s="143" t="s">
        <v>1767</v>
      </c>
      <c r="H42" s="32">
        <v>0</v>
      </c>
      <c r="I42" s="32">
        <v>0</v>
      </c>
      <c r="J42" s="32">
        <v>1</v>
      </c>
      <c r="K42" s="32" t="s">
        <v>693</v>
      </c>
      <c r="L42" s="143" t="s">
        <v>929</v>
      </c>
      <c r="M42" s="143" t="s">
        <v>1766</v>
      </c>
    </row>
    <row r="43" spans="1:69">
      <c r="A43" s="143"/>
      <c r="B43" s="143"/>
      <c r="C43" s="143"/>
      <c r="D43" s="143"/>
      <c r="E43" s="32"/>
      <c r="F43" s="32" t="s">
        <v>696</v>
      </c>
      <c r="G43" s="143" t="s">
        <v>1765</v>
      </c>
      <c r="H43" s="32">
        <v>1</v>
      </c>
      <c r="I43" s="32">
        <v>1</v>
      </c>
      <c r="J43" s="32">
        <v>1</v>
      </c>
      <c r="K43" s="32" t="s">
        <v>693</v>
      </c>
      <c r="L43" s="143" t="s">
        <v>929</v>
      </c>
      <c r="M43" s="143" t="s">
        <v>1765</v>
      </c>
    </row>
    <row r="44" spans="1:69">
      <c r="A44" s="143"/>
      <c r="B44" s="143"/>
      <c r="C44" s="143"/>
      <c r="D44" s="143"/>
      <c r="E44" s="32"/>
      <c r="F44" s="32" t="s">
        <v>696</v>
      </c>
      <c r="G44" s="143" t="s">
        <v>1769</v>
      </c>
      <c r="H44" s="32">
        <v>9</v>
      </c>
      <c r="I44" s="32">
        <v>2</v>
      </c>
      <c r="J44" s="32">
        <v>8</v>
      </c>
      <c r="K44" s="143" t="s">
        <v>1774</v>
      </c>
      <c r="L44" s="143" t="s">
        <v>929</v>
      </c>
      <c r="M44" s="143" t="s">
        <v>1771</v>
      </c>
    </row>
    <row r="45" spans="1:69">
      <c r="A45" s="32"/>
      <c r="B45" s="32"/>
      <c r="C45" s="32"/>
      <c r="D45" s="32"/>
      <c r="E45" s="32"/>
      <c r="F45" s="32" t="s">
        <v>696</v>
      </c>
      <c r="G45" s="143" t="s">
        <v>1770</v>
      </c>
      <c r="H45" s="32">
        <v>17</v>
      </c>
      <c r="I45" s="32">
        <v>10</v>
      </c>
      <c r="J45" s="32">
        <v>8</v>
      </c>
      <c r="K45" s="143" t="s">
        <v>1773</v>
      </c>
      <c r="L45" s="143" t="s">
        <v>929</v>
      </c>
      <c r="M45" s="143" t="s">
        <v>1772</v>
      </c>
    </row>
    <row r="46" spans="1:69" ht="95.25">
      <c r="A46" s="143" t="s">
        <v>1321</v>
      </c>
      <c r="B46" s="143" t="s">
        <v>1320</v>
      </c>
      <c r="C46" s="143" t="s">
        <v>1297</v>
      </c>
      <c r="D46" s="143" t="s">
        <v>1298</v>
      </c>
      <c r="E46" s="32"/>
      <c r="F46" s="32" t="s">
        <v>696</v>
      </c>
      <c r="G46" s="32" t="s">
        <v>815</v>
      </c>
      <c r="H46" s="32">
        <v>3</v>
      </c>
      <c r="I46" s="32">
        <v>0</v>
      </c>
      <c r="J46" s="32">
        <v>4</v>
      </c>
      <c r="K46" s="32" t="s">
        <v>693</v>
      </c>
      <c r="L46" s="32" t="s">
        <v>698</v>
      </c>
      <c r="M46" s="144" t="s">
        <v>2344</v>
      </c>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row>
    <row r="47" spans="1:69" ht="27.75">
      <c r="A47" s="143" t="s">
        <v>1322</v>
      </c>
      <c r="B47" s="143" t="s">
        <v>1322</v>
      </c>
      <c r="C47" s="143" t="s">
        <v>1300</v>
      </c>
      <c r="D47" s="143" t="s">
        <v>1299</v>
      </c>
      <c r="E47" s="32"/>
      <c r="F47" s="32" t="s">
        <v>696</v>
      </c>
      <c r="G47" s="32" t="s">
        <v>816</v>
      </c>
      <c r="H47" s="32">
        <v>6</v>
      </c>
      <c r="I47" s="32">
        <v>0</v>
      </c>
      <c r="J47" s="32">
        <v>7</v>
      </c>
      <c r="K47" s="32" t="s">
        <v>711</v>
      </c>
      <c r="L47" s="32" t="s">
        <v>712</v>
      </c>
      <c r="M47" s="144" t="s">
        <v>286</v>
      </c>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row>
    <row r="48" spans="1:69" ht="27.75">
      <c r="A48" s="32"/>
      <c r="B48" s="32"/>
      <c r="C48" s="32"/>
      <c r="D48" s="32"/>
      <c r="E48" s="32"/>
      <c r="F48" s="32" t="s">
        <v>696</v>
      </c>
      <c r="G48" s="32" t="s">
        <v>817</v>
      </c>
      <c r="H48" s="32">
        <v>13</v>
      </c>
      <c r="I48" s="32">
        <v>7</v>
      </c>
      <c r="J48" s="32">
        <v>7</v>
      </c>
      <c r="K48" s="32" t="s">
        <v>711</v>
      </c>
      <c r="L48" s="32" t="s">
        <v>712</v>
      </c>
      <c r="M48" s="144" t="s">
        <v>286</v>
      </c>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row>
    <row r="49" spans="1:69" ht="27.75">
      <c r="A49" s="32"/>
      <c r="B49" s="32"/>
      <c r="C49" s="32"/>
      <c r="D49" s="32"/>
      <c r="E49" s="32"/>
      <c r="F49" s="32" t="s">
        <v>696</v>
      </c>
      <c r="G49" s="32" t="s">
        <v>818</v>
      </c>
      <c r="H49" s="32">
        <v>20</v>
      </c>
      <c r="I49" s="32">
        <v>14</v>
      </c>
      <c r="J49" s="32">
        <v>7</v>
      </c>
      <c r="K49" s="32" t="s">
        <v>711</v>
      </c>
      <c r="L49" s="32" t="s">
        <v>712</v>
      </c>
      <c r="M49" s="144" t="s">
        <v>286</v>
      </c>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row>
    <row r="50" spans="1:69">
      <c r="A50" s="32"/>
      <c r="B50" s="32"/>
      <c r="C50" s="32"/>
      <c r="D50" s="32"/>
      <c r="E50" s="32"/>
      <c r="F50" s="32" t="s">
        <v>696</v>
      </c>
      <c r="G50" s="32" t="s">
        <v>819</v>
      </c>
      <c r="H50" s="32">
        <v>21</v>
      </c>
      <c r="I50" s="32">
        <v>21</v>
      </c>
      <c r="J50" s="32">
        <v>1</v>
      </c>
      <c r="K50" s="32" t="s">
        <v>693</v>
      </c>
      <c r="L50" s="32" t="s">
        <v>712</v>
      </c>
      <c r="M50" s="143" t="s">
        <v>630</v>
      </c>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row>
    <row r="51" spans="1:69">
      <c r="A51" s="32"/>
      <c r="B51" s="32"/>
      <c r="C51" s="32"/>
      <c r="D51" s="32"/>
      <c r="E51" s="32"/>
      <c r="F51" s="32" t="s">
        <v>696</v>
      </c>
      <c r="G51" s="206" t="s">
        <v>907</v>
      </c>
      <c r="H51" s="32">
        <v>26</v>
      </c>
      <c r="I51" s="32">
        <v>22</v>
      </c>
      <c r="J51" s="32">
        <v>5</v>
      </c>
      <c r="K51" s="32" t="s">
        <v>693</v>
      </c>
      <c r="L51" s="32" t="s">
        <v>712</v>
      </c>
      <c r="M51" s="32" t="s">
        <v>908</v>
      </c>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row>
    <row r="52" spans="1:69" ht="41.25">
      <c r="A52" s="143" t="s">
        <v>1323</v>
      </c>
      <c r="B52" s="143" t="s">
        <v>1323</v>
      </c>
      <c r="C52" s="143" t="s">
        <v>1301</v>
      </c>
      <c r="D52" s="143" t="s">
        <v>1302</v>
      </c>
      <c r="E52" s="32"/>
      <c r="F52" s="32" t="s">
        <v>696</v>
      </c>
      <c r="G52" s="143" t="s">
        <v>1780</v>
      </c>
      <c r="H52" s="32">
        <v>31</v>
      </c>
      <c r="I52" s="32">
        <v>0</v>
      </c>
      <c r="J52" s="32">
        <v>32</v>
      </c>
      <c r="K52" s="32" t="s">
        <v>693</v>
      </c>
      <c r="L52" s="32" t="s">
        <v>698</v>
      </c>
      <c r="M52" s="144" t="s">
        <v>996</v>
      </c>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row>
    <row r="53" spans="1:69" ht="41.25">
      <c r="A53" s="143" t="s">
        <v>1325</v>
      </c>
      <c r="B53" s="143" t="s">
        <v>1325</v>
      </c>
      <c r="C53" s="143" t="s">
        <v>1206</v>
      </c>
      <c r="D53" s="143" t="s">
        <v>1303</v>
      </c>
      <c r="E53" s="32"/>
      <c r="F53" s="32" t="s">
        <v>696</v>
      </c>
      <c r="G53" s="32" t="s">
        <v>820</v>
      </c>
      <c r="H53" s="32">
        <v>0</v>
      </c>
      <c r="I53" s="32">
        <v>0</v>
      </c>
      <c r="J53" s="32">
        <v>1</v>
      </c>
      <c r="K53" s="32" t="s">
        <v>693</v>
      </c>
      <c r="L53" s="32" t="s">
        <v>698</v>
      </c>
      <c r="M53" s="144" t="s">
        <v>997</v>
      </c>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row>
    <row r="54" spans="1:69" ht="27.75">
      <c r="A54" s="143" t="s">
        <v>1324</v>
      </c>
      <c r="B54" s="32" t="s">
        <v>713</v>
      </c>
      <c r="C54" s="143" t="s">
        <v>1304</v>
      </c>
      <c r="D54" s="143" t="s">
        <v>1310</v>
      </c>
      <c r="E54" s="32"/>
      <c r="F54" s="32" t="s">
        <v>696</v>
      </c>
      <c r="G54" s="143" t="s">
        <v>1779</v>
      </c>
      <c r="H54" s="32">
        <v>31</v>
      </c>
      <c r="I54" s="32">
        <v>0</v>
      </c>
      <c r="J54" s="32">
        <v>32</v>
      </c>
      <c r="K54" s="32" t="s">
        <v>693</v>
      </c>
      <c r="L54" s="32" t="s">
        <v>698</v>
      </c>
      <c r="M54" s="144" t="s">
        <v>624</v>
      </c>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row>
    <row r="55" spans="1:69" ht="27.75">
      <c r="A55" s="32" t="s">
        <v>714</v>
      </c>
      <c r="B55" s="32" t="s">
        <v>714</v>
      </c>
      <c r="C55" s="143" t="s">
        <v>1305</v>
      </c>
      <c r="D55" s="143" t="s">
        <v>1311</v>
      </c>
      <c r="E55" s="32"/>
      <c r="F55" s="32" t="s">
        <v>696</v>
      </c>
      <c r="G55" s="32" t="s">
        <v>821</v>
      </c>
      <c r="H55" s="32">
        <v>0</v>
      </c>
      <c r="I55" s="32">
        <v>0</v>
      </c>
      <c r="J55" s="32">
        <v>1</v>
      </c>
      <c r="K55" s="32" t="s">
        <v>693</v>
      </c>
      <c r="L55" s="32" t="s">
        <v>698</v>
      </c>
      <c r="M55" s="144" t="s">
        <v>625</v>
      </c>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row>
    <row r="56" spans="1:69" ht="27.75">
      <c r="A56" s="32" t="s">
        <v>716</v>
      </c>
      <c r="B56" s="32" t="s">
        <v>716</v>
      </c>
      <c r="C56" s="143" t="s">
        <v>1306</v>
      </c>
      <c r="D56" s="143" t="s">
        <v>1312</v>
      </c>
      <c r="E56" s="32"/>
      <c r="F56" s="32" t="s">
        <v>696</v>
      </c>
      <c r="G56" s="32" t="s">
        <v>822</v>
      </c>
      <c r="H56" s="32">
        <v>31</v>
      </c>
      <c r="I56" s="32">
        <v>0</v>
      </c>
      <c r="J56" s="32">
        <v>32</v>
      </c>
      <c r="K56" s="32" t="s">
        <v>693</v>
      </c>
      <c r="L56" s="32" t="s">
        <v>698</v>
      </c>
      <c r="M56" s="144" t="s">
        <v>626</v>
      </c>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row>
    <row r="57" spans="1:69" ht="27.75">
      <c r="A57" s="32" t="s">
        <v>711</v>
      </c>
      <c r="B57" s="32" t="s">
        <v>711</v>
      </c>
      <c r="C57" s="143" t="s">
        <v>715</v>
      </c>
      <c r="D57" s="143" t="s">
        <v>1313</v>
      </c>
      <c r="E57" s="32"/>
      <c r="F57" s="32" t="s">
        <v>696</v>
      </c>
      <c r="G57" s="32" t="s">
        <v>823</v>
      </c>
      <c r="H57" s="32">
        <v>0</v>
      </c>
      <c r="I57" s="32">
        <v>0</v>
      </c>
      <c r="J57" s="32">
        <v>1</v>
      </c>
      <c r="K57" s="32" t="s">
        <v>693</v>
      </c>
      <c r="L57" s="32" t="s">
        <v>698</v>
      </c>
      <c r="M57" s="144" t="s">
        <v>627</v>
      </c>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row>
    <row r="58" spans="1:69">
      <c r="A58" s="32" t="s">
        <v>718</v>
      </c>
      <c r="B58" s="32" t="s">
        <v>718</v>
      </c>
      <c r="C58" s="143" t="s">
        <v>717</v>
      </c>
      <c r="D58" s="143" t="s">
        <v>1314</v>
      </c>
      <c r="E58" s="32"/>
      <c r="F58" s="32" t="s">
        <v>696</v>
      </c>
      <c r="G58" s="32" t="s">
        <v>824</v>
      </c>
      <c r="H58" s="32">
        <v>23</v>
      </c>
      <c r="I58" s="32">
        <v>0</v>
      </c>
      <c r="J58" s="32">
        <v>24</v>
      </c>
      <c r="K58" s="32" t="s">
        <v>693</v>
      </c>
      <c r="L58" s="32" t="s">
        <v>712</v>
      </c>
      <c r="M58" s="143" t="s">
        <v>326</v>
      </c>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row>
    <row r="59" spans="1:69">
      <c r="A59" s="32" t="s">
        <v>719</v>
      </c>
      <c r="B59" s="32" t="s">
        <v>719</v>
      </c>
      <c r="C59" s="143" t="s">
        <v>1307</v>
      </c>
      <c r="D59" s="143" t="s">
        <v>1315</v>
      </c>
      <c r="E59" s="32"/>
      <c r="F59" s="32" t="s">
        <v>696</v>
      </c>
      <c r="G59" s="32" t="s">
        <v>825</v>
      </c>
      <c r="H59" s="32">
        <v>23</v>
      </c>
      <c r="I59" s="32">
        <v>0</v>
      </c>
      <c r="J59" s="32">
        <v>24</v>
      </c>
      <c r="K59" s="32" t="s">
        <v>693</v>
      </c>
      <c r="L59" s="32" t="s">
        <v>712</v>
      </c>
      <c r="M59" s="32" t="s">
        <v>720</v>
      </c>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row>
    <row r="60" spans="1:69">
      <c r="A60" s="32" t="s">
        <v>721</v>
      </c>
      <c r="B60" s="32" t="s">
        <v>721</v>
      </c>
      <c r="C60" s="143" t="s">
        <v>1308</v>
      </c>
      <c r="D60" s="143" t="s">
        <v>1316</v>
      </c>
      <c r="E60" s="32"/>
      <c r="F60" s="32" t="s">
        <v>696</v>
      </c>
      <c r="G60" s="143" t="s">
        <v>1286</v>
      </c>
      <c r="H60" s="32">
        <v>23</v>
      </c>
      <c r="I60" s="32">
        <v>0</v>
      </c>
      <c r="J60" s="32">
        <v>24</v>
      </c>
      <c r="K60" s="32" t="s">
        <v>693</v>
      </c>
      <c r="L60" s="32" t="s">
        <v>712</v>
      </c>
      <c r="M60" s="143" t="s">
        <v>1288</v>
      </c>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row>
    <row r="61" spans="1:69">
      <c r="A61" s="32" t="s">
        <v>722</v>
      </c>
      <c r="B61" s="32" t="s">
        <v>722</v>
      </c>
      <c r="C61" s="143" t="s">
        <v>1309</v>
      </c>
      <c r="D61" s="143" t="s">
        <v>1317</v>
      </c>
      <c r="E61" s="32"/>
      <c r="F61" s="32" t="s">
        <v>696</v>
      </c>
      <c r="G61" s="143" t="s">
        <v>1287</v>
      </c>
      <c r="H61" s="32">
        <v>23</v>
      </c>
      <c r="I61" s="32">
        <v>0</v>
      </c>
      <c r="J61" s="32">
        <v>24</v>
      </c>
      <c r="K61" s="32" t="s">
        <v>693</v>
      </c>
      <c r="L61" s="32" t="s">
        <v>712</v>
      </c>
      <c r="M61" s="143" t="s">
        <v>1289</v>
      </c>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row>
    <row r="62" spans="1:69" ht="41.25">
      <c r="A62" s="32" t="s">
        <v>723</v>
      </c>
      <c r="B62" s="32" t="s">
        <v>723</v>
      </c>
      <c r="C62" s="143" t="s">
        <v>1645</v>
      </c>
      <c r="D62" s="143" t="s">
        <v>1318</v>
      </c>
      <c r="E62" s="32"/>
      <c r="F62" s="32" t="s">
        <v>696</v>
      </c>
      <c r="G62" s="143" t="s">
        <v>1634</v>
      </c>
      <c r="H62" s="32">
        <v>0</v>
      </c>
      <c r="I62" s="32">
        <v>0</v>
      </c>
      <c r="J62" s="32">
        <v>1</v>
      </c>
      <c r="K62" s="32" t="s">
        <v>693</v>
      </c>
      <c r="L62" s="143" t="s">
        <v>929</v>
      </c>
      <c r="M62" s="144" t="s">
        <v>1636</v>
      </c>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row>
    <row r="63" spans="1:69" ht="41.25">
      <c r="A63" s="32"/>
      <c r="B63" s="32"/>
      <c r="C63" s="32"/>
      <c r="D63" s="32"/>
      <c r="E63" s="32"/>
      <c r="F63" s="32" t="s">
        <v>696</v>
      </c>
      <c r="G63" s="32" t="s">
        <v>724</v>
      </c>
      <c r="H63" s="32">
        <v>1</v>
      </c>
      <c r="I63" s="32">
        <v>1</v>
      </c>
      <c r="J63" s="32">
        <v>1</v>
      </c>
      <c r="K63" s="32" t="s">
        <v>693</v>
      </c>
      <c r="L63" s="32" t="s">
        <v>698</v>
      </c>
      <c r="M63" s="144" t="s">
        <v>639</v>
      </c>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row>
    <row r="64" spans="1:69" ht="41.25">
      <c r="A64" s="32"/>
      <c r="B64" s="32"/>
      <c r="C64" s="32"/>
      <c r="D64" s="32"/>
      <c r="E64" s="32"/>
      <c r="F64" s="32" t="s">
        <v>696</v>
      </c>
      <c r="G64" s="32" t="s">
        <v>725</v>
      </c>
      <c r="H64" s="32">
        <v>2</v>
      </c>
      <c r="I64" s="32">
        <v>2</v>
      </c>
      <c r="J64" s="32">
        <v>1</v>
      </c>
      <c r="K64" s="32" t="s">
        <v>693</v>
      </c>
      <c r="L64" s="32" t="s">
        <v>698</v>
      </c>
      <c r="M64" s="144" t="s">
        <v>309</v>
      </c>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row>
    <row r="65" spans="1:69" ht="41.25">
      <c r="A65" s="32"/>
      <c r="B65" s="32"/>
      <c r="C65" s="32"/>
      <c r="D65" s="32"/>
      <c r="E65" s="32"/>
      <c r="F65" s="32" t="s">
        <v>696</v>
      </c>
      <c r="G65" s="32" t="s">
        <v>726</v>
      </c>
      <c r="H65" s="32">
        <v>3</v>
      </c>
      <c r="I65" s="32">
        <v>3</v>
      </c>
      <c r="J65" s="32">
        <v>1</v>
      </c>
      <c r="K65" s="32" t="s">
        <v>693</v>
      </c>
      <c r="L65" s="32" t="s">
        <v>698</v>
      </c>
      <c r="M65" s="144" t="s">
        <v>452</v>
      </c>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row>
    <row r="66" spans="1:69" ht="41.25">
      <c r="A66" s="32"/>
      <c r="B66" s="32"/>
      <c r="C66" s="32"/>
      <c r="D66" s="32"/>
      <c r="E66" s="32"/>
      <c r="F66" s="32" t="s">
        <v>696</v>
      </c>
      <c r="G66" s="32" t="s">
        <v>727</v>
      </c>
      <c r="H66" s="32">
        <v>4</v>
      </c>
      <c r="I66" s="32">
        <v>4</v>
      </c>
      <c r="J66" s="32">
        <v>1</v>
      </c>
      <c r="K66" s="32" t="s">
        <v>693</v>
      </c>
      <c r="L66" s="32" t="s">
        <v>698</v>
      </c>
      <c r="M66" s="144" t="s">
        <v>453</v>
      </c>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row>
    <row r="67" spans="1:69" ht="41.25">
      <c r="A67" s="32"/>
      <c r="B67" s="32"/>
      <c r="C67" s="32"/>
      <c r="D67" s="32"/>
      <c r="E67" s="32"/>
      <c r="F67" s="32" t="s">
        <v>696</v>
      </c>
      <c r="G67" s="32" t="s">
        <v>728</v>
      </c>
      <c r="H67" s="32">
        <v>5</v>
      </c>
      <c r="I67" s="32">
        <v>5</v>
      </c>
      <c r="J67" s="32">
        <v>1</v>
      </c>
      <c r="K67" s="32" t="s">
        <v>693</v>
      </c>
      <c r="L67" s="32" t="s">
        <v>698</v>
      </c>
      <c r="M67" s="144" t="s">
        <v>454</v>
      </c>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row>
    <row r="68" spans="1:69" ht="41.25">
      <c r="A68" s="32"/>
      <c r="B68" s="32"/>
      <c r="C68" s="32"/>
      <c r="D68" s="32"/>
      <c r="E68" s="32"/>
      <c r="F68" s="32" t="s">
        <v>696</v>
      </c>
      <c r="G68" s="32" t="s">
        <v>729</v>
      </c>
      <c r="H68" s="32">
        <v>6</v>
      </c>
      <c r="I68" s="32">
        <v>6</v>
      </c>
      <c r="J68" s="32">
        <v>1</v>
      </c>
      <c r="K68" s="32" t="s">
        <v>693</v>
      </c>
      <c r="L68" s="32" t="s">
        <v>698</v>
      </c>
      <c r="M68" s="144" t="s">
        <v>503</v>
      </c>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row>
    <row r="69" spans="1:69" ht="41.25">
      <c r="A69" s="32"/>
      <c r="B69" s="32"/>
      <c r="C69" s="32"/>
      <c r="D69" s="32"/>
      <c r="E69" s="32"/>
      <c r="F69" s="32" t="s">
        <v>696</v>
      </c>
      <c r="G69" s="206" t="s">
        <v>730</v>
      </c>
      <c r="H69" s="32">
        <v>7</v>
      </c>
      <c r="I69" s="32">
        <v>7</v>
      </c>
      <c r="J69" s="32">
        <v>1</v>
      </c>
      <c r="K69" s="32" t="s">
        <v>693</v>
      </c>
      <c r="L69" s="32" t="s">
        <v>698</v>
      </c>
      <c r="M69" s="144" t="s">
        <v>455</v>
      </c>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row>
    <row r="70" spans="1:69" ht="41.25">
      <c r="A70" s="32"/>
      <c r="B70" s="32"/>
      <c r="C70" s="32"/>
      <c r="D70" s="32"/>
      <c r="E70" s="32"/>
      <c r="F70" s="32" t="s">
        <v>696</v>
      </c>
      <c r="G70" s="207" t="s">
        <v>1281</v>
      </c>
      <c r="H70" s="32">
        <v>8</v>
      </c>
      <c r="I70" s="32">
        <v>8</v>
      </c>
      <c r="J70" s="32">
        <v>1</v>
      </c>
      <c r="K70" s="32" t="s">
        <v>693</v>
      </c>
      <c r="L70" s="32" t="s">
        <v>698</v>
      </c>
      <c r="M70" s="144" t="s">
        <v>456</v>
      </c>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row>
    <row r="71" spans="1:69" ht="41.25">
      <c r="A71" s="32"/>
      <c r="B71" s="32"/>
      <c r="C71" s="32"/>
      <c r="D71" s="32"/>
      <c r="E71" s="32"/>
      <c r="F71" s="32" t="s">
        <v>696</v>
      </c>
      <c r="G71" s="207" t="s">
        <v>1475</v>
      </c>
      <c r="H71" s="32">
        <v>9</v>
      </c>
      <c r="I71" s="32">
        <v>9</v>
      </c>
      <c r="J71" s="32">
        <v>1</v>
      </c>
      <c r="K71" s="32" t="s">
        <v>693</v>
      </c>
      <c r="L71" s="32" t="s">
        <v>698</v>
      </c>
      <c r="M71" s="144" t="s">
        <v>456</v>
      </c>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row>
    <row r="72" spans="1:69" ht="41.25">
      <c r="A72" s="32"/>
      <c r="B72" s="32"/>
      <c r="C72" s="32"/>
      <c r="D72" s="32"/>
      <c r="E72" s="32"/>
      <c r="F72" s="32" t="s">
        <v>696</v>
      </c>
      <c r="G72" s="32" t="s">
        <v>731</v>
      </c>
      <c r="H72" s="32">
        <v>10</v>
      </c>
      <c r="I72" s="32">
        <v>10</v>
      </c>
      <c r="J72" s="32">
        <v>1</v>
      </c>
      <c r="K72" s="32" t="s">
        <v>693</v>
      </c>
      <c r="L72" s="32" t="s">
        <v>698</v>
      </c>
      <c r="M72" s="144" t="s">
        <v>284</v>
      </c>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row>
    <row r="73" spans="1:69" ht="41.25">
      <c r="A73" s="32"/>
      <c r="B73" s="32"/>
      <c r="C73" s="32"/>
      <c r="D73" s="32"/>
      <c r="E73" s="32"/>
      <c r="F73" s="32" t="s">
        <v>696</v>
      </c>
      <c r="G73" s="206" t="s">
        <v>732</v>
      </c>
      <c r="H73" s="32">
        <v>11</v>
      </c>
      <c r="I73" s="32">
        <v>11</v>
      </c>
      <c r="J73" s="32">
        <v>1</v>
      </c>
      <c r="K73" s="32" t="s">
        <v>693</v>
      </c>
      <c r="L73" s="32" t="s">
        <v>698</v>
      </c>
      <c r="M73" s="144" t="s">
        <v>451</v>
      </c>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row>
    <row r="74" spans="1:69" ht="41.25">
      <c r="A74" s="32"/>
      <c r="B74" s="32"/>
      <c r="C74" s="32"/>
      <c r="D74" s="32"/>
      <c r="E74" s="32"/>
      <c r="F74" s="32" t="s">
        <v>696</v>
      </c>
      <c r="G74" s="206" t="s">
        <v>733</v>
      </c>
      <c r="H74" s="32">
        <v>12</v>
      </c>
      <c r="I74" s="32">
        <v>12</v>
      </c>
      <c r="J74" s="32">
        <v>1</v>
      </c>
      <c r="K74" s="32" t="s">
        <v>693</v>
      </c>
      <c r="L74" s="32" t="s">
        <v>698</v>
      </c>
      <c r="M74" s="144" t="s">
        <v>450</v>
      </c>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row>
    <row r="75" spans="1:69" ht="41.25">
      <c r="A75" s="32"/>
      <c r="B75" s="32"/>
      <c r="C75" s="32"/>
      <c r="D75" s="32"/>
      <c r="E75" s="32"/>
      <c r="F75" s="32" t="s">
        <v>696</v>
      </c>
      <c r="G75" s="206" t="s">
        <v>734</v>
      </c>
      <c r="H75" s="32">
        <v>13</v>
      </c>
      <c r="I75" s="32">
        <v>13</v>
      </c>
      <c r="J75" s="32">
        <v>1</v>
      </c>
      <c r="K75" s="32" t="s">
        <v>693</v>
      </c>
      <c r="L75" s="32" t="s">
        <v>698</v>
      </c>
      <c r="M75" s="144" t="s">
        <v>449</v>
      </c>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row>
    <row r="76" spans="1:69" ht="41.25">
      <c r="A76" s="32"/>
      <c r="B76" s="32"/>
      <c r="C76" s="32"/>
      <c r="D76" s="32"/>
      <c r="E76" s="32"/>
      <c r="F76" s="32" t="s">
        <v>696</v>
      </c>
      <c r="G76" s="206" t="s">
        <v>735</v>
      </c>
      <c r="H76" s="32">
        <v>14</v>
      </c>
      <c r="I76" s="32">
        <v>14</v>
      </c>
      <c r="J76" s="32">
        <v>1</v>
      </c>
      <c r="K76" s="32" t="s">
        <v>693</v>
      </c>
      <c r="L76" s="32" t="s">
        <v>698</v>
      </c>
      <c r="M76" s="144" t="s">
        <v>448</v>
      </c>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row>
    <row r="77" spans="1:69" ht="41.25">
      <c r="A77" s="32"/>
      <c r="B77" s="32"/>
      <c r="C77" s="32"/>
      <c r="D77" s="32"/>
      <c r="E77" s="32"/>
      <c r="F77" s="32" t="s">
        <v>696</v>
      </c>
      <c r="G77" s="206" t="s">
        <v>736</v>
      </c>
      <c r="H77" s="32">
        <v>15</v>
      </c>
      <c r="I77" s="32">
        <v>15</v>
      </c>
      <c r="J77" s="32">
        <v>1</v>
      </c>
      <c r="K77" s="32" t="s">
        <v>693</v>
      </c>
      <c r="L77" s="32" t="s">
        <v>698</v>
      </c>
      <c r="M77" s="144" t="s">
        <v>447</v>
      </c>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row>
    <row r="78" spans="1:69" ht="41.25">
      <c r="A78" s="32"/>
      <c r="B78" s="32"/>
      <c r="C78" s="32"/>
      <c r="D78" s="32"/>
      <c r="E78" s="32"/>
      <c r="F78" s="32" t="s">
        <v>696</v>
      </c>
      <c r="G78" s="206" t="s">
        <v>737</v>
      </c>
      <c r="H78" s="32">
        <v>16</v>
      </c>
      <c r="I78" s="32">
        <v>16</v>
      </c>
      <c r="J78" s="32">
        <v>1</v>
      </c>
      <c r="K78" s="32" t="s">
        <v>693</v>
      </c>
      <c r="L78" s="32" t="s">
        <v>698</v>
      </c>
      <c r="M78" s="144" t="s">
        <v>446</v>
      </c>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row>
    <row r="79" spans="1:69" ht="41.25">
      <c r="A79" s="32"/>
      <c r="B79" s="32"/>
      <c r="C79" s="32"/>
      <c r="D79" s="32"/>
      <c r="E79" s="32"/>
      <c r="F79" s="32" t="s">
        <v>696</v>
      </c>
      <c r="G79" s="206" t="s">
        <v>738</v>
      </c>
      <c r="H79" s="32">
        <v>17</v>
      </c>
      <c r="I79" s="32">
        <v>17</v>
      </c>
      <c r="J79" s="32">
        <v>1</v>
      </c>
      <c r="K79" s="32" t="s">
        <v>693</v>
      </c>
      <c r="L79" s="32" t="s">
        <v>698</v>
      </c>
      <c r="M79" s="144" t="s">
        <v>445</v>
      </c>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row>
    <row r="80" spans="1:69" ht="41.25">
      <c r="A80" s="32"/>
      <c r="B80" s="32"/>
      <c r="C80" s="32"/>
      <c r="D80" s="32"/>
      <c r="E80" s="32"/>
      <c r="F80" s="32" t="s">
        <v>696</v>
      </c>
      <c r="G80" s="206" t="s">
        <v>739</v>
      </c>
      <c r="H80" s="32">
        <v>18</v>
      </c>
      <c r="I80" s="32">
        <v>18</v>
      </c>
      <c r="J80" s="32">
        <v>1</v>
      </c>
      <c r="K80" s="32" t="s">
        <v>693</v>
      </c>
      <c r="L80" s="32" t="s">
        <v>698</v>
      </c>
      <c r="M80" s="144" t="s">
        <v>444</v>
      </c>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row>
    <row r="81" spans="1:69" ht="41.25">
      <c r="A81" s="32"/>
      <c r="B81" s="32"/>
      <c r="C81" s="32"/>
      <c r="D81" s="32"/>
      <c r="E81" s="32"/>
      <c r="F81" s="32" t="s">
        <v>696</v>
      </c>
      <c r="G81" s="206" t="s">
        <v>740</v>
      </c>
      <c r="H81" s="32">
        <v>19</v>
      </c>
      <c r="I81" s="32">
        <v>19</v>
      </c>
      <c r="J81" s="32">
        <v>1</v>
      </c>
      <c r="K81" s="32" t="s">
        <v>693</v>
      </c>
      <c r="L81" s="32" t="s">
        <v>698</v>
      </c>
      <c r="M81" s="144" t="s">
        <v>443</v>
      </c>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row>
    <row r="82" spans="1:69" ht="41.25">
      <c r="A82" s="32"/>
      <c r="B82" s="32"/>
      <c r="C82" s="32"/>
      <c r="D82" s="32"/>
      <c r="E82" s="32"/>
      <c r="F82" s="32" t="s">
        <v>696</v>
      </c>
      <c r="G82" s="206" t="s">
        <v>741</v>
      </c>
      <c r="H82" s="32">
        <v>20</v>
      </c>
      <c r="I82" s="32">
        <v>20</v>
      </c>
      <c r="J82" s="32">
        <v>1</v>
      </c>
      <c r="K82" s="32" t="s">
        <v>693</v>
      </c>
      <c r="L82" s="32" t="s">
        <v>698</v>
      </c>
      <c r="M82" s="144" t="s">
        <v>442</v>
      </c>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row>
    <row r="83" spans="1:69" ht="41.25">
      <c r="A83" s="32"/>
      <c r="B83" s="32"/>
      <c r="C83" s="32"/>
      <c r="D83" s="32"/>
      <c r="E83" s="32"/>
      <c r="F83" s="32" t="s">
        <v>966</v>
      </c>
      <c r="G83" s="143" t="s">
        <v>1660</v>
      </c>
      <c r="H83" s="32">
        <v>21</v>
      </c>
      <c r="I83" s="32">
        <v>21</v>
      </c>
      <c r="J83" s="32">
        <v>1</v>
      </c>
      <c r="K83" s="32" t="s">
        <v>921</v>
      </c>
      <c r="L83" s="143" t="s">
        <v>929</v>
      </c>
      <c r="M83" s="144" t="s">
        <v>1663</v>
      </c>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row>
    <row r="84" spans="1:69" ht="41.25">
      <c r="A84" s="32"/>
      <c r="B84" s="32"/>
      <c r="C84" s="32"/>
      <c r="D84" s="32"/>
      <c r="E84" s="32"/>
      <c r="F84" s="32" t="s">
        <v>966</v>
      </c>
      <c r="G84" s="143" t="s">
        <v>1661</v>
      </c>
      <c r="H84" s="32">
        <v>22</v>
      </c>
      <c r="I84" s="32">
        <v>22</v>
      </c>
      <c r="J84" s="32">
        <v>1</v>
      </c>
      <c r="K84" s="32" t="s">
        <v>921</v>
      </c>
      <c r="L84" s="143" t="s">
        <v>929</v>
      </c>
      <c r="M84" s="144" t="s">
        <v>1662</v>
      </c>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row>
    <row r="85" spans="1:69" ht="41.25">
      <c r="A85" s="32"/>
      <c r="B85" s="32"/>
      <c r="C85" s="32"/>
      <c r="D85" s="32"/>
      <c r="E85" s="32"/>
      <c r="F85" s="32" t="s">
        <v>966</v>
      </c>
      <c r="G85" s="143" t="s">
        <v>1009</v>
      </c>
      <c r="H85" s="32">
        <v>23</v>
      </c>
      <c r="I85" s="32">
        <v>23</v>
      </c>
      <c r="J85" s="32">
        <v>1</v>
      </c>
      <c r="K85" s="32" t="s">
        <v>921</v>
      </c>
      <c r="L85" s="143" t="s">
        <v>929</v>
      </c>
      <c r="M85" s="144" t="s">
        <v>1010</v>
      </c>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row>
    <row r="86" spans="1:69" ht="41.25">
      <c r="A86" s="32"/>
      <c r="B86" s="32"/>
      <c r="C86" s="32"/>
      <c r="D86" s="32"/>
      <c r="E86" s="32"/>
      <c r="F86" s="32" t="s">
        <v>966</v>
      </c>
      <c r="G86" s="208" t="s">
        <v>1524</v>
      </c>
      <c r="H86" s="32">
        <v>24</v>
      </c>
      <c r="I86" s="32">
        <v>24</v>
      </c>
      <c r="J86" s="32">
        <v>1</v>
      </c>
      <c r="K86" s="32" t="s">
        <v>921</v>
      </c>
      <c r="L86" s="143" t="s">
        <v>929</v>
      </c>
      <c r="M86" s="144" t="s">
        <v>1637</v>
      </c>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row>
    <row r="87" spans="1:69" ht="41.25">
      <c r="A87" s="32"/>
      <c r="B87" s="32"/>
      <c r="C87" s="32"/>
      <c r="D87" s="32"/>
      <c r="E87" s="32"/>
      <c r="F87" s="32" t="s">
        <v>966</v>
      </c>
      <c r="G87" s="207" t="s">
        <v>969</v>
      </c>
      <c r="H87" s="32">
        <v>25</v>
      </c>
      <c r="I87" s="32">
        <v>25</v>
      </c>
      <c r="J87" s="32">
        <v>1</v>
      </c>
      <c r="K87" s="150" t="s">
        <v>1290</v>
      </c>
      <c r="L87" s="143" t="s">
        <v>929</v>
      </c>
      <c r="M87" s="144" t="s">
        <v>1011</v>
      </c>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row>
    <row r="88" spans="1:69" ht="41.25">
      <c r="A88" s="32"/>
      <c r="B88" s="32"/>
      <c r="C88" s="32"/>
      <c r="D88" s="32"/>
      <c r="E88" s="32"/>
      <c r="F88" s="32" t="s">
        <v>966</v>
      </c>
      <c r="G88" s="208" t="s">
        <v>1638</v>
      </c>
      <c r="H88" s="32">
        <v>26</v>
      </c>
      <c r="I88" s="32">
        <v>26</v>
      </c>
      <c r="J88" s="32">
        <v>1</v>
      </c>
      <c r="K88" s="150" t="s">
        <v>1290</v>
      </c>
      <c r="L88" s="143" t="s">
        <v>929</v>
      </c>
      <c r="M88" s="144" t="s">
        <v>1639</v>
      </c>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row>
    <row r="89" spans="1:69" ht="41.25">
      <c r="A89" s="32"/>
      <c r="B89" s="32"/>
      <c r="C89" s="32"/>
      <c r="D89" s="32"/>
      <c r="E89" s="32"/>
      <c r="F89" s="32" t="s">
        <v>966</v>
      </c>
      <c r="G89" s="208" t="s">
        <v>1624</v>
      </c>
      <c r="H89" s="32">
        <v>27</v>
      </c>
      <c r="I89" s="32">
        <v>27</v>
      </c>
      <c r="J89" s="32">
        <v>1</v>
      </c>
      <c r="K89" s="150" t="s">
        <v>1290</v>
      </c>
      <c r="L89" s="143" t="s">
        <v>929</v>
      </c>
      <c r="M89" s="144" t="s">
        <v>1640</v>
      </c>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row>
    <row r="90" spans="1:69" ht="41.25">
      <c r="A90" s="32"/>
      <c r="B90" s="32"/>
      <c r="C90" s="32"/>
      <c r="D90" s="32"/>
      <c r="E90" s="32"/>
      <c r="F90" s="32" t="s">
        <v>966</v>
      </c>
      <c r="G90" s="208" t="s">
        <v>1625</v>
      </c>
      <c r="H90" s="146">
        <v>28</v>
      </c>
      <c r="I90" s="146">
        <v>28</v>
      </c>
      <c r="J90" s="32">
        <v>1</v>
      </c>
      <c r="K90" s="150" t="s">
        <v>1290</v>
      </c>
      <c r="L90" s="143" t="s">
        <v>1282</v>
      </c>
      <c r="M90" s="144" t="s">
        <v>1641</v>
      </c>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row>
    <row r="91" spans="1:69" ht="41.25">
      <c r="A91" s="32"/>
      <c r="B91" s="32"/>
      <c r="C91" s="32"/>
      <c r="D91" s="32"/>
      <c r="E91" s="32"/>
      <c r="F91" s="32" t="s">
        <v>966</v>
      </c>
      <c r="G91" s="208" t="s">
        <v>1626</v>
      </c>
      <c r="H91" s="146">
        <v>29</v>
      </c>
      <c r="I91" s="146">
        <v>29</v>
      </c>
      <c r="J91" s="32">
        <v>1</v>
      </c>
      <c r="K91" s="150" t="s">
        <v>1290</v>
      </c>
      <c r="L91" s="143" t="s">
        <v>1282</v>
      </c>
      <c r="M91" s="144" t="s">
        <v>1642</v>
      </c>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row>
    <row r="92" spans="1:69" ht="41.25">
      <c r="A92" s="32"/>
      <c r="B92" s="32"/>
      <c r="C92" s="32"/>
      <c r="D92" s="32"/>
      <c r="E92" s="32"/>
      <c r="F92" s="32" t="s">
        <v>966</v>
      </c>
      <c r="G92" s="127" t="s">
        <v>1627</v>
      </c>
      <c r="H92" s="146">
        <v>30</v>
      </c>
      <c r="I92" s="146">
        <v>30</v>
      </c>
      <c r="J92" s="32">
        <v>1</v>
      </c>
      <c r="K92" s="150" t="s">
        <v>1290</v>
      </c>
      <c r="L92" s="143" t="s">
        <v>1282</v>
      </c>
      <c r="M92" s="144" t="s">
        <v>1643</v>
      </c>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row>
    <row r="93" spans="1:69" ht="41.25">
      <c r="A93" s="32"/>
      <c r="B93" s="32"/>
      <c r="C93" s="32"/>
      <c r="D93" s="32"/>
      <c r="E93" s="32"/>
      <c r="F93" s="32" t="s">
        <v>966</v>
      </c>
      <c r="G93" s="127" t="s">
        <v>1628</v>
      </c>
      <c r="H93" s="146">
        <v>31</v>
      </c>
      <c r="I93" s="146">
        <v>31</v>
      </c>
      <c r="J93" s="32">
        <v>1</v>
      </c>
      <c r="K93" s="150" t="s">
        <v>1290</v>
      </c>
      <c r="L93" s="143" t="s">
        <v>1282</v>
      </c>
      <c r="M93" s="144" t="s">
        <v>1644</v>
      </c>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row>
    <row r="94" spans="1:69" ht="41.25">
      <c r="A94" s="32" t="s">
        <v>742</v>
      </c>
      <c r="B94" s="32" t="s">
        <v>742</v>
      </c>
      <c r="C94" s="143" t="s">
        <v>1330</v>
      </c>
      <c r="D94" s="143" t="s">
        <v>1207</v>
      </c>
      <c r="E94" s="32"/>
      <c r="F94" s="32" t="s">
        <v>696</v>
      </c>
      <c r="G94" s="32" t="s">
        <v>826</v>
      </c>
      <c r="H94" s="32">
        <v>0</v>
      </c>
      <c r="I94" s="32">
        <v>0</v>
      </c>
      <c r="J94" s="32">
        <v>1</v>
      </c>
      <c r="K94" s="32" t="s">
        <v>693</v>
      </c>
      <c r="L94" s="32" t="s">
        <v>743</v>
      </c>
      <c r="M94" s="144" t="s">
        <v>500</v>
      </c>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row>
    <row r="95" spans="1:69" ht="41.25">
      <c r="A95" s="32"/>
      <c r="B95" s="32"/>
      <c r="C95" s="32"/>
      <c r="D95" s="32"/>
      <c r="E95" s="32"/>
      <c r="F95" s="32" t="s">
        <v>696</v>
      </c>
      <c r="G95" s="32" t="s">
        <v>827</v>
      </c>
      <c r="H95" s="32">
        <v>1</v>
      </c>
      <c r="I95" s="32">
        <v>1</v>
      </c>
      <c r="J95" s="32">
        <v>1</v>
      </c>
      <c r="K95" s="32" t="s">
        <v>693</v>
      </c>
      <c r="L95" s="32" t="s">
        <v>743</v>
      </c>
      <c r="M95" s="144" t="s">
        <v>500</v>
      </c>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row>
    <row r="96" spans="1:69" ht="41.25">
      <c r="A96" s="32"/>
      <c r="B96" s="32"/>
      <c r="C96" s="32"/>
      <c r="D96" s="32"/>
      <c r="E96" s="32"/>
      <c r="F96" s="32" t="s">
        <v>696</v>
      </c>
      <c r="G96" s="149" t="s">
        <v>1512</v>
      </c>
      <c r="H96" s="146">
        <v>2</v>
      </c>
      <c r="I96" s="146">
        <v>2</v>
      </c>
      <c r="J96" s="146">
        <v>1</v>
      </c>
      <c r="K96" s="146" t="s">
        <v>693</v>
      </c>
      <c r="L96" s="146" t="s">
        <v>743</v>
      </c>
      <c r="M96" s="147" t="s">
        <v>500</v>
      </c>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row>
    <row r="97" spans="1:69" ht="41.25">
      <c r="A97" s="32"/>
      <c r="B97" s="32"/>
      <c r="C97" s="32"/>
      <c r="D97" s="32"/>
      <c r="E97" s="32"/>
      <c r="F97" s="32" t="s">
        <v>696</v>
      </c>
      <c r="G97" s="32" t="s">
        <v>828</v>
      </c>
      <c r="H97" s="32">
        <v>3</v>
      </c>
      <c r="I97" s="32">
        <v>3</v>
      </c>
      <c r="J97" s="32">
        <v>1</v>
      </c>
      <c r="K97" s="32" t="s">
        <v>693</v>
      </c>
      <c r="L97" s="32" t="s">
        <v>743</v>
      </c>
      <c r="M97" s="144" t="s">
        <v>500</v>
      </c>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row>
    <row r="98" spans="1:69" ht="41.25">
      <c r="A98" s="32"/>
      <c r="B98" s="32"/>
      <c r="C98" s="32"/>
      <c r="D98" s="32"/>
      <c r="E98" s="32"/>
      <c r="F98" s="146" t="s">
        <v>696</v>
      </c>
      <c r="G98" s="146" t="s">
        <v>829</v>
      </c>
      <c r="H98" s="146">
        <v>4</v>
      </c>
      <c r="I98" s="146">
        <v>4</v>
      </c>
      <c r="J98" s="146">
        <v>1</v>
      </c>
      <c r="K98" s="146" t="s">
        <v>693</v>
      </c>
      <c r="L98" s="146" t="s">
        <v>743</v>
      </c>
      <c r="M98" s="147" t="s">
        <v>500</v>
      </c>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row>
    <row r="99" spans="1:69" ht="41.25">
      <c r="A99" s="32"/>
      <c r="B99" s="32"/>
      <c r="C99" s="32"/>
      <c r="D99" s="32"/>
      <c r="E99" s="32"/>
      <c r="F99" s="146" t="s">
        <v>696</v>
      </c>
      <c r="G99" s="146" t="s">
        <v>830</v>
      </c>
      <c r="H99" s="146">
        <v>5</v>
      </c>
      <c r="I99" s="146">
        <v>5</v>
      </c>
      <c r="J99" s="146">
        <v>1</v>
      </c>
      <c r="K99" s="146" t="s">
        <v>693</v>
      </c>
      <c r="L99" s="146" t="s">
        <v>743</v>
      </c>
      <c r="M99" s="147" t="s">
        <v>500</v>
      </c>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row>
    <row r="100" spans="1:69" ht="41.25">
      <c r="A100" s="32"/>
      <c r="B100" s="32"/>
      <c r="C100" s="32"/>
      <c r="D100" s="32"/>
      <c r="E100" s="32"/>
      <c r="F100" s="146" t="s">
        <v>696</v>
      </c>
      <c r="G100" s="146" t="s">
        <v>831</v>
      </c>
      <c r="H100" s="146">
        <v>6</v>
      </c>
      <c r="I100" s="146">
        <v>6</v>
      </c>
      <c r="J100" s="146">
        <v>1</v>
      </c>
      <c r="K100" s="146" t="s">
        <v>693</v>
      </c>
      <c r="L100" s="146" t="s">
        <v>743</v>
      </c>
      <c r="M100" s="147" t="s">
        <v>500</v>
      </c>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row>
    <row r="101" spans="1:69" ht="41.25">
      <c r="A101" s="32"/>
      <c r="B101" s="32"/>
      <c r="C101" s="32"/>
      <c r="D101" s="32"/>
      <c r="E101" s="32"/>
      <c r="F101" s="146" t="s">
        <v>696</v>
      </c>
      <c r="G101" s="206" t="s">
        <v>832</v>
      </c>
      <c r="H101" s="146">
        <v>7</v>
      </c>
      <c r="I101" s="146">
        <v>7</v>
      </c>
      <c r="J101" s="146">
        <v>1</v>
      </c>
      <c r="K101" s="146" t="s">
        <v>693</v>
      </c>
      <c r="L101" s="146" t="s">
        <v>743</v>
      </c>
      <c r="M101" s="147" t="s">
        <v>500</v>
      </c>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row>
    <row r="102" spans="1:69" ht="41.25">
      <c r="A102" s="32"/>
      <c r="B102" s="32"/>
      <c r="C102" s="32"/>
      <c r="D102" s="32"/>
      <c r="E102" s="32"/>
      <c r="F102" s="146" t="s">
        <v>696</v>
      </c>
      <c r="G102" s="207" t="s">
        <v>1279</v>
      </c>
      <c r="H102" s="146">
        <v>8</v>
      </c>
      <c r="I102" s="146">
        <v>8</v>
      </c>
      <c r="J102" s="146">
        <v>1</v>
      </c>
      <c r="K102" s="146" t="s">
        <v>693</v>
      </c>
      <c r="L102" s="146" t="s">
        <v>743</v>
      </c>
      <c r="M102" s="147" t="s">
        <v>500</v>
      </c>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row>
    <row r="103" spans="1:69" ht="41.25">
      <c r="A103" s="32"/>
      <c r="B103" s="32"/>
      <c r="C103" s="32"/>
      <c r="D103" s="32"/>
      <c r="E103" s="32"/>
      <c r="F103" s="146" t="s">
        <v>696</v>
      </c>
      <c r="G103" s="207" t="s">
        <v>1280</v>
      </c>
      <c r="H103" s="146">
        <v>9</v>
      </c>
      <c r="I103" s="146">
        <v>9</v>
      </c>
      <c r="J103" s="146">
        <v>1</v>
      </c>
      <c r="K103" s="146" t="s">
        <v>693</v>
      </c>
      <c r="L103" s="146" t="s">
        <v>743</v>
      </c>
      <c r="M103" s="147" t="s">
        <v>500</v>
      </c>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row>
    <row r="104" spans="1:69" ht="41.25">
      <c r="A104" s="32"/>
      <c r="B104" s="32"/>
      <c r="C104" s="32"/>
      <c r="D104" s="32"/>
      <c r="E104" s="32"/>
      <c r="F104" s="32" t="s">
        <v>696</v>
      </c>
      <c r="G104" s="32" t="s">
        <v>833</v>
      </c>
      <c r="H104" s="32">
        <v>10</v>
      </c>
      <c r="I104" s="146">
        <v>10</v>
      </c>
      <c r="J104" s="32">
        <v>1</v>
      </c>
      <c r="K104" s="32" t="s">
        <v>693</v>
      </c>
      <c r="L104" s="32" t="s">
        <v>743</v>
      </c>
      <c r="M104" s="144" t="s">
        <v>500</v>
      </c>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row>
    <row r="105" spans="1:69" ht="41.25">
      <c r="A105" s="32"/>
      <c r="B105" s="32"/>
      <c r="C105" s="32"/>
      <c r="D105" s="32"/>
      <c r="E105" s="32"/>
      <c r="F105" s="32" t="s">
        <v>696</v>
      </c>
      <c r="G105" s="206" t="s">
        <v>834</v>
      </c>
      <c r="H105" s="146">
        <v>11</v>
      </c>
      <c r="I105" s="146">
        <v>11</v>
      </c>
      <c r="J105" s="32">
        <v>1</v>
      </c>
      <c r="K105" s="32" t="s">
        <v>693</v>
      </c>
      <c r="L105" s="32" t="s">
        <v>743</v>
      </c>
      <c r="M105" s="144" t="s">
        <v>500</v>
      </c>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row>
    <row r="106" spans="1:69" ht="41.25">
      <c r="A106" s="32"/>
      <c r="B106" s="32"/>
      <c r="C106" s="32"/>
      <c r="D106" s="32"/>
      <c r="E106" s="32"/>
      <c r="F106" s="32" t="s">
        <v>696</v>
      </c>
      <c r="G106" s="206" t="s">
        <v>1266</v>
      </c>
      <c r="H106" s="146">
        <v>12</v>
      </c>
      <c r="I106" s="146">
        <v>12</v>
      </c>
      <c r="J106" s="32">
        <v>1</v>
      </c>
      <c r="K106" s="32" t="s">
        <v>693</v>
      </c>
      <c r="L106" s="32" t="s">
        <v>743</v>
      </c>
      <c r="M106" s="144" t="s">
        <v>500</v>
      </c>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row>
    <row r="107" spans="1:69" ht="41.25">
      <c r="A107" s="32"/>
      <c r="B107" s="32"/>
      <c r="C107" s="32"/>
      <c r="D107" s="32"/>
      <c r="E107" s="32"/>
      <c r="F107" s="32" t="s">
        <v>696</v>
      </c>
      <c r="G107" s="206" t="s">
        <v>1614</v>
      </c>
      <c r="H107" s="146">
        <v>13</v>
      </c>
      <c r="I107" s="146">
        <v>13</v>
      </c>
      <c r="J107" s="32">
        <v>1</v>
      </c>
      <c r="K107" s="32" t="s">
        <v>693</v>
      </c>
      <c r="L107" s="32" t="s">
        <v>743</v>
      </c>
      <c r="M107" s="144" t="s">
        <v>500</v>
      </c>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row>
    <row r="108" spans="1:69" ht="41.25">
      <c r="A108" s="32"/>
      <c r="B108" s="32"/>
      <c r="C108" s="32"/>
      <c r="D108" s="32"/>
      <c r="E108" s="32"/>
      <c r="F108" s="32" t="s">
        <v>696</v>
      </c>
      <c r="G108" s="207" t="s">
        <v>1329</v>
      </c>
      <c r="H108" s="146">
        <v>14</v>
      </c>
      <c r="I108" s="146">
        <v>14</v>
      </c>
      <c r="J108" s="32">
        <v>1</v>
      </c>
      <c r="K108" s="32" t="s">
        <v>693</v>
      </c>
      <c r="L108" s="32" t="s">
        <v>743</v>
      </c>
      <c r="M108" s="144" t="s">
        <v>500</v>
      </c>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row>
    <row r="109" spans="1:69" ht="41.25">
      <c r="A109" s="32"/>
      <c r="B109" s="32"/>
      <c r="C109" s="32"/>
      <c r="D109" s="32"/>
      <c r="E109" s="32"/>
      <c r="F109" s="32" t="s">
        <v>696</v>
      </c>
      <c r="G109" s="206" t="s">
        <v>835</v>
      </c>
      <c r="H109" s="146">
        <v>15</v>
      </c>
      <c r="I109" s="146">
        <v>15</v>
      </c>
      <c r="J109" s="32">
        <v>1</v>
      </c>
      <c r="K109" s="32" t="s">
        <v>693</v>
      </c>
      <c r="L109" s="32" t="s">
        <v>743</v>
      </c>
      <c r="M109" s="144" t="s">
        <v>500</v>
      </c>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row>
    <row r="110" spans="1:69" ht="41.25">
      <c r="A110" s="32"/>
      <c r="B110" s="32"/>
      <c r="C110" s="32"/>
      <c r="D110" s="32"/>
      <c r="E110" s="32"/>
      <c r="F110" s="32" t="s">
        <v>696</v>
      </c>
      <c r="G110" s="206" t="s">
        <v>836</v>
      </c>
      <c r="H110" s="146">
        <v>16</v>
      </c>
      <c r="I110" s="146">
        <v>16</v>
      </c>
      <c r="J110" s="32">
        <v>1</v>
      </c>
      <c r="K110" s="32" t="s">
        <v>693</v>
      </c>
      <c r="L110" s="32" t="s">
        <v>743</v>
      </c>
      <c r="M110" s="144" t="s">
        <v>500</v>
      </c>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row>
    <row r="111" spans="1:69" ht="41.25">
      <c r="A111" s="32"/>
      <c r="B111" s="32"/>
      <c r="C111" s="32"/>
      <c r="D111" s="32"/>
      <c r="E111" s="32"/>
      <c r="F111" s="32" t="s">
        <v>696</v>
      </c>
      <c r="G111" s="206" t="s">
        <v>837</v>
      </c>
      <c r="H111" s="146">
        <v>17</v>
      </c>
      <c r="I111" s="146">
        <v>17</v>
      </c>
      <c r="J111" s="32">
        <v>1</v>
      </c>
      <c r="K111" s="32" t="s">
        <v>693</v>
      </c>
      <c r="L111" s="32" t="s">
        <v>743</v>
      </c>
      <c r="M111" s="144" t="s">
        <v>500</v>
      </c>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row>
    <row r="112" spans="1:69" ht="41.25">
      <c r="A112" s="32"/>
      <c r="B112" s="32"/>
      <c r="C112" s="32"/>
      <c r="D112" s="32"/>
      <c r="E112" s="32"/>
      <c r="F112" s="32" t="s">
        <v>696</v>
      </c>
      <c r="G112" s="206" t="s">
        <v>838</v>
      </c>
      <c r="H112" s="146">
        <v>18</v>
      </c>
      <c r="I112" s="146">
        <v>18</v>
      </c>
      <c r="J112" s="32">
        <v>1</v>
      </c>
      <c r="K112" s="32" t="s">
        <v>693</v>
      </c>
      <c r="L112" s="32" t="s">
        <v>743</v>
      </c>
      <c r="M112" s="144" t="s">
        <v>500</v>
      </c>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row>
    <row r="113" spans="1:69" ht="41.25">
      <c r="A113" s="32"/>
      <c r="B113" s="32"/>
      <c r="C113" s="32"/>
      <c r="D113" s="32"/>
      <c r="E113" s="32"/>
      <c r="F113" s="32" t="s">
        <v>696</v>
      </c>
      <c r="G113" s="206" t="s">
        <v>839</v>
      </c>
      <c r="H113" s="146">
        <v>19</v>
      </c>
      <c r="I113" s="146">
        <v>19</v>
      </c>
      <c r="J113" s="32">
        <v>1</v>
      </c>
      <c r="K113" s="32" t="s">
        <v>693</v>
      </c>
      <c r="L113" s="32" t="s">
        <v>743</v>
      </c>
      <c r="M113" s="144" t="s">
        <v>500</v>
      </c>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row>
    <row r="114" spans="1:69" ht="41.25">
      <c r="A114" s="32"/>
      <c r="B114" s="32"/>
      <c r="C114" s="32"/>
      <c r="D114" s="32"/>
      <c r="E114" s="32"/>
      <c r="F114" s="32" t="s">
        <v>696</v>
      </c>
      <c r="G114" s="206" t="s">
        <v>840</v>
      </c>
      <c r="H114" s="32">
        <v>20</v>
      </c>
      <c r="I114" s="146">
        <v>20</v>
      </c>
      <c r="J114" s="32">
        <v>1</v>
      </c>
      <c r="K114" s="32" t="s">
        <v>693</v>
      </c>
      <c r="L114" s="32" t="s">
        <v>743</v>
      </c>
      <c r="M114" s="144" t="s">
        <v>500</v>
      </c>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row>
    <row r="115" spans="1:69" ht="41.25">
      <c r="A115" s="32"/>
      <c r="B115" s="32"/>
      <c r="C115" s="32"/>
      <c r="D115" s="32"/>
      <c r="E115" s="32"/>
      <c r="F115" s="32" t="s">
        <v>966</v>
      </c>
      <c r="G115" s="149" t="s">
        <v>1647</v>
      </c>
      <c r="H115" s="146">
        <v>21</v>
      </c>
      <c r="I115" s="146">
        <v>21</v>
      </c>
      <c r="J115" s="146">
        <v>1</v>
      </c>
      <c r="K115" s="146" t="s">
        <v>921</v>
      </c>
      <c r="L115" s="146" t="s">
        <v>968</v>
      </c>
      <c r="M115" s="147" t="s">
        <v>500</v>
      </c>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row>
    <row r="116" spans="1:69" ht="41.25">
      <c r="A116" s="32"/>
      <c r="B116" s="32"/>
      <c r="C116" s="32"/>
      <c r="D116" s="32"/>
      <c r="E116" s="32"/>
      <c r="F116" s="32" t="s">
        <v>966</v>
      </c>
      <c r="G116" s="149" t="s">
        <v>1648</v>
      </c>
      <c r="H116" s="146">
        <v>22</v>
      </c>
      <c r="I116" s="146">
        <v>22</v>
      </c>
      <c r="J116" s="32">
        <v>1</v>
      </c>
      <c r="K116" s="32" t="s">
        <v>921</v>
      </c>
      <c r="L116" s="32" t="s">
        <v>968</v>
      </c>
      <c r="M116" s="144" t="s">
        <v>500</v>
      </c>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row>
    <row r="117" spans="1:69" ht="41.25">
      <c r="A117" s="32"/>
      <c r="B117" s="32"/>
      <c r="C117" s="32"/>
      <c r="D117" s="32"/>
      <c r="E117" s="32"/>
      <c r="F117" s="32" t="s">
        <v>966</v>
      </c>
      <c r="G117" s="143" t="s">
        <v>1008</v>
      </c>
      <c r="H117" s="146">
        <v>23</v>
      </c>
      <c r="I117" s="146">
        <v>23</v>
      </c>
      <c r="J117" s="32">
        <v>1</v>
      </c>
      <c r="K117" s="32" t="s">
        <v>921</v>
      </c>
      <c r="L117" s="32" t="s">
        <v>968</v>
      </c>
      <c r="M117" s="144" t="s">
        <v>500</v>
      </c>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row>
    <row r="118" spans="1:69" ht="41.25">
      <c r="A118" s="32"/>
      <c r="B118" s="32"/>
      <c r="C118" s="32"/>
      <c r="D118" s="32"/>
      <c r="E118" s="32"/>
      <c r="F118" s="32" t="s">
        <v>966</v>
      </c>
      <c r="G118" s="207" t="s">
        <v>1525</v>
      </c>
      <c r="H118" s="146">
        <v>24</v>
      </c>
      <c r="I118" s="146">
        <v>24</v>
      </c>
      <c r="J118" s="32">
        <v>1</v>
      </c>
      <c r="K118" s="32" t="s">
        <v>921</v>
      </c>
      <c r="L118" s="32" t="s">
        <v>968</v>
      </c>
      <c r="M118" s="144" t="s">
        <v>500</v>
      </c>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row>
    <row r="119" spans="1:69" ht="41.25">
      <c r="A119" s="32"/>
      <c r="B119" s="32"/>
      <c r="C119" s="32"/>
      <c r="D119" s="32"/>
      <c r="E119" s="32"/>
      <c r="F119" s="32" t="s">
        <v>966</v>
      </c>
      <c r="G119" s="207" t="s">
        <v>967</v>
      </c>
      <c r="H119" s="146">
        <v>25</v>
      </c>
      <c r="I119" s="146">
        <v>25</v>
      </c>
      <c r="J119" s="32">
        <v>1</v>
      </c>
      <c r="K119" s="32" t="s">
        <v>921</v>
      </c>
      <c r="L119" s="32" t="s">
        <v>968</v>
      </c>
      <c r="M119" s="144" t="s">
        <v>500</v>
      </c>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row>
    <row r="120" spans="1:69" ht="41.25">
      <c r="A120" s="32"/>
      <c r="B120" s="32"/>
      <c r="C120" s="32"/>
      <c r="D120" s="32"/>
      <c r="E120" s="32"/>
      <c r="F120" s="32" t="s">
        <v>966</v>
      </c>
      <c r="G120" s="208" t="s">
        <v>1526</v>
      </c>
      <c r="H120" s="146">
        <v>26</v>
      </c>
      <c r="I120" s="146">
        <v>26</v>
      </c>
      <c r="J120" s="32">
        <v>1</v>
      </c>
      <c r="K120" s="150" t="s">
        <v>1290</v>
      </c>
      <c r="L120" s="150" t="s">
        <v>1478</v>
      </c>
      <c r="M120" s="144" t="s">
        <v>500</v>
      </c>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row>
    <row r="121" spans="1:69" ht="41.25">
      <c r="A121" s="32"/>
      <c r="B121" s="32"/>
      <c r="C121" s="32"/>
      <c r="D121" s="32"/>
      <c r="E121" s="32"/>
      <c r="F121" s="32" t="s">
        <v>966</v>
      </c>
      <c r="G121" s="208" t="s">
        <v>1527</v>
      </c>
      <c r="H121" s="146">
        <v>27</v>
      </c>
      <c r="I121" s="146">
        <v>27</v>
      </c>
      <c r="J121" s="32">
        <v>1</v>
      </c>
      <c r="K121" s="150" t="s">
        <v>1290</v>
      </c>
      <c r="L121" s="150" t="s">
        <v>1478</v>
      </c>
      <c r="M121" s="144" t="s">
        <v>500</v>
      </c>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row>
    <row r="122" spans="1:69" ht="41.25">
      <c r="A122" s="32"/>
      <c r="B122" s="32"/>
      <c r="C122" s="32"/>
      <c r="D122" s="32"/>
      <c r="E122" s="32"/>
      <c r="F122" s="32" t="s">
        <v>966</v>
      </c>
      <c r="G122" s="208" t="s">
        <v>1528</v>
      </c>
      <c r="H122" s="146">
        <v>28</v>
      </c>
      <c r="I122" s="146">
        <v>28</v>
      </c>
      <c r="J122" s="32">
        <v>1</v>
      </c>
      <c r="K122" s="150" t="s">
        <v>1290</v>
      </c>
      <c r="L122" s="150" t="s">
        <v>1478</v>
      </c>
      <c r="M122" s="144" t="s">
        <v>500</v>
      </c>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row>
    <row r="123" spans="1:69" ht="41.25">
      <c r="A123" s="32"/>
      <c r="B123" s="32"/>
      <c r="C123" s="32"/>
      <c r="D123" s="32"/>
      <c r="E123" s="32"/>
      <c r="F123" s="32" t="s">
        <v>966</v>
      </c>
      <c r="G123" s="208" t="s">
        <v>1529</v>
      </c>
      <c r="H123" s="146">
        <v>29</v>
      </c>
      <c r="I123" s="146">
        <v>29</v>
      </c>
      <c r="J123" s="32">
        <v>1</v>
      </c>
      <c r="K123" s="150" t="s">
        <v>1290</v>
      </c>
      <c r="L123" s="150" t="s">
        <v>1478</v>
      </c>
      <c r="M123" s="144" t="s">
        <v>500</v>
      </c>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row>
    <row r="124" spans="1:69" ht="41.25">
      <c r="A124" s="32"/>
      <c r="B124" s="32"/>
      <c r="C124" s="32"/>
      <c r="D124" s="32"/>
      <c r="E124" s="32"/>
      <c r="F124" s="32" t="s">
        <v>966</v>
      </c>
      <c r="G124" s="127" t="s">
        <v>1615</v>
      </c>
      <c r="H124" s="146">
        <v>30</v>
      </c>
      <c r="I124" s="146">
        <v>30</v>
      </c>
      <c r="J124" s="32">
        <v>1</v>
      </c>
      <c r="K124" s="150" t="s">
        <v>1290</v>
      </c>
      <c r="L124" s="150" t="s">
        <v>1478</v>
      </c>
      <c r="M124" s="144" t="s">
        <v>500</v>
      </c>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row>
    <row r="125" spans="1:69" ht="41.25">
      <c r="A125" s="32"/>
      <c r="B125" s="32"/>
      <c r="C125" s="32"/>
      <c r="D125" s="32"/>
      <c r="E125" s="32"/>
      <c r="F125" s="32" t="s">
        <v>966</v>
      </c>
      <c r="G125" s="127" t="s">
        <v>1617</v>
      </c>
      <c r="H125" s="146">
        <v>31</v>
      </c>
      <c r="I125" s="146">
        <v>31</v>
      </c>
      <c r="J125" s="32">
        <v>1</v>
      </c>
      <c r="K125" s="150" t="s">
        <v>1290</v>
      </c>
      <c r="L125" s="150" t="s">
        <v>1478</v>
      </c>
      <c r="M125" s="144" t="s">
        <v>500</v>
      </c>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row>
    <row r="126" spans="1:69">
      <c r="A126" s="32" t="s">
        <v>744</v>
      </c>
      <c r="B126" s="32" t="s">
        <v>744</v>
      </c>
      <c r="C126" s="143" t="s">
        <v>1331</v>
      </c>
      <c r="D126" s="143" t="s">
        <v>1332</v>
      </c>
      <c r="E126" s="32"/>
      <c r="F126" s="32" t="s">
        <v>696</v>
      </c>
      <c r="G126" s="143" t="s">
        <v>1748</v>
      </c>
      <c r="H126" s="32">
        <v>31</v>
      </c>
      <c r="I126" s="32">
        <v>0</v>
      </c>
      <c r="J126" s="32">
        <v>32</v>
      </c>
      <c r="K126" s="32" t="s">
        <v>693</v>
      </c>
      <c r="L126" s="32" t="s">
        <v>698</v>
      </c>
      <c r="M126" s="32" t="s">
        <v>745</v>
      </c>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row>
    <row r="127" spans="1:69">
      <c r="A127" s="32" t="s">
        <v>746</v>
      </c>
      <c r="B127" s="32" t="s">
        <v>746</v>
      </c>
      <c r="C127" s="143" t="s">
        <v>1333</v>
      </c>
      <c r="D127" s="143" t="s">
        <v>1334</v>
      </c>
      <c r="E127" s="32"/>
      <c r="F127" s="32" t="s">
        <v>696</v>
      </c>
      <c r="G127" s="32" t="s">
        <v>841</v>
      </c>
      <c r="H127" s="32">
        <v>31</v>
      </c>
      <c r="I127" s="32">
        <v>0</v>
      </c>
      <c r="J127" s="32">
        <v>32</v>
      </c>
      <c r="K127" s="32" t="s">
        <v>693</v>
      </c>
      <c r="L127" s="32" t="s">
        <v>698</v>
      </c>
      <c r="M127" s="32" t="s">
        <v>346</v>
      </c>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row>
    <row r="128" spans="1:69">
      <c r="A128" s="32" t="s">
        <v>748</v>
      </c>
      <c r="B128" s="32" t="s">
        <v>748</v>
      </c>
      <c r="C128" s="143" t="s">
        <v>1353</v>
      </c>
      <c r="D128" s="143" t="s">
        <v>1335</v>
      </c>
      <c r="E128" s="32"/>
      <c r="F128" s="32" t="s">
        <v>696</v>
      </c>
      <c r="G128" s="32" t="s">
        <v>842</v>
      </c>
      <c r="H128" s="32">
        <v>31</v>
      </c>
      <c r="I128" s="32">
        <v>0</v>
      </c>
      <c r="J128" s="32">
        <v>32</v>
      </c>
      <c r="K128" s="32" t="s">
        <v>693</v>
      </c>
      <c r="L128" s="32" t="s">
        <v>698</v>
      </c>
      <c r="M128" s="32" t="s">
        <v>347</v>
      </c>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row>
    <row r="129" spans="1:69">
      <c r="A129" s="32" t="s">
        <v>749</v>
      </c>
      <c r="B129" s="32" t="s">
        <v>749</v>
      </c>
      <c r="C129" s="143" t="s">
        <v>1354</v>
      </c>
      <c r="D129" s="143" t="s">
        <v>747</v>
      </c>
      <c r="E129" s="32"/>
      <c r="F129" s="32" t="s">
        <v>696</v>
      </c>
      <c r="G129" s="32" t="s">
        <v>843</v>
      </c>
      <c r="H129" s="32">
        <v>31</v>
      </c>
      <c r="I129" s="32">
        <v>0</v>
      </c>
      <c r="J129" s="32">
        <v>32</v>
      </c>
      <c r="K129" s="32" t="s">
        <v>693</v>
      </c>
      <c r="L129" s="32" t="s">
        <v>698</v>
      </c>
      <c r="M129" s="32" t="s">
        <v>348</v>
      </c>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row>
    <row r="130" spans="1:69">
      <c r="A130" s="32" t="s">
        <v>751</v>
      </c>
      <c r="B130" s="32" t="s">
        <v>751</v>
      </c>
      <c r="C130" s="143" t="s">
        <v>1355</v>
      </c>
      <c r="D130" s="143" t="s">
        <v>1336</v>
      </c>
      <c r="E130" s="32"/>
      <c r="F130" s="32" t="s">
        <v>696</v>
      </c>
      <c r="G130" s="32" t="s">
        <v>844</v>
      </c>
      <c r="H130" s="32">
        <v>31</v>
      </c>
      <c r="I130" s="32">
        <v>0</v>
      </c>
      <c r="J130" s="32">
        <v>32</v>
      </c>
      <c r="K130" s="32" t="s">
        <v>693</v>
      </c>
      <c r="L130" s="32" t="s">
        <v>698</v>
      </c>
      <c r="M130" s="32" t="s">
        <v>349</v>
      </c>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row>
    <row r="131" spans="1:69">
      <c r="A131" s="32" t="s">
        <v>752</v>
      </c>
      <c r="B131" s="32" t="s">
        <v>752</v>
      </c>
      <c r="C131" s="143" t="s">
        <v>1356</v>
      </c>
      <c r="D131" s="143" t="s">
        <v>750</v>
      </c>
      <c r="E131" s="32"/>
      <c r="F131" s="32" t="s">
        <v>696</v>
      </c>
      <c r="G131" s="32" t="s">
        <v>845</v>
      </c>
      <c r="H131" s="32">
        <v>31</v>
      </c>
      <c r="I131" s="32">
        <v>0</v>
      </c>
      <c r="J131" s="32">
        <v>32</v>
      </c>
      <c r="K131" s="32" t="s">
        <v>693</v>
      </c>
      <c r="L131" s="32" t="s">
        <v>698</v>
      </c>
      <c r="M131" s="32" t="s">
        <v>350</v>
      </c>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row>
    <row r="132" spans="1:69">
      <c r="A132" s="32" t="s">
        <v>754</v>
      </c>
      <c r="B132" s="32" t="s">
        <v>754</v>
      </c>
      <c r="C132" s="143" t="s">
        <v>1357</v>
      </c>
      <c r="D132" s="143" t="s">
        <v>1337</v>
      </c>
      <c r="E132" s="32"/>
      <c r="F132" s="32" t="s">
        <v>696</v>
      </c>
      <c r="G132" s="32" t="s">
        <v>846</v>
      </c>
      <c r="H132" s="32">
        <v>31</v>
      </c>
      <c r="I132" s="32">
        <v>0</v>
      </c>
      <c r="J132" s="32">
        <v>32</v>
      </c>
      <c r="K132" s="32" t="s">
        <v>693</v>
      </c>
      <c r="L132" s="32" t="s">
        <v>698</v>
      </c>
      <c r="M132" s="32" t="s">
        <v>351</v>
      </c>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row>
    <row r="133" spans="1:69">
      <c r="A133" s="32" t="s">
        <v>755</v>
      </c>
      <c r="B133" s="32" t="s">
        <v>755</v>
      </c>
      <c r="C133" s="143" t="s">
        <v>1358</v>
      </c>
      <c r="D133" s="143" t="s">
        <v>753</v>
      </c>
      <c r="E133" s="32"/>
      <c r="F133" s="32" t="s">
        <v>696</v>
      </c>
      <c r="G133" s="32" t="s">
        <v>847</v>
      </c>
      <c r="H133" s="32">
        <v>31</v>
      </c>
      <c r="I133" s="32">
        <v>0</v>
      </c>
      <c r="J133" s="32">
        <v>32</v>
      </c>
      <c r="K133" s="32" t="s">
        <v>693</v>
      </c>
      <c r="L133" s="32" t="s">
        <v>698</v>
      </c>
      <c r="M133" s="32" t="s">
        <v>352</v>
      </c>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row>
    <row r="134" spans="1:69">
      <c r="A134" s="32" t="s">
        <v>757</v>
      </c>
      <c r="B134" s="32" t="s">
        <v>757</v>
      </c>
      <c r="C134" s="143" t="s">
        <v>1359</v>
      </c>
      <c r="D134" s="143" t="s">
        <v>1338</v>
      </c>
      <c r="E134" s="32"/>
      <c r="F134" s="32" t="s">
        <v>696</v>
      </c>
      <c r="G134" s="32" t="s">
        <v>848</v>
      </c>
      <c r="H134" s="32">
        <v>31</v>
      </c>
      <c r="I134" s="32">
        <v>0</v>
      </c>
      <c r="J134" s="32">
        <v>32</v>
      </c>
      <c r="K134" s="32" t="s">
        <v>693</v>
      </c>
      <c r="L134" s="32" t="s">
        <v>698</v>
      </c>
      <c r="M134" s="32" t="s">
        <v>758</v>
      </c>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row>
    <row r="135" spans="1:69">
      <c r="A135" s="32" t="s">
        <v>759</v>
      </c>
      <c r="B135" s="32" t="s">
        <v>759</v>
      </c>
      <c r="C135" s="143" t="s">
        <v>1360</v>
      </c>
      <c r="D135" s="143" t="s">
        <v>756</v>
      </c>
      <c r="E135" s="32"/>
      <c r="F135" s="32" t="s">
        <v>696</v>
      </c>
      <c r="G135" s="32" t="s">
        <v>849</v>
      </c>
      <c r="H135" s="32">
        <v>31</v>
      </c>
      <c r="I135" s="32">
        <v>0</v>
      </c>
      <c r="J135" s="32">
        <v>32</v>
      </c>
      <c r="K135" s="32" t="s">
        <v>693</v>
      </c>
      <c r="L135" s="32" t="s">
        <v>698</v>
      </c>
      <c r="M135" s="32" t="s">
        <v>761</v>
      </c>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row>
    <row r="136" spans="1:69">
      <c r="A136" s="32" t="s">
        <v>762</v>
      </c>
      <c r="B136" s="32" t="s">
        <v>762</v>
      </c>
      <c r="C136" s="143" t="s">
        <v>1361</v>
      </c>
      <c r="D136" s="143" t="s">
        <v>1339</v>
      </c>
      <c r="E136" s="32"/>
      <c r="F136" s="32" t="s">
        <v>696</v>
      </c>
      <c r="G136" s="32" t="s">
        <v>850</v>
      </c>
      <c r="H136" s="32">
        <v>31</v>
      </c>
      <c r="I136" s="32">
        <v>0</v>
      </c>
      <c r="J136" s="32">
        <v>32</v>
      </c>
      <c r="K136" s="32" t="s">
        <v>693</v>
      </c>
      <c r="L136" s="32" t="s">
        <v>698</v>
      </c>
      <c r="M136" s="32" t="s">
        <v>763</v>
      </c>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row>
    <row r="137" spans="1:69">
      <c r="A137" s="32" t="s">
        <v>764</v>
      </c>
      <c r="B137" s="32" t="s">
        <v>764</v>
      </c>
      <c r="C137" s="143" t="s">
        <v>1362</v>
      </c>
      <c r="D137" s="143" t="s">
        <v>760</v>
      </c>
      <c r="E137" s="32"/>
      <c r="F137" s="32" t="s">
        <v>696</v>
      </c>
      <c r="G137" s="32" t="s">
        <v>851</v>
      </c>
      <c r="H137" s="32">
        <v>31</v>
      </c>
      <c r="I137" s="32">
        <v>0</v>
      </c>
      <c r="J137" s="32">
        <v>32</v>
      </c>
      <c r="K137" s="32" t="s">
        <v>693</v>
      </c>
      <c r="L137" s="32" t="s">
        <v>698</v>
      </c>
      <c r="M137" s="32" t="s">
        <v>766</v>
      </c>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row>
    <row r="138" spans="1:69">
      <c r="A138" s="32" t="s">
        <v>767</v>
      </c>
      <c r="B138" s="32" t="s">
        <v>767</v>
      </c>
      <c r="C138" s="143" t="s">
        <v>1363</v>
      </c>
      <c r="D138" s="143" t="s">
        <v>1340</v>
      </c>
      <c r="E138" s="32"/>
      <c r="F138" s="32" t="s">
        <v>696</v>
      </c>
      <c r="G138" s="32" t="s">
        <v>852</v>
      </c>
      <c r="H138" s="32">
        <v>31</v>
      </c>
      <c r="I138" s="32">
        <v>0</v>
      </c>
      <c r="J138" s="32">
        <v>32</v>
      </c>
      <c r="K138" s="32" t="s">
        <v>693</v>
      </c>
      <c r="L138" s="32" t="s">
        <v>698</v>
      </c>
      <c r="M138" s="32" t="s">
        <v>768</v>
      </c>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row>
    <row r="139" spans="1:69">
      <c r="A139" s="32" t="s">
        <v>769</v>
      </c>
      <c r="B139" s="32" t="s">
        <v>769</v>
      </c>
      <c r="C139" s="143" t="s">
        <v>1364</v>
      </c>
      <c r="D139" s="143" t="s">
        <v>765</v>
      </c>
      <c r="E139" s="32"/>
      <c r="F139" s="32" t="s">
        <v>696</v>
      </c>
      <c r="G139" s="143" t="s">
        <v>1747</v>
      </c>
      <c r="H139" s="32">
        <v>31</v>
      </c>
      <c r="I139" s="32">
        <v>0</v>
      </c>
      <c r="J139" s="32">
        <v>32</v>
      </c>
      <c r="K139" s="32" t="s">
        <v>693</v>
      </c>
      <c r="L139" s="32" t="s">
        <v>698</v>
      </c>
      <c r="M139" s="32" t="s">
        <v>601</v>
      </c>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row>
    <row r="140" spans="1:69">
      <c r="A140" s="32" t="s">
        <v>771</v>
      </c>
      <c r="B140" s="32" t="s">
        <v>771</v>
      </c>
      <c r="C140" s="143" t="s">
        <v>1365</v>
      </c>
      <c r="D140" s="143" t="s">
        <v>1341</v>
      </c>
      <c r="E140" s="32"/>
      <c r="F140" s="32" t="s">
        <v>696</v>
      </c>
      <c r="G140" s="32" t="s">
        <v>853</v>
      </c>
      <c r="H140" s="32">
        <v>31</v>
      </c>
      <c r="I140" s="32">
        <v>0</v>
      </c>
      <c r="J140" s="32">
        <v>32</v>
      </c>
      <c r="K140" s="32" t="s">
        <v>693</v>
      </c>
      <c r="L140" s="32" t="s">
        <v>698</v>
      </c>
      <c r="M140" s="32" t="s">
        <v>602</v>
      </c>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row>
    <row r="141" spans="1:69">
      <c r="A141" s="32" t="s">
        <v>772</v>
      </c>
      <c r="B141" s="32" t="s">
        <v>772</v>
      </c>
      <c r="C141" s="143" t="s">
        <v>1366</v>
      </c>
      <c r="D141" s="143" t="s">
        <v>770</v>
      </c>
      <c r="E141" s="32"/>
      <c r="F141" s="32" t="s">
        <v>696</v>
      </c>
      <c r="G141" s="32" t="s">
        <v>854</v>
      </c>
      <c r="H141" s="32">
        <v>31</v>
      </c>
      <c r="I141" s="32">
        <v>0</v>
      </c>
      <c r="J141" s="32">
        <v>32</v>
      </c>
      <c r="K141" s="32" t="s">
        <v>693</v>
      </c>
      <c r="L141" s="32" t="s">
        <v>698</v>
      </c>
      <c r="M141" s="32" t="s">
        <v>603</v>
      </c>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row>
    <row r="142" spans="1:69">
      <c r="A142" s="32" t="s">
        <v>774</v>
      </c>
      <c r="B142" s="32" t="s">
        <v>774</v>
      </c>
      <c r="C142" s="143" t="s">
        <v>1367</v>
      </c>
      <c r="D142" s="143" t="s">
        <v>1342</v>
      </c>
      <c r="E142" s="32"/>
      <c r="F142" s="32" t="s">
        <v>696</v>
      </c>
      <c r="G142" s="32" t="s">
        <v>855</v>
      </c>
      <c r="H142" s="32">
        <v>31</v>
      </c>
      <c r="I142" s="32">
        <v>0</v>
      </c>
      <c r="J142" s="32">
        <v>32</v>
      </c>
      <c r="K142" s="32" t="s">
        <v>693</v>
      </c>
      <c r="L142" s="32" t="s">
        <v>698</v>
      </c>
      <c r="M142" s="32" t="s">
        <v>604</v>
      </c>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row>
    <row r="143" spans="1:69">
      <c r="A143" s="32" t="s">
        <v>775</v>
      </c>
      <c r="B143" s="32" t="s">
        <v>775</v>
      </c>
      <c r="C143" s="143" t="s">
        <v>1368</v>
      </c>
      <c r="D143" s="143" t="s">
        <v>773</v>
      </c>
      <c r="E143" s="32"/>
      <c r="F143" s="32" t="s">
        <v>696</v>
      </c>
      <c r="G143" s="32" t="s">
        <v>856</v>
      </c>
      <c r="H143" s="32">
        <v>31</v>
      </c>
      <c r="I143" s="32">
        <v>0</v>
      </c>
      <c r="J143" s="32">
        <v>32</v>
      </c>
      <c r="K143" s="32" t="s">
        <v>693</v>
      </c>
      <c r="L143" s="32" t="s">
        <v>698</v>
      </c>
      <c r="M143" s="32" t="s">
        <v>605</v>
      </c>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row>
    <row r="144" spans="1:69">
      <c r="A144" s="32" t="s">
        <v>777</v>
      </c>
      <c r="B144" s="32" t="s">
        <v>777</v>
      </c>
      <c r="C144" s="143" t="s">
        <v>1369</v>
      </c>
      <c r="D144" s="143" t="s">
        <v>1343</v>
      </c>
      <c r="E144" s="32"/>
      <c r="F144" s="32" t="s">
        <v>696</v>
      </c>
      <c r="G144" s="32" t="s">
        <v>857</v>
      </c>
      <c r="H144" s="32">
        <v>31</v>
      </c>
      <c r="I144" s="32">
        <v>0</v>
      </c>
      <c r="J144" s="32">
        <v>32</v>
      </c>
      <c r="K144" s="32" t="s">
        <v>693</v>
      </c>
      <c r="L144" s="32" t="s">
        <v>698</v>
      </c>
      <c r="M144" s="32" t="s">
        <v>606</v>
      </c>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row>
    <row r="145" spans="1:69">
      <c r="A145" s="32" t="s">
        <v>778</v>
      </c>
      <c r="B145" s="32" t="s">
        <v>778</v>
      </c>
      <c r="C145" s="143" t="s">
        <v>1370</v>
      </c>
      <c r="D145" s="143" t="s">
        <v>776</v>
      </c>
      <c r="E145" s="32"/>
      <c r="F145" s="32" t="s">
        <v>696</v>
      </c>
      <c r="G145" s="32" t="s">
        <v>858</v>
      </c>
      <c r="H145" s="32">
        <v>31</v>
      </c>
      <c r="I145" s="32">
        <v>0</v>
      </c>
      <c r="J145" s="32">
        <v>32</v>
      </c>
      <c r="K145" s="32" t="s">
        <v>693</v>
      </c>
      <c r="L145" s="32" t="s">
        <v>698</v>
      </c>
      <c r="M145" s="32" t="s">
        <v>607</v>
      </c>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row>
    <row r="146" spans="1:69">
      <c r="A146" s="32" t="s">
        <v>780</v>
      </c>
      <c r="B146" s="32" t="s">
        <v>780</v>
      </c>
      <c r="C146" s="143" t="s">
        <v>1371</v>
      </c>
      <c r="D146" s="143" t="s">
        <v>1344</v>
      </c>
      <c r="E146" s="32"/>
      <c r="F146" s="32" t="s">
        <v>696</v>
      </c>
      <c r="G146" s="32" t="s">
        <v>859</v>
      </c>
      <c r="H146" s="32">
        <v>31</v>
      </c>
      <c r="I146" s="32">
        <v>0</v>
      </c>
      <c r="J146" s="32">
        <v>32</v>
      </c>
      <c r="K146" s="32" t="s">
        <v>693</v>
      </c>
      <c r="L146" s="32" t="s">
        <v>698</v>
      </c>
      <c r="M146" s="32" t="s">
        <v>608</v>
      </c>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row>
    <row r="147" spans="1:69">
      <c r="A147" s="32" t="s">
        <v>781</v>
      </c>
      <c r="B147" s="32" t="s">
        <v>781</v>
      </c>
      <c r="C147" s="143" t="s">
        <v>1372</v>
      </c>
      <c r="D147" s="143" t="s">
        <v>779</v>
      </c>
      <c r="E147" s="32"/>
      <c r="F147" s="32" t="s">
        <v>696</v>
      </c>
      <c r="G147" s="32" t="s">
        <v>860</v>
      </c>
      <c r="H147" s="32">
        <v>31</v>
      </c>
      <c r="I147" s="32">
        <v>0</v>
      </c>
      <c r="J147" s="32">
        <v>32</v>
      </c>
      <c r="K147" s="32" t="s">
        <v>693</v>
      </c>
      <c r="L147" s="32" t="s">
        <v>698</v>
      </c>
      <c r="M147" s="32" t="s">
        <v>609</v>
      </c>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row>
    <row r="148" spans="1:69">
      <c r="A148" s="32" t="s">
        <v>783</v>
      </c>
      <c r="B148" s="32" t="s">
        <v>783</v>
      </c>
      <c r="C148" s="143" t="s">
        <v>1373</v>
      </c>
      <c r="D148" s="143" t="s">
        <v>1345</v>
      </c>
      <c r="E148" s="32"/>
      <c r="F148" s="32" t="s">
        <v>696</v>
      </c>
      <c r="G148" s="32" t="s">
        <v>861</v>
      </c>
      <c r="H148" s="32">
        <v>31</v>
      </c>
      <c r="I148" s="32">
        <v>0</v>
      </c>
      <c r="J148" s="32">
        <v>32</v>
      </c>
      <c r="K148" s="32" t="s">
        <v>693</v>
      </c>
      <c r="L148" s="32" t="s">
        <v>698</v>
      </c>
      <c r="M148" s="32" t="s">
        <v>610</v>
      </c>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row>
    <row r="149" spans="1:69">
      <c r="A149" s="32" t="s">
        <v>784</v>
      </c>
      <c r="B149" s="32" t="s">
        <v>784</v>
      </c>
      <c r="C149" s="143" t="s">
        <v>1374</v>
      </c>
      <c r="D149" s="143" t="s">
        <v>782</v>
      </c>
      <c r="E149" s="32"/>
      <c r="F149" s="32" t="s">
        <v>696</v>
      </c>
      <c r="G149" s="32" t="s">
        <v>862</v>
      </c>
      <c r="H149" s="32">
        <v>31</v>
      </c>
      <c r="I149" s="32">
        <v>0</v>
      </c>
      <c r="J149" s="32">
        <v>32</v>
      </c>
      <c r="K149" s="32" t="s">
        <v>693</v>
      </c>
      <c r="L149" s="32" t="s">
        <v>698</v>
      </c>
      <c r="M149" s="32" t="s">
        <v>611</v>
      </c>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row>
    <row r="150" spans="1:69">
      <c r="A150" s="32" t="s">
        <v>786</v>
      </c>
      <c r="B150" s="32" t="s">
        <v>786</v>
      </c>
      <c r="C150" s="143" t="s">
        <v>1375</v>
      </c>
      <c r="D150" s="143" t="s">
        <v>1346</v>
      </c>
      <c r="E150" s="32"/>
      <c r="F150" s="32" t="s">
        <v>696</v>
      </c>
      <c r="G150" s="32" t="s">
        <v>863</v>
      </c>
      <c r="H150" s="32">
        <v>31</v>
      </c>
      <c r="I150" s="32">
        <v>0</v>
      </c>
      <c r="J150" s="32">
        <v>32</v>
      </c>
      <c r="K150" s="32" t="s">
        <v>693</v>
      </c>
      <c r="L150" s="32" t="s">
        <v>698</v>
      </c>
      <c r="M150" s="32" t="s">
        <v>612</v>
      </c>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row>
    <row r="151" spans="1:69">
      <c r="A151" s="32" t="s">
        <v>787</v>
      </c>
      <c r="B151" s="32" t="s">
        <v>787</v>
      </c>
      <c r="C151" s="143" t="s">
        <v>1376</v>
      </c>
      <c r="D151" s="143" t="s">
        <v>785</v>
      </c>
      <c r="E151" s="32"/>
      <c r="F151" s="32" t="s">
        <v>696</v>
      </c>
      <c r="G151" s="143" t="s">
        <v>2341</v>
      </c>
      <c r="H151" s="32">
        <v>31</v>
      </c>
      <c r="I151" s="32">
        <v>0</v>
      </c>
      <c r="J151" s="32">
        <v>32</v>
      </c>
      <c r="K151" s="32" t="s">
        <v>693</v>
      </c>
      <c r="L151" s="32" t="s">
        <v>698</v>
      </c>
      <c r="M151" s="32" t="s">
        <v>613</v>
      </c>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row>
    <row r="152" spans="1:69">
      <c r="A152" s="32" t="s">
        <v>789</v>
      </c>
      <c r="B152" s="32" t="s">
        <v>789</v>
      </c>
      <c r="C152" s="143" t="s">
        <v>1377</v>
      </c>
      <c r="D152" s="143" t="s">
        <v>1347</v>
      </c>
      <c r="E152" s="32"/>
      <c r="F152" s="32" t="s">
        <v>696</v>
      </c>
      <c r="G152" s="32" t="s">
        <v>864</v>
      </c>
      <c r="H152" s="32">
        <v>31</v>
      </c>
      <c r="I152" s="32">
        <v>0</v>
      </c>
      <c r="J152" s="32">
        <v>32</v>
      </c>
      <c r="K152" s="32" t="s">
        <v>693</v>
      </c>
      <c r="L152" s="32" t="s">
        <v>698</v>
      </c>
      <c r="M152" s="32" t="s">
        <v>614</v>
      </c>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row>
    <row r="153" spans="1:69">
      <c r="A153" s="32" t="s">
        <v>790</v>
      </c>
      <c r="B153" s="32" t="s">
        <v>790</v>
      </c>
      <c r="C153" s="143" t="s">
        <v>1378</v>
      </c>
      <c r="D153" s="143" t="s">
        <v>788</v>
      </c>
      <c r="E153" s="32"/>
      <c r="F153" s="32" t="s">
        <v>696</v>
      </c>
      <c r="G153" s="32" t="s">
        <v>865</v>
      </c>
      <c r="H153" s="32">
        <v>31</v>
      </c>
      <c r="I153" s="32">
        <v>0</v>
      </c>
      <c r="J153" s="32">
        <v>32</v>
      </c>
      <c r="K153" s="32" t="s">
        <v>693</v>
      </c>
      <c r="L153" s="32" t="s">
        <v>698</v>
      </c>
      <c r="M153" s="32" t="s">
        <v>615</v>
      </c>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row>
    <row r="154" spans="1:69">
      <c r="A154" s="32" t="s">
        <v>792</v>
      </c>
      <c r="B154" s="32" t="s">
        <v>792</v>
      </c>
      <c r="C154" s="143" t="s">
        <v>1379</v>
      </c>
      <c r="D154" s="143" t="s">
        <v>1348</v>
      </c>
      <c r="E154" s="32"/>
      <c r="F154" s="32" t="s">
        <v>696</v>
      </c>
      <c r="G154" s="32" t="s">
        <v>866</v>
      </c>
      <c r="H154" s="32">
        <v>31</v>
      </c>
      <c r="I154" s="32">
        <v>0</v>
      </c>
      <c r="J154" s="32">
        <v>32</v>
      </c>
      <c r="K154" s="32" t="s">
        <v>693</v>
      </c>
      <c r="L154" s="32" t="s">
        <v>698</v>
      </c>
      <c r="M154" s="32" t="s">
        <v>616</v>
      </c>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row>
    <row r="155" spans="1:69">
      <c r="A155" s="32" t="s">
        <v>793</v>
      </c>
      <c r="B155" s="32" t="s">
        <v>793</v>
      </c>
      <c r="C155" s="143" t="s">
        <v>1380</v>
      </c>
      <c r="D155" s="143" t="s">
        <v>791</v>
      </c>
      <c r="E155" s="32"/>
      <c r="F155" s="32" t="s">
        <v>696</v>
      </c>
      <c r="G155" s="32" t="s">
        <v>867</v>
      </c>
      <c r="H155" s="32">
        <v>31</v>
      </c>
      <c r="I155" s="32">
        <v>0</v>
      </c>
      <c r="J155" s="32">
        <v>32</v>
      </c>
      <c r="K155" s="32" t="s">
        <v>693</v>
      </c>
      <c r="L155" s="32" t="s">
        <v>698</v>
      </c>
      <c r="M155" s="32" t="s">
        <v>617</v>
      </c>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row>
    <row r="156" spans="1:69">
      <c r="A156" s="32" t="s">
        <v>794</v>
      </c>
      <c r="B156" s="32" t="s">
        <v>794</v>
      </c>
      <c r="C156" s="143" t="s">
        <v>1381</v>
      </c>
      <c r="D156" s="143" t="s">
        <v>1349</v>
      </c>
      <c r="E156" s="32"/>
      <c r="F156" s="32" t="s">
        <v>696</v>
      </c>
      <c r="G156" s="32" t="s">
        <v>868</v>
      </c>
      <c r="H156" s="32">
        <v>31</v>
      </c>
      <c r="I156" s="32">
        <v>0</v>
      </c>
      <c r="J156" s="32">
        <v>32</v>
      </c>
      <c r="K156" s="32" t="s">
        <v>693</v>
      </c>
      <c r="L156" s="32" t="s">
        <v>698</v>
      </c>
      <c r="M156" s="32" t="s">
        <v>618</v>
      </c>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row>
    <row r="157" spans="1:69">
      <c r="A157" s="32" t="s">
        <v>795</v>
      </c>
      <c r="B157" s="32" t="s">
        <v>795</v>
      </c>
      <c r="C157" s="143" t="s">
        <v>1382</v>
      </c>
      <c r="D157" s="143" t="s">
        <v>1350</v>
      </c>
      <c r="E157" s="32"/>
      <c r="F157" s="32" t="s">
        <v>696</v>
      </c>
      <c r="G157" s="32" t="s">
        <v>869</v>
      </c>
      <c r="H157" s="32">
        <v>31</v>
      </c>
      <c r="I157" s="32">
        <v>0</v>
      </c>
      <c r="J157" s="32">
        <v>32</v>
      </c>
      <c r="K157" s="32" t="s">
        <v>693</v>
      </c>
      <c r="L157" s="32" t="s">
        <v>698</v>
      </c>
      <c r="M157" s="32" t="s">
        <v>619</v>
      </c>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row>
    <row r="158" spans="1:69">
      <c r="A158" s="32" t="s">
        <v>796</v>
      </c>
      <c r="B158" s="32" t="s">
        <v>796</v>
      </c>
      <c r="C158" s="143" t="s">
        <v>1383</v>
      </c>
      <c r="D158" s="143" t="s">
        <v>1351</v>
      </c>
      <c r="E158" s="32"/>
      <c r="F158" s="32" t="s">
        <v>696</v>
      </c>
      <c r="G158" s="32" t="s">
        <v>870</v>
      </c>
      <c r="H158" s="32">
        <v>3</v>
      </c>
      <c r="I158" s="32">
        <v>0</v>
      </c>
      <c r="J158" s="32">
        <v>4</v>
      </c>
      <c r="K158" s="32" t="s">
        <v>693</v>
      </c>
      <c r="L158" s="32" t="s">
        <v>698</v>
      </c>
      <c r="M158" s="32" t="s">
        <v>797</v>
      </c>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row>
    <row r="159" spans="1:69">
      <c r="A159" s="32"/>
      <c r="B159" s="32"/>
      <c r="E159" s="32"/>
      <c r="F159" s="32" t="s">
        <v>696</v>
      </c>
      <c r="G159" s="32" t="s">
        <v>871</v>
      </c>
      <c r="H159" s="32">
        <v>7</v>
      </c>
      <c r="I159" s="32">
        <v>4</v>
      </c>
      <c r="J159" s="32">
        <v>4</v>
      </c>
      <c r="K159" s="32" t="s">
        <v>693</v>
      </c>
      <c r="L159" s="32" t="s">
        <v>698</v>
      </c>
      <c r="M159" s="32" t="s">
        <v>798</v>
      </c>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row>
    <row r="160" spans="1:69">
      <c r="A160" s="32" t="s">
        <v>799</v>
      </c>
      <c r="B160" s="32" t="s">
        <v>799</v>
      </c>
      <c r="C160" s="143" t="s">
        <v>1384</v>
      </c>
      <c r="D160" s="143" t="s">
        <v>1352</v>
      </c>
      <c r="E160" s="32"/>
      <c r="F160" s="32" t="s">
        <v>696</v>
      </c>
      <c r="G160" s="32" t="s">
        <v>872</v>
      </c>
      <c r="H160" s="32">
        <v>3</v>
      </c>
      <c r="I160" s="32">
        <v>0</v>
      </c>
      <c r="J160" s="32">
        <v>4</v>
      </c>
      <c r="K160" s="143" t="s">
        <v>1703</v>
      </c>
      <c r="L160" s="32" t="s">
        <v>698</v>
      </c>
      <c r="M160" s="32" t="s">
        <v>800</v>
      </c>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row>
    <row r="161" spans="1:69">
      <c r="A161" s="32"/>
      <c r="B161" s="32"/>
      <c r="C161" s="32"/>
      <c r="D161" s="32"/>
      <c r="E161" s="32"/>
      <c r="F161" s="32" t="s">
        <v>696</v>
      </c>
      <c r="G161" s="32" t="s">
        <v>873</v>
      </c>
      <c r="H161" s="32">
        <v>7</v>
      </c>
      <c r="I161" s="32">
        <v>4</v>
      </c>
      <c r="J161" s="32">
        <v>4</v>
      </c>
      <c r="K161" s="143" t="s">
        <v>1703</v>
      </c>
      <c r="L161" s="32" t="s">
        <v>698</v>
      </c>
      <c r="M161" s="32" t="s">
        <v>801</v>
      </c>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row>
    <row r="162" spans="1:69">
      <c r="A162" s="32"/>
      <c r="B162" s="32"/>
      <c r="C162" s="32"/>
      <c r="D162" s="32"/>
      <c r="E162" s="32"/>
      <c r="F162" s="32" t="s">
        <v>696</v>
      </c>
      <c r="G162" s="32" t="s">
        <v>909</v>
      </c>
      <c r="H162" s="32">
        <v>11</v>
      </c>
      <c r="I162" s="32">
        <v>8</v>
      </c>
      <c r="J162" s="32">
        <v>4</v>
      </c>
      <c r="K162" s="143" t="s">
        <v>1703</v>
      </c>
      <c r="L162" s="32" t="s">
        <v>698</v>
      </c>
      <c r="M162" s="32" t="s">
        <v>910</v>
      </c>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row>
    <row r="163" spans="1:69">
      <c r="A163" s="32"/>
      <c r="B163" s="32"/>
      <c r="C163" s="32"/>
      <c r="D163" s="32"/>
      <c r="E163" s="32"/>
      <c r="F163" s="32" t="s">
        <v>696</v>
      </c>
      <c r="G163" s="32" t="s">
        <v>911</v>
      </c>
      <c r="H163" s="32">
        <v>15</v>
      </c>
      <c r="I163" s="32">
        <v>12</v>
      </c>
      <c r="J163" s="32">
        <v>4</v>
      </c>
      <c r="K163" s="143" t="s">
        <v>1703</v>
      </c>
      <c r="L163" s="32" t="s">
        <v>698</v>
      </c>
      <c r="M163" s="32" t="s">
        <v>912</v>
      </c>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row>
    <row r="164" spans="1:69">
      <c r="A164" s="32"/>
      <c r="B164" s="32"/>
      <c r="C164" s="32"/>
      <c r="D164" s="32"/>
      <c r="E164" s="32"/>
      <c r="F164" s="32" t="s">
        <v>696</v>
      </c>
      <c r="G164" s="32" t="s">
        <v>913</v>
      </c>
      <c r="H164" s="32">
        <v>19</v>
      </c>
      <c r="I164" s="32">
        <v>16</v>
      </c>
      <c r="J164" s="32">
        <v>4</v>
      </c>
      <c r="K164" s="32" t="s">
        <v>693</v>
      </c>
      <c r="L164" s="32" t="s">
        <v>698</v>
      </c>
      <c r="M164" s="32" t="s">
        <v>914</v>
      </c>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row>
    <row r="165" spans="1:69">
      <c r="A165" s="32"/>
      <c r="B165" s="32"/>
      <c r="C165" s="32"/>
      <c r="D165" s="32"/>
      <c r="E165" s="32"/>
      <c r="F165" s="32" t="s">
        <v>696</v>
      </c>
      <c r="G165" s="32" t="s">
        <v>915</v>
      </c>
      <c r="H165" s="32">
        <v>23</v>
      </c>
      <c r="I165" s="32">
        <v>20</v>
      </c>
      <c r="J165" s="32">
        <v>4</v>
      </c>
      <c r="K165" s="32" t="s">
        <v>693</v>
      </c>
      <c r="L165" s="32" t="s">
        <v>698</v>
      </c>
      <c r="M165" s="32" t="s">
        <v>916</v>
      </c>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row>
    <row r="166" spans="1:69">
      <c r="A166" s="143"/>
      <c r="B166" s="143"/>
      <c r="C166" s="32"/>
      <c r="D166" s="32"/>
      <c r="E166" s="32"/>
      <c r="F166" s="32" t="s">
        <v>696</v>
      </c>
      <c r="G166" s="143" t="s">
        <v>954</v>
      </c>
      <c r="H166" s="32">
        <v>27</v>
      </c>
      <c r="I166" s="32">
        <v>24</v>
      </c>
      <c r="J166" s="32">
        <v>4</v>
      </c>
      <c r="K166" s="143" t="s">
        <v>1703</v>
      </c>
      <c r="L166" s="32" t="s">
        <v>698</v>
      </c>
      <c r="M166" s="143" t="s">
        <v>956</v>
      </c>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row>
    <row r="167" spans="1:69">
      <c r="A167" s="32"/>
      <c r="B167" s="32"/>
      <c r="C167" s="32"/>
      <c r="D167" s="32"/>
      <c r="E167" s="32"/>
      <c r="F167" s="32" t="s">
        <v>696</v>
      </c>
      <c r="G167" s="143" t="s">
        <v>955</v>
      </c>
      <c r="H167" s="32">
        <v>31</v>
      </c>
      <c r="I167" s="32">
        <v>28</v>
      </c>
      <c r="J167" s="32">
        <v>4</v>
      </c>
      <c r="K167" s="32" t="s">
        <v>693</v>
      </c>
      <c r="L167" s="32" t="s">
        <v>698</v>
      </c>
      <c r="M167" s="143" t="s">
        <v>957</v>
      </c>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row>
    <row r="168" spans="1:69">
      <c r="A168" s="143" t="s">
        <v>939</v>
      </c>
      <c r="B168" s="143" t="s">
        <v>939</v>
      </c>
      <c r="C168" s="143" t="s">
        <v>1385</v>
      </c>
      <c r="D168" s="143" t="s">
        <v>1386</v>
      </c>
      <c r="E168" s="32"/>
      <c r="F168" s="32" t="s">
        <v>696</v>
      </c>
      <c r="G168" s="32" t="s">
        <v>874</v>
      </c>
      <c r="H168" s="32">
        <v>0</v>
      </c>
      <c r="I168" s="32">
        <v>0</v>
      </c>
      <c r="J168" s="32">
        <v>1</v>
      </c>
      <c r="K168" s="32" t="s">
        <v>693</v>
      </c>
      <c r="L168" s="32" t="s">
        <v>698</v>
      </c>
      <c r="M168" s="32" t="s">
        <v>802</v>
      </c>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row>
    <row r="169" spans="1:69">
      <c r="A169" s="32"/>
      <c r="B169" s="32"/>
      <c r="C169" s="32"/>
      <c r="D169" s="32"/>
      <c r="E169" s="32"/>
      <c r="F169" s="32" t="s">
        <v>696</v>
      </c>
      <c r="G169" s="32" t="s">
        <v>875</v>
      </c>
      <c r="H169" s="32">
        <v>1</v>
      </c>
      <c r="I169" s="32">
        <v>1</v>
      </c>
      <c r="J169" s="32">
        <v>1</v>
      </c>
      <c r="K169" s="32" t="s">
        <v>693</v>
      </c>
      <c r="L169" s="32" t="s">
        <v>698</v>
      </c>
      <c r="M169" s="32" t="s">
        <v>803</v>
      </c>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row>
    <row r="170" spans="1:69">
      <c r="A170" s="32"/>
      <c r="B170" s="32"/>
      <c r="C170" s="32"/>
      <c r="D170" s="32"/>
      <c r="E170" s="32"/>
      <c r="F170" s="32" t="s">
        <v>696</v>
      </c>
      <c r="G170" s="32" t="s">
        <v>876</v>
      </c>
      <c r="H170" s="32">
        <v>2</v>
      </c>
      <c r="I170" s="32">
        <v>2</v>
      </c>
      <c r="J170" s="32">
        <v>1</v>
      </c>
      <c r="K170" s="32" t="s">
        <v>693</v>
      </c>
      <c r="L170" s="32" t="s">
        <v>698</v>
      </c>
      <c r="M170" s="143" t="s">
        <v>485</v>
      </c>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row>
    <row r="171" spans="1:69">
      <c r="A171" s="32"/>
      <c r="B171" s="32"/>
      <c r="C171" s="32"/>
      <c r="D171" s="32"/>
      <c r="E171" s="32"/>
      <c r="F171" s="32" t="s">
        <v>696</v>
      </c>
      <c r="G171" s="32" t="s">
        <v>877</v>
      </c>
      <c r="H171" s="32">
        <v>3</v>
      </c>
      <c r="I171" s="32">
        <v>3</v>
      </c>
      <c r="J171" s="32">
        <v>1</v>
      </c>
      <c r="K171" s="32" t="s">
        <v>693</v>
      </c>
      <c r="L171" s="32" t="s">
        <v>698</v>
      </c>
      <c r="M171" s="32" t="s">
        <v>804</v>
      </c>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row>
    <row r="172" spans="1:69">
      <c r="A172" s="143" t="s">
        <v>940</v>
      </c>
      <c r="B172" s="143" t="s">
        <v>940</v>
      </c>
      <c r="C172" s="143" t="s">
        <v>1387</v>
      </c>
      <c r="D172" s="143" t="s">
        <v>1388</v>
      </c>
      <c r="E172" s="32"/>
      <c r="F172" s="32" t="s">
        <v>696</v>
      </c>
      <c r="G172" s="32" t="s">
        <v>878</v>
      </c>
      <c r="H172" s="32">
        <v>9</v>
      </c>
      <c r="I172" s="32">
        <v>0</v>
      </c>
      <c r="J172" s="32">
        <v>10</v>
      </c>
      <c r="K172" s="32" t="s">
        <v>693</v>
      </c>
      <c r="L172" s="32" t="s">
        <v>698</v>
      </c>
      <c r="M172" s="32" t="s">
        <v>805</v>
      </c>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row>
    <row r="173" spans="1:69">
      <c r="A173" s="32"/>
      <c r="B173" s="32"/>
      <c r="C173" s="32"/>
      <c r="D173" s="32"/>
      <c r="E173" s="32"/>
      <c r="F173" s="32" t="s">
        <v>696</v>
      </c>
      <c r="G173" s="32" t="s">
        <v>879</v>
      </c>
      <c r="H173" s="32">
        <v>19</v>
      </c>
      <c r="I173" s="32">
        <v>10</v>
      </c>
      <c r="J173" s="32">
        <v>10</v>
      </c>
      <c r="K173" s="32" t="s">
        <v>693</v>
      </c>
      <c r="L173" s="32" t="s">
        <v>698</v>
      </c>
      <c r="M173" s="32" t="s">
        <v>806</v>
      </c>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row>
    <row r="174" spans="1:69">
      <c r="A174" s="143" t="s">
        <v>941</v>
      </c>
      <c r="B174" s="143" t="s">
        <v>941</v>
      </c>
      <c r="C174" s="143" t="s">
        <v>1390</v>
      </c>
      <c r="D174" s="143" t="s">
        <v>1389</v>
      </c>
      <c r="E174" s="32"/>
      <c r="F174" s="32" t="s">
        <v>696</v>
      </c>
      <c r="G174" s="32" t="s">
        <v>880</v>
      </c>
      <c r="H174" s="32">
        <v>9</v>
      </c>
      <c r="I174" s="32">
        <v>0</v>
      </c>
      <c r="J174" s="32">
        <v>10</v>
      </c>
      <c r="K174" s="32" t="s">
        <v>693</v>
      </c>
      <c r="L174" s="32" t="s">
        <v>698</v>
      </c>
      <c r="M174" s="32" t="s">
        <v>805</v>
      </c>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row>
    <row r="175" spans="1:69">
      <c r="A175" s="32"/>
      <c r="B175" s="32"/>
      <c r="C175" s="32"/>
      <c r="D175" s="32"/>
      <c r="E175" s="32"/>
      <c r="F175" s="32" t="s">
        <v>696</v>
      </c>
      <c r="G175" s="32" t="s">
        <v>881</v>
      </c>
      <c r="H175" s="32">
        <v>19</v>
      </c>
      <c r="I175" s="32">
        <v>10</v>
      </c>
      <c r="J175" s="32">
        <v>10</v>
      </c>
      <c r="K175" s="32" t="s">
        <v>693</v>
      </c>
      <c r="L175" s="32" t="s">
        <v>698</v>
      </c>
      <c r="M175" s="32" t="s">
        <v>806</v>
      </c>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row>
    <row r="176" spans="1:69">
      <c r="A176" s="143" t="s">
        <v>942</v>
      </c>
      <c r="B176" s="143" t="s">
        <v>942</v>
      </c>
      <c r="C176" s="143" t="s">
        <v>1391</v>
      </c>
      <c r="D176" s="143" t="s">
        <v>1392</v>
      </c>
      <c r="E176" s="32"/>
      <c r="F176" s="32" t="s">
        <v>696</v>
      </c>
      <c r="G176" s="32" t="s">
        <v>882</v>
      </c>
      <c r="H176" s="32">
        <v>0</v>
      </c>
      <c r="I176" s="32">
        <v>0</v>
      </c>
      <c r="J176" s="32">
        <v>1</v>
      </c>
      <c r="K176" s="32" t="s">
        <v>693</v>
      </c>
      <c r="L176" s="32" t="s">
        <v>698</v>
      </c>
      <c r="M176" s="32" t="s">
        <v>807</v>
      </c>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row>
    <row r="177" spans="1:69">
      <c r="A177" s="32"/>
      <c r="B177" s="32"/>
      <c r="C177" s="32"/>
      <c r="D177" s="32"/>
      <c r="E177" s="32"/>
      <c r="F177" s="32" t="s">
        <v>696</v>
      </c>
      <c r="G177" s="32" t="s">
        <v>883</v>
      </c>
      <c r="H177" s="32">
        <v>1</v>
      </c>
      <c r="I177" s="32">
        <v>1</v>
      </c>
      <c r="J177" s="32">
        <v>1</v>
      </c>
      <c r="K177" s="32" t="s">
        <v>693</v>
      </c>
      <c r="L177" s="32" t="s">
        <v>697</v>
      </c>
      <c r="M177" s="32" t="s">
        <v>808</v>
      </c>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row>
    <row r="178" spans="1:69">
      <c r="A178" s="143" t="s">
        <v>943</v>
      </c>
      <c r="B178" s="143" t="s">
        <v>943</v>
      </c>
      <c r="C178" s="143" t="s">
        <v>1400</v>
      </c>
      <c r="D178" s="143" t="s">
        <v>1393</v>
      </c>
      <c r="E178" s="32"/>
      <c r="F178" s="32" t="s">
        <v>696</v>
      </c>
      <c r="G178" s="32" t="s">
        <v>884</v>
      </c>
      <c r="H178" s="32">
        <v>31</v>
      </c>
      <c r="I178" s="32">
        <v>0</v>
      </c>
      <c r="J178" s="32">
        <v>32</v>
      </c>
      <c r="K178" s="32" t="s">
        <v>693</v>
      </c>
      <c r="L178" s="32" t="s">
        <v>712</v>
      </c>
      <c r="M178" s="32" t="s">
        <v>809</v>
      </c>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row>
    <row r="179" spans="1:69">
      <c r="A179" s="143" t="s">
        <v>944</v>
      </c>
      <c r="B179" s="143" t="s">
        <v>944</v>
      </c>
      <c r="C179" s="143" t="s">
        <v>1401</v>
      </c>
      <c r="D179" s="143" t="s">
        <v>1394</v>
      </c>
      <c r="E179" s="32"/>
      <c r="F179" s="32" t="s">
        <v>696</v>
      </c>
      <c r="G179" s="32" t="s">
        <v>885</v>
      </c>
      <c r="H179" s="32">
        <v>23</v>
      </c>
      <c r="I179" s="32">
        <v>0</v>
      </c>
      <c r="J179" s="32">
        <v>24</v>
      </c>
      <c r="K179" s="32" t="s">
        <v>693</v>
      </c>
      <c r="L179" s="32" t="s">
        <v>712</v>
      </c>
      <c r="M179" s="32" t="s">
        <v>810</v>
      </c>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row>
    <row r="180" spans="1:69">
      <c r="A180" s="143" t="s">
        <v>945</v>
      </c>
      <c r="B180" s="143" t="s">
        <v>945</v>
      </c>
      <c r="C180" s="143" t="s">
        <v>1402</v>
      </c>
      <c r="D180" s="143" t="s">
        <v>1395</v>
      </c>
      <c r="E180" s="32"/>
      <c r="F180" s="32" t="s">
        <v>696</v>
      </c>
      <c r="G180" s="32" t="s">
        <v>886</v>
      </c>
      <c r="H180" s="32">
        <v>31</v>
      </c>
      <c r="I180" s="32">
        <v>0</v>
      </c>
      <c r="J180" s="32">
        <v>32</v>
      </c>
      <c r="K180" s="32" t="s">
        <v>693</v>
      </c>
      <c r="L180" s="32" t="s">
        <v>712</v>
      </c>
      <c r="M180" s="32" t="s">
        <v>811</v>
      </c>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row>
    <row r="181" spans="1:69">
      <c r="A181" s="143" t="s">
        <v>946</v>
      </c>
      <c r="B181" s="143" t="s">
        <v>946</v>
      </c>
      <c r="C181" s="143" t="s">
        <v>1403</v>
      </c>
      <c r="D181" s="143" t="s">
        <v>1396</v>
      </c>
      <c r="E181" s="32"/>
      <c r="F181" s="32" t="s">
        <v>696</v>
      </c>
      <c r="G181" s="32" t="s">
        <v>887</v>
      </c>
      <c r="H181" s="32">
        <v>23</v>
      </c>
      <c r="I181" s="32">
        <v>0</v>
      </c>
      <c r="J181" s="32">
        <v>24</v>
      </c>
      <c r="K181" s="32" t="s">
        <v>693</v>
      </c>
      <c r="L181" s="32" t="s">
        <v>712</v>
      </c>
      <c r="M181" s="32" t="s">
        <v>811</v>
      </c>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row>
    <row r="182" spans="1:69">
      <c r="A182" s="143" t="s">
        <v>947</v>
      </c>
      <c r="B182" s="143" t="s">
        <v>947</v>
      </c>
      <c r="C182" s="143" t="s">
        <v>1404</v>
      </c>
      <c r="D182" s="143" t="s">
        <v>1397</v>
      </c>
      <c r="E182" s="32"/>
      <c r="F182" s="32" t="s">
        <v>696</v>
      </c>
      <c r="G182" s="32" t="s">
        <v>888</v>
      </c>
      <c r="H182" s="32">
        <v>31</v>
      </c>
      <c r="I182" s="32">
        <v>0</v>
      </c>
      <c r="J182" s="32">
        <v>32</v>
      </c>
      <c r="K182" s="32" t="s">
        <v>693</v>
      </c>
      <c r="L182" s="32" t="s">
        <v>712</v>
      </c>
      <c r="M182" s="32" t="s">
        <v>812</v>
      </c>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row>
    <row r="183" spans="1:69">
      <c r="A183" s="143" t="s">
        <v>948</v>
      </c>
      <c r="B183" s="143" t="s">
        <v>948</v>
      </c>
      <c r="C183" s="143" t="s">
        <v>1405</v>
      </c>
      <c r="D183" s="143" t="s">
        <v>1398</v>
      </c>
      <c r="E183" s="32"/>
      <c r="F183" s="32" t="s">
        <v>696</v>
      </c>
      <c r="G183" s="32" t="s">
        <v>889</v>
      </c>
      <c r="H183" s="32">
        <v>23</v>
      </c>
      <c r="I183" s="32">
        <v>0</v>
      </c>
      <c r="J183" s="32">
        <v>24</v>
      </c>
      <c r="K183" s="32" t="s">
        <v>693</v>
      </c>
      <c r="L183" s="32" t="s">
        <v>712</v>
      </c>
      <c r="M183" s="32" t="s">
        <v>812</v>
      </c>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row>
    <row r="184" spans="1:69">
      <c r="A184" s="143" t="s">
        <v>949</v>
      </c>
      <c r="B184" s="143" t="s">
        <v>949</v>
      </c>
      <c r="C184" s="143" t="s">
        <v>1406</v>
      </c>
      <c r="D184" s="143" t="s">
        <v>1399</v>
      </c>
      <c r="E184" s="32"/>
      <c r="F184" s="32" t="s">
        <v>696</v>
      </c>
      <c r="G184" s="32" t="s">
        <v>890</v>
      </c>
      <c r="H184" s="32">
        <v>0</v>
      </c>
      <c r="I184" s="32">
        <v>0</v>
      </c>
      <c r="J184" s="32">
        <v>1</v>
      </c>
      <c r="K184" s="32" t="s">
        <v>693</v>
      </c>
      <c r="L184" s="32" t="s">
        <v>698</v>
      </c>
      <c r="M184" s="143" t="s">
        <v>378</v>
      </c>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row>
    <row r="185" spans="1:69" ht="95.25">
      <c r="A185" s="32"/>
      <c r="B185" s="32"/>
      <c r="C185" s="32"/>
      <c r="D185" s="32"/>
      <c r="E185" s="32"/>
      <c r="F185" s="32" t="s">
        <v>696</v>
      </c>
      <c r="G185" s="32" t="s">
        <v>891</v>
      </c>
      <c r="H185" s="32">
        <v>5</v>
      </c>
      <c r="I185" s="32">
        <v>1</v>
      </c>
      <c r="J185" s="32">
        <v>5</v>
      </c>
      <c r="K185" s="32" t="s">
        <v>693</v>
      </c>
      <c r="L185" s="32" t="s">
        <v>698</v>
      </c>
      <c r="M185" s="144" t="s">
        <v>2345</v>
      </c>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row>
    <row r="186" spans="1:69" ht="95.25">
      <c r="A186" s="32"/>
      <c r="B186" s="32"/>
      <c r="C186" s="32"/>
      <c r="D186" s="32"/>
      <c r="E186" s="32"/>
      <c r="F186" s="32" t="s">
        <v>696</v>
      </c>
      <c r="G186" s="32" t="s">
        <v>892</v>
      </c>
      <c r="H186" s="32">
        <v>10</v>
      </c>
      <c r="I186" s="32">
        <v>6</v>
      </c>
      <c r="J186" s="32">
        <v>5</v>
      </c>
      <c r="K186" s="32" t="s">
        <v>693</v>
      </c>
      <c r="L186" s="32" t="s">
        <v>712</v>
      </c>
      <c r="M186" s="144" t="s">
        <v>2346</v>
      </c>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row>
    <row r="187" spans="1:69">
      <c r="A187" s="143" t="s">
        <v>950</v>
      </c>
      <c r="B187" s="143" t="s">
        <v>950</v>
      </c>
      <c r="C187" s="143" t="s">
        <v>1208</v>
      </c>
      <c r="D187" s="143" t="s">
        <v>1407</v>
      </c>
      <c r="E187" s="32"/>
      <c r="F187" s="32" t="s">
        <v>696</v>
      </c>
      <c r="G187" s="32" t="s">
        <v>893</v>
      </c>
      <c r="H187" s="32">
        <v>31</v>
      </c>
      <c r="I187" s="32">
        <v>0</v>
      </c>
      <c r="J187" s="32">
        <v>32</v>
      </c>
      <c r="K187" s="32" t="s">
        <v>693</v>
      </c>
      <c r="L187" s="32" t="s">
        <v>712</v>
      </c>
      <c r="M187" s="143" t="s">
        <v>622</v>
      </c>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row>
    <row r="188" spans="1:69">
      <c r="A188" s="143" t="s">
        <v>951</v>
      </c>
      <c r="B188" s="143" t="s">
        <v>951</v>
      </c>
      <c r="C188" s="143" t="s">
        <v>1209</v>
      </c>
      <c r="D188" s="143" t="s">
        <v>1408</v>
      </c>
      <c r="E188" s="32"/>
      <c r="F188" s="32" t="s">
        <v>696</v>
      </c>
      <c r="G188" s="32" t="s">
        <v>894</v>
      </c>
      <c r="H188" s="32">
        <v>0</v>
      </c>
      <c r="I188" s="32">
        <v>0</v>
      </c>
      <c r="J188" s="32">
        <v>1</v>
      </c>
      <c r="K188" s="32" t="s">
        <v>693</v>
      </c>
      <c r="L188" s="32" t="s">
        <v>712</v>
      </c>
      <c r="M188" s="143" t="s">
        <v>623</v>
      </c>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row>
    <row r="189" spans="1:69">
      <c r="A189" s="143" t="s">
        <v>952</v>
      </c>
      <c r="B189" s="143" t="s">
        <v>952</v>
      </c>
      <c r="C189" s="143" t="s">
        <v>1210</v>
      </c>
      <c r="D189" s="143" t="s">
        <v>1211</v>
      </c>
      <c r="E189" s="32"/>
      <c r="F189" s="32" t="s">
        <v>696</v>
      </c>
      <c r="G189" s="143" t="s">
        <v>1717</v>
      </c>
      <c r="H189" s="32">
        <v>0</v>
      </c>
      <c r="I189" s="32">
        <v>0</v>
      </c>
      <c r="J189" s="32">
        <v>1</v>
      </c>
      <c r="K189" s="143" t="s">
        <v>1623</v>
      </c>
      <c r="L189" s="143" t="s">
        <v>1294</v>
      </c>
      <c r="M189" s="143" t="s">
        <v>1718</v>
      </c>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row>
    <row r="190" spans="1:69">
      <c r="A190" s="143"/>
      <c r="B190" s="143"/>
      <c r="C190" s="143"/>
      <c r="D190" s="143"/>
      <c r="E190" s="32"/>
      <c r="F190" s="32" t="s">
        <v>696</v>
      </c>
      <c r="G190" s="143" t="s">
        <v>1716</v>
      </c>
      <c r="H190" s="32">
        <v>1</v>
      </c>
      <c r="I190" s="32">
        <v>1</v>
      </c>
      <c r="J190" s="32">
        <v>1</v>
      </c>
      <c r="K190" s="143" t="s">
        <v>1623</v>
      </c>
      <c r="L190" s="143" t="s">
        <v>1294</v>
      </c>
      <c r="M190" s="143" t="s">
        <v>1719</v>
      </c>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row>
    <row r="191" spans="1:69" ht="99">
      <c r="A191" s="32"/>
      <c r="B191" s="32"/>
      <c r="C191" s="32"/>
      <c r="D191" s="32"/>
      <c r="E191" s="32"/>
      <c r="F191" s="32" t="s">
        <v>696</v>
      </c>
      <c r="G191" s="143" t="s">
        <v>922</v>
      </c>
      <c r="H191" s="32">
        <v>3</v>
      </c>
      <c r="I191" s="32">
        <v>2</v>
      </c>
      <c r="J191" s="32">
        <v>2</v>
      </c>
      <c r="K191" s="143" t="s">
        <v>921</v>
      </c>
      <c r="L191" s="32" t="s">
        <v>698</v>
      </c>
      <c r="M191" s="69" t="s">
        <v>1646</v>
      </c>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row>
    <row r="192" spans="1:69">
      <c r="A192" s="143" t="s">
        <v>953</v>
      </c>
      <c r="B192" s="143" t="s">
        <v>953</v>
      </c>
      <c r="C192" s="143" t="s">
        <v>1214</v>
      </c>
      <c r="D192" s="143" t="s">
        <v>1212</v>
      </c>
      <c r="E192" s="32"/>
      <c r="F192" s="32" t="s">
        <v>696</v>
      </c>
      <c r="G192" s="206" t="s">
        <v>918</v>
      </c>
      <c r="H192" s="32">
        <v>31</v>
      </c>
      <c r="I192" s="32">
        <v>0</v>
      </c>
      <c r="J192" s="32">
        <v>32</v>
      </c>
      <c r="K192" s="32" t="s">
        <v>693</v>
      </c>
      <c r="L192" s="32" t="s">
        <v>712</v>
      </c>
      <c r="M192" s="32" t="s">
        <v>919</v>
      </c>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row>
    <row r="193" spans="1:69">
      <c r="A193" s="143" t="s">
        <v>930</v>
      </c>
      <c r="B193" s="143" t="s">
        <v>930</v>
      </c>
      <c r="C193" s="143" t="s">
        <v>1215</v>
      </c>
      <c r="D193" s="143" t="s">
        <v>1213</v>
      </c>
      <c r="E193" s="32"/>
      <c r="F193" s="32" t="s">
        <v>696</v>
      </c>
      <c r="G193" s="143" t="s">
        <v>931</v>
      </c>
      <c r="H193" s="32">
        <v>7</v>
      </c>
      <c r="I193" s="32">
        <v>0</v>
      </c>
      <c r="J193" s="32">
        <v>8</v>
      </c>
      <c r="K193" s="32" t="s">
        <v>693</v>
      </c>
      <c r="L193" s="143" t="s">
        <v>929</v>
      </c>
      <c r="M193" s="143" t="s">
        <v>932</v>
      </c>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row>
    <row r="194" spans="1:69">
      <c r="A194" s="143"/>
      <c r="B194" s="143"/>
      <c r="C194" s="143"/>
      <c r="D194" s="143"/>
      <c r="E194" s="32"/>
      <c r="F194" s="32" t="s">
        <v>696</v>
      </c>
      <c r="G194" s="213" t="s">
        <v>1982</v>
      </c>
      <c r="H194" s="214">
        <v>17</v>
      </c>
      <c r="I194" s="214">
        <v>8</v>
      </c>
      <c r="J194" s="214">
        <v>10</v>
      </c>
      <c r="K194" s="214" t="s">
        <v>693</v>
      </c>
      <c r="L194" s="213" t="s">
        <v>929</v>
      </c>
      <c r="M194" s="213" t="s">
        <v>1982</v>
      </c>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row>
    <row r="195" spans="1:69">
      <c r="A195" s="32"/>
      <c r="B195" s="32"/>
      <c r="C195" s="32"/>
      <c r="D195" s="32"/>
      <c r="E195" s="32"/>
      <c r="F195" s="32" t="s">
        <v>696</v>
      </c>
      <c r="G195" s="213" t="s">
        <v>1983</v>
      </c>
      <c r="H195" s="214">
        <v>27</v>
      </c>
      <c r="I195" s="214">
        <v>18</v>
      </c>
      <c r="J195" s="214">
        <v>10</v>
      </c>
      <c r="K195" s="214" t="s">
        <v>693</v>
      </c>
      <c r="L195" s="213" t="s">
        <v>929</v>
      </c>
      <c r="M195" s="213" t="s">
        <v>1983</v>
      </c>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row>
    <row r="196" spans="1:69">
      <c r="A196" s="143" t="s">
        <v>970</v>
      </c>
      <c r="B196" s="143" t="s">
        <v>970</v>
      </c>
      <c r="C196" s="143" t="s">
        <v>917</v>
      </c>
      <c r="D196" s="143" t="s">
        <v>1218</v>
      </c>
      <c r="E196" s="32"/>
      <c r="F196" s="32" t="s">
        <v>696</v>
      </c>
      <c r="G196" s="143" t="s">
        <v>1024</v>
      </c>
      <c r="H196" s="32">
        <v>31</v>
      </c>
      <c r="I196" s="32">
        <v>0</v>
      </c>
      <c r="J196" s="32">
        <v>32</v>
      </c>
      <c r="K196" s="32" t="s">
        <v>693</v>
      </c>
      <c r="L196" s="32" t="s">
        <v>698</v>
      </c>
      <c r="M196" s="143" t="s">
        <v>2339</v>
      </c>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row>
    <row r="197" spans="1:69">
      <c r="A197" s="143" t="s">
        <v>974</v>
      </c>
      <c r="B197" s="143" t="s">
        <v>974</v>
      </c>
      <c r="C197" s="143" t="s">
        <v>1216</v>
      </c>
      <c r="D197" s="143" t="s">
        <v>1219</v>
      </c>
      <c r="E197" s="32"/>
      <c r="F197" s="32" t="s">
        <v>696</v>
      </c>
      <c r="G197" s="143" t="s">
        <v>1025</v>
      </c>
      <c r="H197" s="32">
        <v>31</v>
      </c>
      <c r="I197" s="32">
        <v>0</v>
      </c>
      <c r="J197" s="32">
        <v>32</v>
      </c>
      <c r="K197" s="32" t="s">
        <v>693</v>
      </c>
      <c r="L197" s="32" t="s">
        <v>698</v>
      </c>
      <c r="M197" s="143" t="s">
        <v>2339</v>
      </c>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row>
    <row r="198" spans="1:69">
      <c r="A198" s="143" t="s">
        <v>985</v>
      </c>
      <c r="B198" s="143" t="s">
        <v>985</v>
      </c>
      <c r="C198" s="143" t="s">
        <v>1217</v>
      </c>
      <c r="D198" s="143" t="s">
        <v>1411</v>
      </c>
      <c r="E198" s="32"/>
      <c r="F198" s="32" t="s">
        <v>696</v>
      </c>
      <c r="G198" s="143" t="s">
        <v>1026</v>
      </c>
      <c r="H198" s="32">
        <v>31</v>
      </c>
      <c r="I198" s="32">
        <v>0</v>
      </c>
      <c r="J198" s="32">
        <v>32</v>
      </c>
      <c r="K198" s="32" t="s">
        <v>693</v>
      </c>
      <c r="L198" s="32" t="s">
        <v>698</v>
      </c>
      <c r="M198" s="143" t="s">
        <v>2339</v>
      </c>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row>
    <row r="199" spans="1:69">
      <c r="A199" s="143" t="s">
        <v>986</v>
      </c>
      <c r="B199" s="143" t="s">
        <v>986</v>
      </c>
      <c r="C199" s="143" t="s">
        <v>1086</v>
      </c>
      <c r="D199" s="143" t="s">
        <v>1412</v>
      </c>
      <c r="E199" s="32"/>
      <c r="F199" s="32" t="s">
        <v>696</v>
      </c>
      <c r="G199" s="143" t="s">
        <v>1027</v>
      </c>
      <c r="H199" s="32">
        <v>31</v>
      </c>
      <c r="I199" s="32">
        <v>0</v>
      </c>
      <c r="J199" s="32">
        <v>32</v>
      </c>
      <c r="K199" s="32" t="s">
        <v>693</v>
      </c>
      <c r="L199" s="32" t="s">
        <v>698</v>
      </c>
      <c r="M199" s="143" t="s">
        <v>2339</v>
      </c>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row>
    <row r="200" spans="1:69">
      <c r="A200" s="143" t="s">
        <v>998</v>
      </c>
      <c r="B200" s="143" t="s">
        <v>998</v>
      </c>
      <c r="C200" s="143" t="s">
        <v>1087</v>
      </c>
      <c r="D200" s="143" t="s">
        <v>1413</v>
      </c>
      <c r="E200" s="32"/>
      <c r="F200" s="32" t="s">
        <v>696</v>
      </c>
      <c r="G200" s="143" t="s">
        <v>1028</v>
      </c>
      <c r="H200" s="32">
        <v>31</v>
      </c>
      <c r="I200" s="32">
        <v>0</v>
      </c>
      <c r="J200" s="32">
        <v>32</v>
      </c>
      <c r="K200" s="32" t="s">
        <v>693</v>
      </c>
      <c r="L200" s="32" t="s">
        <v>698</v>
      </c>
      <c r="M200" s="143" t="s">
        <v>2339</v>
      </c>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row>
    <row r="201" spans="1:69">
      <c r="A201" s="143" t="s">
        <v>999</v>
      </c>
      <c r="B201" s="143" t="s">
        <v>999</v>
      </c>
      <c r="C201" s="143" t="s">
        <v>1088</v>
      </c>
      <c r="D201" s="143" t="s">
        <v>1414</v>
      </c>
      <c r="E201" s="32"/>
      <c r="F201" s="32" t="s">
        <v>696</v>
      </c>
      <c r="G201" s="143" t="s">
        <v>1029</v>
      </c>
      <c r="H201" s="32">
        <v>31</v>
      </c>
      <c r="I201" s="32">
        <v>0</v>
      </c>
      <c r="J201" s="32">
        <v>32</v>
      </c>
      <c r="K201" s="32" t="s">
        <v>693</v>
      </c>
      <c r="L201" s="32" t="s">
        <v>698</v>
      </c>
      <c r="M201" s="143" t="s">
        <v>2339</v>
      </c>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row>
    <row r="202" spans="1:69">
      <c r="A202" s="143" t="s">
        <v>1000</v>
      </c>
      <c r="B202" s="143" t="s">
        <v>1000</v>
      </c>
      <c r="C202" s="143" t="s">
        <v>1089</v>
      </c>
      <c r="D202" s="143" t="s">
        <v>1415</v>
      </c>
      <c r="E202" s="32"/>
      <c r="F202" s="32" t="s">
        <v>696</v>
      </c>
      <c r="G202" s="143" t="s">
        <v>1030</v>
      </c>
      <c r="H202" s="32">
        <v>31</v>
      </c>
      <c r="I202" s="32">
        <v>0</v>
      </c>
      <c r="J202" s="32">
        <v>32</v>
      </c>
      <c r="K202" s="32" t="s">
        <v>693</v>
      </c>
      <c r="L202" s="32" t="s">
        <v>698</v>
      </c>
      <c r="M202" s="143" t="s">
        <v>2339</v>
      </c>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row>
    <row r="203" spans="1:69">
      <c r="A203" s="143" t="s">
        <v>1001</v>
      </c>
      <c r="B203" s="143" t="s">
        <v>1001</v>
      </c>
      <c r="C203" s="143" t="s">
        <v>1090</v>
      </c>
      <c r="D203" s="143" t="s">
        <v>1416</v>
      </c>
      <c r="E203" s="32"/>
      <c r="F203" s="32" t="s">
        <v>696</v>
      </c>
      <c r="G203" s="143" t="s">
        <v>1031</v>
      </c>
      <c r="H203" s="32">
        <v>31</v>
      </c>
      <c r="I203" s="32">
        <v>0</v>
      </c>
      <c r="J203" s="32">
        <v>32</v>
      </c>
      <c r="K203" s="32" t="s">
        <v>693</v>
      </c>
      <c r="L203" s="32" t="s">
        <v>698</v>
      </c>
      <c r="M203" s="143" t="s">
        <v>2339</v>
      </c>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row>
    <row r="204" spans="1:69">
      <c r="A204" s="143" t="s">
        <v>1002</v>
      </c>
      <c r="B204" s="143" t="s">
        <v>1002</v>
      </c>
      <c r="C204" s="143" t="s">
        <v>1091</v>
      </c>
      <c r="D204" s="143" t="s">
        <v>1417</v>
      </c>
      <c r="E204" s="32"/>
      <c r="F204" s="32" t="s">
        <v>696</v>
      </c>
      <c r="G204" s="143" t="s">
        <v>1032</v>
      </c>
      <c r="H204" s="32">
        <v>31</v>
      </c>
      <c r="I204" s="32">
        <v>0</v>
      </c>
      <c r="J204" s="32">
        <v>32</v>
      </c>
      <c r="K204" s="32" t="s">
        <v>693</v>
      </c>
      <c r="L204" s="32" t="s">
        <v>698</v>
      </c>
      <c r="M204" s="143" t="s">
        <v>2339</v>
      </c>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row>
    <row r="205" spans="1:69">
      <c r="A205" s="143" t="s">
        <v>1003</v>
      </c>
      <c r="B205" s="143" t="s">
        <v>1003</v>
      </c>
      <c r="C205" s="143" t="s">
        <v>1092</v>
      </c>
      <c r="D205" s="143" t="s">
        <v>1418</v>
      </c>
      <c r="E205" s="32"/>
      <c r="F205" s="32" t="s">
        <v>696</v>
      </c>
      <c r="G205" s="143" t="s">
        <v>1033</v>
      </c>
      <c r="H205" s="32">
        <v>31</v>
      </c>
      <c r="I205" s="32">
        <v>0</v>
      </c>
      <c r="J205" s="32">
        <v>32</v>
      </c>
      <c r="K205" s="32" t="s">
        <v>693</v>
      </c>
      <c r="L205" s="32" t="s">
        <v>698</v>
      </c>
      <c r="M205" s="143" t="s">
        <v>2339</v>
      </c>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row>
    <row r="206" spans="1:69">
      <c r="A206" s="143" t="s">
        <v>1040</v>
      </c>
      <c r="B206" s="143" t="s">
        <v>1040</v>
      </c>
      <c r="C206" s="143" t="s">
        <v>1093</v>
      </c>
      <c r="D206" s="143" t="s">
        <v>1419</v>
      </c>
      <c r="E206" s="32"/>
      <c r="F206" s="32" t="s">
        <v>696</v>
      </c>
      <c r="G206" s="143" t="s">
        <v>1034</v>
      </c>
      <c r="H206" s="32">
        <v>31</v>
      </c>
      <c r="I206" s="32">
        <v>0</v>
      </c>
      <c r="J206" s="32">
        <v>32</v>
      </c>
      <c r="K206" s="32" t="s">
        <v>693</v>
      </c>
      <c r="L206" s="32" t="s">
        <v>698</v>
      </c>
      <c r="M206" s="143" t="s">
        <v>2339</v>
      </c>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row>
    <row r="207" spans="1:69">
      <c r="A207" s="143" t="s">
        <v>1041</v>
      </c>
      <c r="B207" s="143" t="s">
        <v>1041</v>
      </c>
      <c r="C207" s="143" t="s">
        <v>1094</v>
      </c>
      <c r="D207" s="143" t="s">
        <v>1420</v>
      </c>
      <c r="E207" s="32"/>
      <c r="F207" s="32" t="s">
        <v>696</v>
      </c>
      <c r="G207" s="143" t="s">
        <v>1035</v>
      </c>
      <c r="H207" s="32">
        <v>31</v>
      </c>
      <c r="I207" s="32">
        <v>0</v>
      </c>
      <c r="J207" s="32">
        <v>32</v>
      </c>
      <c r="K207" s="32" t="s">
        <v>693</v>
      </c>
      <c r="L207" s="32" t="s">
        <v>698</v>
      </c>
      <c r="M207" s="143" t="s">
        <v>2339</v>
      </c>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row>
    <row r="208" spans="1:69">
      <c r="A208" s="143" t="s">
        <v>1042</v>
      </c>
      <c r="B208" s="143" t="s">
        <v>1042</v>
      </c>
      <c r="C208" s="143" t="s">
        <v>1095</v>
      </c>
      <c r="D208" s="143" t="s">
        <v>1421</v>
      </c>
      <c r="E208" s="32"/>
      <c r="F208" s="32" t="s">
        <v>696</v>
      </c>
      <c r="G208" s="143" t="s">
        <v>1036</v>
      </c>
      <c r="H208" s="32">
        <v>31</v>
      </c>
      <c r="I208" s="32">
        <v>0</v>
      </c>
      <c r="J208" s="32">
        <v>32</v>
      </c>
      <c r="K208" s="32" t="s">
        <v>693</v>
      </c>
      <c r="L208" s="32" t="s">
        <v>698</v>
      </c>
      <c r="M208" s="143" t="s">
        <v>2339</v>
      </c>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row>
    <row r="209" spans="1:69">
      <c r="A209" s="143" t="s">
        <v>1043</v>
      </c>
      <c r="B209" s="143" t="s">
        <v>1043</v>
      </c>
      <c r="C209" s="143" t="s">
        <v>1096</v>
      </c>
      <c r="D209" s="143" t="s">
        <v>1422</v>
      </c>
      <c r="E209" s="32"/>
      <c r="F209" s="32" t="s">
        <v>696</v>
      </c>
      <c r="G209" s="143" t="s">
        <v>1037</v>
      </c>
      <c r="H209" s="32">
        <v>31</v>
      </c>
      <c r="I209" s="32">
        <v>0</v>
      </c>
      <c r="J209" s="32">
        <v>32</v>
      </c>
      <c r="K209" s="32" t="s">
        <v>693</v>
      </c>
      <c r="L209" s="32" t="s">
        <v>698</v>
      </c>
      <c r="M209" s="143" t="s">
        <v>2339</v>
      </c>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row>
    <row r="210" spans="1:69">
      <c r="A210" s="143" t="s">
        <v>1044</v>
      </c>
      <c r="B210" s="143" t="s">
        <v>1044</v>
      </c>
      <c r="C210" s="143" t="s">
        <v>1097</v>
      </c>
      <c r="D210" s="143" t="s">
        <v>1423</v>
      </c>
      <c r="E210" s="32"/>
      <c r="F210" s="32" t="s">
        <v>696</v>
      </c>
      <c r="G210" s="143" t="s">
        <v>1038</v>
      </c>
      <c r="H210" s="32">
        <v>31</v>
      </c>
      <c r="I210" s="32">
        <v>0</v>
      </c>
      <c r="J210" s="32">
        <v>32</v>
      </c>
      <c r="K210" s="32" t="s">
        <v>693</v>
      </c>
      <c r="L210" s="32" t="s">
        <v>698</v>
      </c>
      <c r="M210" s="143" t="s">
        <v>2339</v>
      </c>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row>
    <row r="211" spans="1:69">
      <c r="A211" s="143" t="s">
        <v>1045</v>
      </c>
      <c r="B211" s="143" t="s">
        <v>1045</v>
      </c>
      <c r="C211" s="143" t="s">
        <v>1098</v>
      </c>
      <c r="D211" s="143" t="s">
        <v>1424</v>
      </c>
      <c r="E211" s="32"/>
      <c r="F211" s="32" t="s">
        <v>696</v>
      </c>
      <c r="G211" s="143" t="s">
        <v>1039</v>
      </c>
      <c r="H211" s="32">
        <v>31</v>
      </c>
      <c r="I211" s="32">
        <v>0</v>
      </c>
      <c r="J211" s="32">
        <v>32</v>
      </c>
      <c r="K211" s="32" t="s">
        <v>693</v>
      </c>
      <c r="L211" s="32" t="s">
        <v>698</v>
      </c>
      <c r="M211" s="143" t="s">
        <v>2339</v>
      </c>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row>
    <row r="212" spans="1:69">
      <c r="A212" s="143" t="s">
        <v>1046</v>
      </c>
      <c r="B212" s="143" t="s">
        <v>1046</v>
      </c>
      <c r="C212" s="143" t="s">
        <v>1157</v>
      </c>
      <c r="D212" s="143" t="s">
        <v>1425</v>
      </c>
      <c r="E212" s="32"/>
      <c r="F212" s="32" t="s">
        <v>696</v>
      </c>
      <c r="G212" s="143" t="s">
        <v>1221</v>
      </c>
      <c r="H212" s="32">
        <v>31</v>
      </c>
      <c r="I212" s="32">
        <v>0</v>
      </c>
      <c r="J212" s="32">
        <v>32</v>
      </c>
      <c r="K212" s="32" t="s">
        <v>693</v>
      </c>
      <c r="L212" s="32" t="s">
        <v>698</v>
      </c>
      <c r="M212" s="143" t="s">
        <v>2339</v>
      </c>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row>
    <row r="213" spans="1:69">
      <c r="A213" s="143" t="s">
        <v>1047</v>
      </c>
      <c r="B213" s="143" t="s">
        <v>1047</v>
      </c>
      <c r="C213" s="143" t="s">
        <v>1158</v>
      </c>
      <c r="D213" s="143" t="s">
        <v>1426</v>
      </c>
      <c r="E213" s="32"/>
      <c r="F213" s="32" t="s">
        <v>696</v>
      </c>
      <c r="G213" s="143" t="s">
        <v>1222</v>
      </c>
      <c r="H213" s="32">
        <v>31</v>
      </c>
      <c r="I213" s="32">
        <v>0</v>
      </c>
      <c r="J213" s="32">
        <v>32</v>
      </c>
      <c r="K213" s="32" t="s">
        <v>693</v>
      </c>
      <c r="L213" s="32" t="s">
        <v>698</v>
      </c>
      <c r="M213" s="143" t="s">
        <v>2339</v>
      </c>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row>
    <row r="214" spans="1:69">
      <c r="A214" s="143" t="s">
        <v>1048</v>
      </c>
      <c r="B214" s="143" t="s">
        <v>1048</v>
      </c>
      <c r="C214" s="143" t="s">
        <v>1159</v>
      </c>
      <c r="D214" s="143" t="s">
        <v>1427</v>
      </c>
      <c r="E214" s="32"/>
      <c r="F214" s="32" t="s">
        <v>696</v>
      </c>
      <c r="G214" s="143" t="s">
        <v>1223</v>
      </c>
      <c r="H214" s="32">
        <v>31</v>
      </c>
      <c r="I214" s="32">
        <v>0</v>
      </c>
      <c r="J214" s="32">
        <v>32</v>
      </c>
      <c r="K214" s="32" t="s">
        <v>693</v>
      </c>
      <c r="L214" s="32" t="s">
        <v>698</v>
      </c>
      <c r="M214" s="143" t="s">
        <v>2339</v>
      </c>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row>
    <row r="215" spans="1:69">
      <c r="A215" s="143" t="s">
        <v>1049</v>
      </c>
      <c r="B215" s="143" t="s">
        <v>1049</v>
      </c>
      <c r="C215" s="143" t="s">
        <v>1160</v>
      </c>
      <c r="D215" s="143" t="s">
        <v>1428</v>
      </c>
      <c r="E215" s="32"/>
      <c r="F215" s="32" t="s">
        <v>696</v>
      </c>
      <c r="G215" s="143" t="s">
        <v>1224</v>
      </c>
      <c r="H215" s="32">
        <v>31</v>
      </c>
      <c r="I215" s="32">
        <v>0</v>
      </c>
      <c r="J215" s="32">
        <v>32</v>
      </c>
      <c r="K215" s="32" t="s">
        <v>693</v>
      </c>
      <c r="L215" s="32" t="s">
        <v>698</v>
      </c>
      <c r="M215" s="143" t="s">
        <v>2339</v>
      </c>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row>
    <row r="216" spans="1:69">
      <c r="A216" s="143" t="s">
        <v>1050</v>
      </c>
      <c r="B216" s="143" t="s">
        <v>1050</v>
      </c>
      <c r="C216" s="143" t="s">
        <v>1161</v>
      </c>
      <c r="D216" s="143" t="s">
        <v>1429</v>
      </c>
      <c r="E216" s="32"/>
      <c r="F216" s="32" t="s">
        <v>696</v>
      </c>
      <c r="G216" s="143" t="s">
        <v>1225</v>
      </c>
      <c r="H216" s="32">
        <v>31</v>
      </c>
      <c r="I216" s="32">
        <v>0</v>
      </c>
      <c r="J216" s="32">
        <v>32</v>
      </c>
      <c r="K216" s="32" t="s">
        <v>693</v>
      </c>
      <c r="L216" s="32" t="s">
        <v>698</v>
      </c>
      <c r="M216" s="143" t="s">
        <v>2339</v>
      </c>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row>
    <row r="217" spans="1:69">
      <c r="A217" s="143" t="s">
        <v>1051</v>
      </c>
      <c r="B217" s="143" t="s">
        <v>1051</v>
      </c>
      <c r="C217" s="143" t="s">
        <v>1162</v>
      </c>
      <c r="D217" s="143" t="s">
        <v>1430</v>
      </c>
      <c r="E217" s="32"/>
      <c r="F217" s="32" t="s">
        <v>696</v>
      </c>
      <c r="G217" s="143" t="s">
        <v>1226</v>
      </c>
      <c r="H217" s="32">
        <v>31</v>
      </c>
      <c r="I217" s="32">
        <v>0</v>
      </c>
      <c r="J217" s="32">
        <v>32</v>
      </c>
      <c r="K217" s="32" t="s">
        <v>693</v>
      </c>
      <c r="L217" s="32" t="s">
        <v>698</v>
      </c>
      <c r="M217" s="143" t="s">
        <v>2339</v>
      </c>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row>
    <row r="218" spans="1:69">
      <c r="A218" s="143" t="s">
        <v>1052</v>
      </c>
      <c r="B218" s="143" t="s">
        <v>1052</v>
      </c>
      <c r="C218" s="143" t="s">
        <v>1163</v>
      </c>
      <c r="D218" s="143" t="s">
        <v>1431</v>
      </c>
      <c r="E218" s="32"/>
      <c r="F218" s="32" t="s">
        <v>696</v>
      </c>
      <c r="G218" s="143" t="s">
        <v>1227</v>
      </c>
      <c r="H218" s="32">
        <v>31</v>
      </c>
      <c r="I218" s="32">
        <v>0</v>
      </c>
      <c r="J218" s="32">
        <v>32</v>
      </c>
      <c r="K218" s="32" t="s">
        <v>693</v>
      </c>
      <c r="L218" s="32" t="s">
        <v>698</v>
      </c>
      <c r="M218" s="143" t="s">
        <v>2339</v>
      </c>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row>
    <row r="219" spans="1:69">
      <c r="A219" s="143" t="s">
        <v>1053</v>
      </c>
      <c r="B219" s="143" t="s">
        <v>1053</v>
      </c>
      <c r="C219" s="143" t="s">
        <v>1164</v>
      </c>
      <c r="D219" s="143" t="s">
        <v>1432</v>
      </c>
      <c r="E219" s="32"/>
      <c r="F219" s="32" t="s">
        <v>696</v>
      </c>
      <c r="G219" s="143" t="s">
        <v>1228</v>
      </c>
      <c r="H219" s="32">
        <v>31</v>
      </c>
      <c r="I219" s="32">
        <v>0</v>
      </c>
      <c r="J219" s="32">
        <v>32</v>
      </c>
      <c r="K219" s="32" t="s">
        <v>693</v>
      </c>
      <c r="L219" s="32" t="s">
        <v>698</v>
      </c>
      <c r="M219" s="143" t="s">
        <v>2339</v>
      </c>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row>
    <row r="220" spans="1:69">
      <c r="A220" s="143" t="s">
        <v>1054</v>
      </c>
      <c r="B220" s="143" t="s">
        <v>1054</v>
      </c>
      <c r="C220" s="143" t="s">
        <v>1165</v>
      </c>
      <c r="D220" s="143" t="s">
        <v>1433</v>
      </c>
      <c r="E220" s="32"/>
      <c r="F220" s="32" t="s">
        <v>696</v>
      </c>
      <c r="G220" s="143" t="s">
        <v>1229</v>
      </c>
      <c r="H220" s="32">
        <v>31</v>
      </c>
      <c r="I220" s="32">
        <v>0</v>
      </c>
      <c r="J220" s="32">
        <v>32</v>
      </c>
      <c r="K220" s="32" t="s">
        <v>693</v>
      </c>
      <c r="L220" s="32" t="s">
        <v>698</v>
      </c>
      <c r="M220" s="143" t="s">
        <v>2339</v>
      </c>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row>
    <row r="221" spans="1:69">
      <c r="A221" s="143" t="s">
        <v>1055</v>
      </c>
      <c r="B221" s="143" t="s">
        <v>1055</v>
      </c>
      <c r="C221" s="143" t="s">
        <v>1166</v>
      </c>
      <c r="D221" s="143" t="s">
        <v>1434</v>
      </c>
      <c r="E221" s="32"/>
      <c r="F221" s="32" t="s">
        <v>696</v>
      </c>
      <c r="G221" s="143" t="s">
        <v>1230</v>
      </c>
      <c r="H221" s="32">
        <v>31</v>
      </c>
      <c r="I221" s="32">
        <v>0</v>
      </c>
      <c r="J221" s="32">
        <v>32</v>
      </c>
      <c r="K221" s="32" t="s">
        <v>693</v>
      </c>
      <c r="L221" s="32" t="s">
        <v>698</v>
      </c>
      <c r="M221" s="143" t="s">
        <v>2339</v>
      </c>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row>
    <row r="222" spans="1:69">
      <c r="A222" s="143" t="s">
        <v>1056</v>
      </c>
      <c r="B222" s="143" t="s">
        <v>1056</v>
      </c>
      <c r="C222" s="143" t="s">
        <v>1167</v>
      </c>
      <c r="D222" s="143" t="s">
        <v>1435</v>
      </c>
      <c r="E222" s="32"/>
      <c r="F222" s="32" t="s">
        <v>696</v>
      </c>
      <c r="G222" s="143" t="s">
        <v>1231</v>
      </c>
      <c r="H222" s="32">
        <v>31</v>
      </c>
      <c r="I222" s="32">
        <v>0</v>
      </c>
      <c r="J222" s="32">
        <v>32</v>
      </c>
      <c r="K222" s="32" t="s">
        <v>693</v>
      </c>
      <c r="L222" s="32" t="s">
        <v>698</v>
      </c>
      <c r="M222" s="143" t="s">
        <v>2339</v>
      </c>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row>
    <row r="223" spans="1:69">
      <c r="A223" s="143" t="s">
        <v>1057</v>
      </c>
      <c r="B223" s="143" t="s">
        <v>1057</v>
      </c>
      <c r="C223" s="143" t="s">
        <v>1168</v>
      </c>
      <c r="D223" s="143" t="s">
        <v>1436</v>
      </c>
      <c r="E223" s="32"/>
      <c r="F223" s="32" t="s">
        <v>696</v>
      </c>
      <c r="G223" s="143" t="s">
        <v>1232</v>
      </c>
      <c r="H223" s="32">
        <v>31</v>
      </c>
      <c r="I223" s="32">
        <v>0</v>
      </c>
      <c r="J223" s="32">
        <v>32</v>
      </c>
      <c r="K223" s="32" t="s">
        <v>693</v>
      </c>
      <c r="L223" s="32" t="s">
        <v>698</v>
      </c>
      <c r="M223" s="143" t="s">
        <v>2339</v>
      </c>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row>
    <row r="224" spans="1:69">
      <c r="A224" s="143" t="s">
        <v>1058</v>
      </c>
      <c r="B224" s="143" t="s">
        <v>1058</v>
      </c>
      <c r="C224" s="143" t="s">
        <v>1169</v>
      </c>
      <c r="D224" s="143" t="s">
        <v>1437</v>
      </c>
      <c r="E224" s="32"/>
      <c r="F224" s="32" t="s">
        <v>696</v>
      </c>
      <c r="G224" s="143" t="s">
        <v>1233</v>
      </c>
      <c r="H224" s="32">
        <v>31</v>
      </c>
      <c r="I224" s="32">
        <v>0</v>
      </c>
      <c r="J224" s="32">
        <v>32</v>
      </c>
      <c r="K224" s="32" t="s">
        <v>693</v>
      </c>
      <c r="L224" s="32" t="s">
        <v>698</v>
      </c>
      <c r="M224" s="143" t="s">
        <v>2339</v>
      </c>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row>
    <row r="225" spans="1:69">
      <c r="A225" s="143" t="s">
        <v>1059</v>
      </c>
      <c r="B225" s="143" t="s">
        <v>1059</v>
      </c>
      <c r="C225" s="143" t="s">
        <v>1170</v>
      </c>
      <c r="D225" s="143" t="s">
        <v>1438</v>
      </c>
      <c r="E225" s="32"/>
      <c r="F225" s="32" t="s">
        <v>696</v>
      </c>
      <c r="G225" s="143" t="s">
        <v>1234</v>
      </c>
      <c r="H225" s="32">
        <v>31</v>
      </c>
      <c r="I225" s="32">
        <v>0</v>
      </c>
      <c r="J225" s="32">
        <v>32</v>
      </c>
      <c r="K225" s="32" t="s">
        <v>693</v>
      </c>
      <c r="L225" s="32" t="s">
        <v>698</v>
      </c>
      <c r="M225" s="143" t="s">
        <v>2339</v>
      </c>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row>
    <row r="226" spans="1:69">
      <c r="A226" s="143" t="s">
        <v>1060</v>
      </c>
      <c r="B226" s="143" t="s">
        <v>1060</v>
      </c>
      <c r="C226" s="143" t="s">
        <v>1171</v>
      </c>
      <c r="D226" s="143" t="s">
        <v>1439</v>
      </c>
      <c r="E226" s="32"/>
      <c r="F226" s="32" t="s">
        <v>696</v>
      </c>
      <c r="G226" s="143" t="s">
        <v>1235</v>
      </c>
      <c r="H226" s="32">
        <v>31</v>
      </c>
      <c r="I226" s="32">
        <v>0</v>
      </c>
      <c r="J226" s="32">
        <v>32</v>
      </c>
      <c r="K226" s="32" t="s">
        <v>693</v>
      </c>
      <c r="L226" s="32" t="s">
        <v>698</v>
      </c>
      <c r="M226" s="143" t="s">
        <v>2339</v>
      </c>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row>
    <row r="227" spans="1:69">
      <c r="A227" s="143" t="s">
        <v>1061</v>
      </c>
      <c r="B227" s="143" t="s">
        <v>1061</v>
      </c>
      <c r="C227" s="143" t="s">
        <v>1172</v>
      </c>
      <c r="D227" s="143" t="s">
        <v>1440</v>
      </c>
      <c r="E227" s="32"/>
      <c r="F227" s="32" t="s">
        <v>696</v>
      </c>
      <c r="G227" s="143" t="s">
        <v>1236</v>
      </c>
      <c r="H227" s="32">
        <v>31</v>
      </c>
      <c r="I227" s="32">
        <v>0</v>
      </c>
      <c r="J227" s="32">
        <v>32</v>
      </c>
      <c r="K227" s="32" t="s">
        <v>693</v>
      </c>
      <c r="L227" s="32" t="s">
        <v>698</v>
      </c>
      <c r="M227" s="143" t="s">
        <v>2339</v>
      </c>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row>
    <row r="228" spans="1:69">
      <c r="A228" s="143" t="s">
        <v>1063</v>
      </c>
      <c r="B228" s="143" t="s">
        <v>1063</v>
      </c>
      <c r="C228" s="143" t="s">
        <v>1173</v>
      </c>
      <c r="D228" s="143" t="s">
        <v>1441</v>
      </c>
      <c r="E228" s="32"/>
      <c r="F228" s="32" t="s">
        <v>696</v>
      </c>
      <c r="G228" s="143" t="s">
        <v>1062</v>
      </c>
      <c r="H228" s="32">
        <v>7</v>
      </c>
      <c r="I228" s="32">
        <v>0</v>
      </c>
      <c r="J228" s="32">
        <v>8</v>
      </c>
      <c r="K228" s="32" t="s">
        <v>693</v>
      </c>
      <c r="L228" s="32" t="s">
        <v>698</v>
      </c>
      <c r="M228" s="143" t="s">
        <v>2339</v>
      </c>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row>
    <row r="229" spans="1:69">
      <c r="A229" s="143" t="s">
        <v>1064</v>
      </c>
      <c r="B229" s="143" t="s">
        <v>1064</v>
      </c>
      <c r="C229" s="143" t="s">
        <v>1174</v>
      </c>
      <c r="D229" s="143" t="s">
        <v>1442</v>
      </c>
      <c r="E229" s="32"/>
      <c r="F229" s="32" t="s">
        <v>696</v>
      </c>
      <c r="G229" s="143" t="s">
        <v>1109</v>
      </c>
      <c r="H229" s="32">
        <v>7</v>
      </c>
      <c r="I229" s="32">
        <v>0</v>
      </c>
      <c r="J229" s="32">
        <v>8</v>
      </c>
      <c r="K229" s="32" t="s">
        <v>693</v>
      </c>
      <c r="L229" s="32" t="s">
        <v>698</v>
      </c>
      <c r="M229" s="143" t="s">
        <v>2339</v>
      </c>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row>
    <row r="230" spans="1:69">
      <c r="A230" s="143" t="s">
        <v>1065</v>
      </c>
      <c r="B230" s="143" t="s">
        <v>1065</v>
      </c>
      <c r="C230" s="143" t="s">
        <v>1175</v>
      </c>
      <c r="D230" s="143" t="s">
        <v>1443</v>
      </c>
      <c r="E230" s="32"/>
      <c r="F230" s="32" t="s">
        <v>696</v>
      </c>
      <c r="G230" s="143" t="s">
        <v>1110</v>
      </c>
      <c r="H230" s="32">
        <v>7</v>
      </c>
      <c r="I230" s="32">
        <v>0</v>
      </c>
      <c r="J230" s="32">
        <v>8</v>
      </c>
      <c r="K230" s="32" t="s">
        <v>693</v>
      </c>
      <c r="L230" s="32" t="s">
        <v>698</v>
      </c>
      <c r="M230" s="143" t="s">
        <v>2339</v>
      </c>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row>
    <row r="231" spans="1:69">
      <c r="A231" s="143" t="s">
        <v>1066</v>
      </c>
      <c r="B231" s="143" t="s">
        <v>1066</v>
      </c>
      <c r="C231" s="143" t="s">
        <v>1176</v>
      </c>
      <c r="D231" s="143" t="s">
        <v>1444</v>
      </c>
      <c r="E231" s="32"/>
      <c r="F231" s="32" t="s">
        <v>696</v>
      </c>
      <c r="G231" s="143" t="s">
        <v>1111</v>
      </c>
      <c r="H231" s="32">
        <v>7</v>
      </c>
      <c r="I231" s="32">
        <v>0</v>
      </c>
      <c r="J231" s="32">
        <v>8</v>
      </c>
      <c r="K231" s="32" t="s">
        <v>693</v>
      </c>
      <c r="L231" s="32" t="s">
        <v>698</v>
      </c>
      <c r="M231" s="143" t="s">
        <v>2339</v>
      </c>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row>
    <row r="232" spans="1:69">
      <c r="A232" s="143" t="s">
        <v>1067</v>
      </c>
      <c r="B232" s="143" t="s">
        <v>1067</v>
      </c>
      <c r="C232" s="143" t="s">
        <v>1177</v>
      </c>
      <c r="D232" s="143" t="s">
        <v>1445</v>
      </c>
      <c r="E232" s="32"/>
      <c r="F232" s="32" t="s">
        <v>696</v>
      </c>
      <c r="G232" s="143" t="s">
        <v>1112</v>
      </c>
      <c r="H232" s="32">
        <v>7</v>
      </c>
      <c r="I232" s="32">
        <v>0</v>
      </c>
      <c r="J232" s="32">
        <v>8</v>
      </c>
      <c r="K232" s="32" t="s">
        <v>693</v>
      </c>
      <c r="L232" s="32" t="s">
        <v>698</v>
      </c>
      <c r="M232" s="143" t="s">
        <v>2339</v>
      </c>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row>
    <row r="233" spans="1:69">
      <c r="A233" s="143" t="s">
        <v>1068</v>
      </c>
      <c r="B233" s="143" t="s">
        <v>1068</v>
      </c>
      <c r="C233" s="143" t="s">
        <v>1178</v>
      </c>
      <c r="D233" s="143" t="s">
        <v>1446</v>
      </c>
      <c r="E233" s="32"/>
      <c r="F233" s="32" t="s">
        <v>696</v>
      </c>
      <c r="G233" s="143" t="s">
        <v>1113</v>
      </c>
      <c r="H233" s="32">
        <v>7</v>
      </c>
      <c r="I233" s="32">
        <v>0</v>
      </c>
      <c r="J233" s="32">
        <v>8</v>
      </c>
      <c r="K233" s="32" t="s">
        <v>693</v>
      </c>
      <c r="L233" s="32" t="s">
        <v>698</v>
      </c>
      <c r="M233" s="143" t="s">
        <v>2339</v>
      </c>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row>
    <row r="234" spans="1:69">
      <c r="A234" s="143" t="s">
        <v>1069</v>
      </c>
      <c r="B234" s="143" t="s">
        <v>1069</v>
      </c>
      <c r="C234" s="143" t="s">
        <v>1179</v>
      </c>
      <c r="D234" s="143" t="s">
        <v>1447</v>
      </c>
      <c r="E234" s="32"/>
      <c r="F234" s="32" t="s">
        <v>696</v>
      </c>
      <c r="G234" s="143" t="s">
        <v>1114</v>
      </c>
      <c r="H234" s="32">
        <v>7</v>
      </c>
      <c r="I234" s="32">
        <v>0</v>
      </c>
      <c r="J234" s="32">
        <v>8</v>
      </c>
      <c r="K234" s="32" t="s">
        <v>693</v>
      </c>
      <c r="L234" s="32" t="s">
        <v>698</v>
      </c>
      <c r="M234" s="143" t="s">
        <v>2339</v>
      </c>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row>
    <row r="235" spans="1:69">
      <c r="A235" s="143" t="s">
        <v>1070</v>
      </c>
      <c r="B235" s="143" t="s">
        <v>1070</v>
      </c>
      <c r="C235" s="143" t="s">
        <v>1180</v>
      </c>
      <c r="D235" s="143" t="s">
        <v>1448</v>
      </c>
      <c r="E235" s="32"/>
      <c r="F235" s="32" t="s">
        <v>696</v>
      </c>
      <c r="G235" s="143" t="s">
        <v>1115</v>
      </c>
      <c r="H235" s="32">
        <v>7</v>
      </c>
      <c r="I235" s="32">
        <v>0</v>
      </c>
      <c r="J235" s="32">
        <v>8</v>
      </c>
      <c r="K235" s="32" t="s">
        <v>693</v>
      </c>
      <c r="L235" s="32" t="s">
        <v>698</v>
      </c>
      <c r="M235" s="143" t="s">
        <v>2339</v>
      </c>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row>
    <row r="236" spans="1:69">
      <c r="A236" s="143" t="s">
        <v>1071</v>
      </c>
      <c r="B236" s="143" t="s">
        <v>1071</v>
      </c>
      <c r="C236" s="143" t="s">
        <v>1181</v>
      </c>
      <c r="D236" s="143" t="s">
        <v>1449</v>
      </c>
      <c r="E236" s="32"/>
      <c r="F236" s="32" t="s">
        <v>696</v>
      </c>
      <c r="G236" s="143" t="s">
        <v>1116</v>
      </c>
      <c r="H236" s="32">
        <v>7</v>
      </c>
      <c r="I236" s="32">
        <v>0</v>
      </c>
      <c r="J236" s="32">
        <v>8</v>
      </c>
      <c r="K236" s="32" t="s">
        <v>693</v>
      </c>
      <c r="L236" s="32" t="s">
        <v>698</v>
      </c>
      <c r="M236" s="143" t="s">
        <v>2339</v>
      </c>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row>
    <row r="237" spans="1:69">
      <c r="A237" s="143" t="s">
        <v>1072</v>
      </c>
      <c r="B237" s="143" t="s">
        <v>1072</v>
      </c>
      <c r="C237" s="143" t="s">
        <v>1182</v>
      </c>
      <c r="D237" s="143" t="s">
        <v>1450</v>
      </c>
      <c r="E237" s="32"/>
      <c r="F237" s="32" t="s">
        <v>696</v>
      </c>
      <c r="G237" s="143" t="s">
        <v>1117</v>
      </c>
      <c r="H237" s="32">
        <v>7</v>
      </c>
      <c r="I237" s="32">
        <v>0</v>
      </c>
      <c r="J237" s="32">
        <v>8</v>
      </c>
      <c r="K237" s="32" t="s">
        <v>693</v>
      </c>
      <c r="L237" s="32" t="s">
        <v>698</v>
      </c>
      <c r="M237" s="143" t="s">
        <v>2339</v>
      </c>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row>
    <row r="238" spans="1:69">
      <c r="A238" s="143" t="s">
        <v>1073</v>
      </c>
      <c r="B238" s="143" t="s">
        <v>1073</v>
      </c>
      <c r="C238" s="143" t="s">
        <v>1183</v>
      </c>
      <c r="D238" s="143" t="s">
        <v>1451</v>
      </c>
      <c r="E238" s="32"/>
      <c r="F238" s="32" t="s">
        <v>696</v>
      </c>
      <c r="G238" s="143" t="s">
        <v>1118</v>
      </c>
      <c r="H238" s="32">
        <v>7</v>
      </c>
      <c r="I238" s="32">
        <v>0</v>
      </c>
      <c r="J238" s="32">
        <v>8</v>
      </c>
      <c r="K238" s="32" t="s">
        <v>693</v>
      </c>
      <c r="L238" s="32" t="s">
        <v>698</v>
      </c>
      <c r="M238" s="143" t="s">
        <v>2339</v>
      </c>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row>
    <row r="239" spans="1:69">
      <c r="A239" s="143" t="s">
        <v>1074</v>
      </c>
      <c r="B239" s="143" t="s">
        <v>1074</v>
      </c>
      <c r="C239" s="143" t="s">
        <v>1184</v>
      </c>
      <c r="D239" s="143" t="s">
        <v>1452</v>
      </c>
      <c r="E239" s="32"/>
      <c r="F239" s="32" t="s">
        <v>696</v>
      </c>
      <c r="G239" s="143" t="s">
        <v>1119</v>
      </c>
      <c r="H239" s="32">
        <v>7</v>
      </c>
      <c r="I239" s="32">
        <v>0</v>
      </c>
      <c r="J239" s="32">
        <v>8</v>
      </c>
      <c r="K239" s="32" t="s">
        <v>693</v>
      </c>
      <c r="L239" s="32" t="s">
        <v>698</v>
      </c>
      <c r="M239" s="143" t="s">
        <v>2339</v>
      </c>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row>
    <row r="240" spans="1:69">
      <c r="A240" s="143" t="s">
        <v>1075</v>
      </c>
      <c r="B240" s="143" t="s">
        <v>1075</v>
      </c>
      <c r="C240" s="143" t="s">
        <v>1185</v>
      </c>
      <c r="D240" s="143" t="s">
        <v>1453</v>
      </c>
      <c r="E240" s="32"/>
      <c r="F240" s="32" t="s">
        <v>696</v>
      </c>
      <c r="G240" s="143" t="s">
        <v>1120</v>
      </c>
      <c r="H240" s="32">
        <v>7</v>
      </c>
      <c r="I240" s="32">
        <v>0</v>
      </c>
      <c r="J240" s="32">
        <v>8</v>
      </c>
      <c r="K240" s="32" t="s">
        <v>693</v>
      </c>
      <c r="L240" s="32" t="s">
        <v>698</v>
      </c>
      <c r="M240" s="143" t="s">
        <v>2339</v>
      </c>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row>
    <row r="241" spans="1:69">
      <c r="A241" s="143" t="s">
        <v>1076</v>
      </c>
      <c r="B241" s="143" t="s">
        <v>1076</v>
      </c>
      <c r="C241" s="143" t="s">
        <v>1186</v>
      </c>
      <c r="D241" s="143" t="s">
        <v>1454</v>
      </c>
      <c r="E241" s="32"/>
      <c r="F241" s="32" t="s">
        <v>696</v>
      </c>
      <c r="G241" s="143" t="s">
        <v>1121</v>
      </c>
      <c r="H241" s="32">
        <v>7</v>
      </c>
      <c r="I241" s="32">
        <v>0</v>
      </c>
      <c r="J241" s="32">
        <v>8</v>
      </c>
      <c r="K241" s="32" t="s">
        <v>693</v>
      </c>
      <c r="L241" s="32" t="s">
        <v>698</v>
      </c>
      <c r="M241" s="143" t="s">
        <v>2339</v>
      </c>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row>
    <row r="242" spans="1:69">
      <c r="A242" s="143" t="s">
        <v>1077</v>
      </c>
      <c r="B242" s="143" t="s">
        <v>1077</v>
      </c>
      <c r="C242" s="143" t="s">
        <v>1187</v>
      </c>
      <c r="D242" s="143" t="s">
        <v>1455</v>
      </c>
      <c r="E242" s="32"/>
      <c r="F242" s="32" t="s">
        <v>696</v>
      </c>
      <c r="G242" s="143" t="s">
        <v>1122</v>
      </c>
      <c r="H242" s="32">
        <v>7</v>
      </c>
      <c r="I242" s="32">
        <v>0</v>
      </c>
      <c r="J242" s="32">
        <v>8</v>
      </c>
      <c r="K242" s="32" t="s">
        <v>693</v>
      </c>
      <c r="L242" s="32" t="s">
        <v>698</v>
      </c>
      <c r="M242" s="143" t="s">
        <v>2339</v>
      </c>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row>
    <row r="243" spans="1:69">
      <c r="A243" s="143" t="s">
        <v>1078</v>
      </c>
      <c r="B243" s="143" t="s">
        <v>1078</v>
      </c>
      <c r="C243" s="143" t="s">
        <v>1188</v>
      </c>
      <c r="D243" s="143" t="s">
        <v>1456</v>
      </c>
      <c r="E243" s="32"/>
      <c r="F243" s="32" t="s">
        <v>696</v>
      </c>
      <c r="G243" s="143" t="s">
        <v>1123</v>
      </c>
      <c r="H243" s="32">
        <v>7</v>
      </c>
      <c r="I243" s="32">
        <v>0</v>
      </c>
      <c r="J243" s="32">
        <v>8</v>
      </c>
      <c r="K243" s="32" t="s">
        <v>693</v>
      </c>
      <c r="L243" s="32" t="s">
        <v>698</v>
      </c>
      <c r="M243" s="143" t="s">
        <v>2339</v>
      </c>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row>
    <row r="244" spans="1:69">
      <c r="A244" s="143" t="s">
        <v>1079</v>
      </c>
      <c r="B244" s="143" t="s">
        <v>1079</v>
      </c>
      <c r="C244" s="143" t="s">
        <v>1189</v>
      </c>
      <c r="D244" s="143" t="s">
        <v>1457</v>
      </c>
      <c r="E244" s="32"/>
      <c r="F244" s="32" t="s">
        <v>696</v>
      </c>
      <c r="G244" s="143" t="s">
        <v>1237</v>
      </c>
      <c r="H244" s="32">
        <v>7</v>
      </c>
      <c r="I244" s="32">
        <v>0</v>
      </c>
      <c r="J244" s="32">
        <v>8</v>
      </c>
      <c r="K244" s="32" t="s">
        <v>693</v>
      </c>
      <c r="L244" s="32" t="s">
        <v>698</v>
      </c>
      <c r="M244" s="143" t="s">
        <v>2339</v>
      </c>
    </row>
    <row r="245" spans="1:69">
      <c r="A245" s="143" t="s">
        <v>1080</v>
      </c>
      <c r="B245" s="143" t="s">
        <v>1080</v>
      </c>
      <c r="C245" s="143" t="s">
        <v>1190</v>
      </c>
      <c r="D245" s="143" t="s">
        <v>1458</v>
      </c>
      <c r="E245" s="32"/>
      <c r="F245" s="32" t="s">
        <v>696</v>
      </c>
      <c r="G245" s="143" t="s">
        <v>1238</v>
      </c>
      <c r="H245" s="32">
        <v>7</v>
      </c>
      <c r="I245" s="32">
        <v>0</v>
      </c>
      <c r="J245" s="32">
        <v>8</v>
      </c>
      <c r="K245" s="32" t="s">
        <v>693</v>
      </c>
      <c r="L245" s="32" t="s">
        <v>698</v>
      </c>
      <c r="M245" s="143" t="s">
        <v>2339</v>
      </c>
    </row>
    <row r="246" spans="1:69">
      <c r="A246" s="143" t="s">
        <v>1081</v>
      </c>
      <c r="B246" s="143" t="s">
        <v>1081</v>
      </c>
      <c r="C246" s="143" t="s">
        <v>1191</v>
      </c>
      <c r="D246" s="143" t="s">
        <v>1459</v>
      </c>
      <c r="E246" s="32"/>
      <c r="F246" s="32" t="s">
        <v>696</v>
      </c>
      <c r="G246" s="143" t="s">
        <v>1239</v>
      </c>
      <c r="H246" s="32">
        <v>7</v>
      </c>
      <c r="I246" s="32">
        <v>0</v>
      </c>
      <c r="J246" s="32">
        <v>8</v>
      </c>
      <c r="K246" s="32" t="s">
        <v>693</v>
      </c>
      <c r="L246" s="32" t="s">
        <v>698</v>
      </c>
      <c r="M246" s="143" t="s">
        <v>2339</v>
      </c>
    </row>
    <row r="247" spans="1:69">
      <c r="A247" s="143" t="s">
        <v>1082</v>
      </c>
      <c r="B247" s="143" t="s">
        <v>1082</v>
      </c>
      <c r="C247" s="143" t="s">
        <v>1192</v>
      </c>
      <c r="D247" s="143" t="s">
        <v>1460</v>
      </c>
      <c r="E247" s="32"/>
      <c r="F247" s="32" t="s">
        <v>696</v>
      </c>
      <c r="G247" s="143" t="s">
        <v>1240</v>
      </c>
      <c r="H247" s="32">
        <v>7</v>
      </c>
      <c r="I247" s="32">
        <v>0</v>
      </c>
      <c r="J247" s="32">
        <v>8</v>
      </c>
      <c r="K247" s="32" t="s">
        <v>693</v>
      </c>
      <c r="L247" s="32" t="s">
        <v>698</v>
      </c>
      <c r="M247" s="143" t="s">
        <v>2339</v>
      </c>
    </row>
    <row r="248" spans="1:69">
      <c r="A248" s="143" t="s">
        <v>1083</v>
      </c>
      <c r="B248" s="143" t="s">
        <v>1083</v>
      </c>
      <c r="C248" s="143" t="s">
        <v>1193</v>
      </c>
      <c r="D248" s="143" t="s">
        <v>1461</v>
      </c>
      <c r="E248" s="32"/>
      <c r="F248" s="32" t="s">
        <v>696</v>
      </c>
      <c r="G248" s="143" t="s">
        <v>1241</v>
      </c>
      <c r="H248" s="32">
        <v>7</v>
      </c>
      <c r="I248" s="32">
        <v>0</v>
      </c>
      <c r="J248" s="32">
        <v>8</v>
      </c>
      <c r="K248" s="32" t="s">
        <v>693</v>
      </c>
      <c r="L248" s="32" t="s">
        <v>698</v>
      </c>
      <c r="M248" s="143" t="s">
        <v>2339</v>
      </c>
    </row>
    <row r="249" spans="1:69">
      <c r="A249" s="143" t="s">
        <v>1084</v>
      </c>
      <c r="B249" s="143" t="s">
        <v>1084</v>
      </c>
      <c r="C249" s="143" t="s">
        <v>1194</v>
      </c>
      <c r="D249" s="143" t="s">
        <v>1462</v>
      </c>
      <c r="E249" s="32"/>
      <c r="F249" s="32" t="s">
        <v>696</v>
      </c>
      <c r="G249" s="143" t="s">
        <v>1242</v>
      </c>
      <c r="H249" s="32">
        <v>7</v>
      </c>
      <c r="I249" s="32">
        <v>0</v>
      </c>
      <c r="J249" s="32">
        <v>8</v>
      </c>
      <c r="K249" s="32" t="s">
        <v>693</v>
      </c>
      <c r="L249" s="32" t="s">
        <v>698</v>
      </c>
      <c r="M249" s="143" t="s">
        <v>2339</v>
      </c>
    </row>
    <row r="250" spans="1:69">
      <c r="A250" s="143" t="s">
        <v>1085</v>
      </c>
      <c r="B250" s="143" t="s">
        <v>1085</v>
      </c>
      <c r="C250" s="143" t="s">
        <v>1195</v>
      </c>
      <c r="D250" s="143" t="s">
        <v>1463</v>
      </c>
      <c r="E250" s="32"/>
      <c r="F250" s="32" t="s">
        <v>696</v>
      </c>
      <c r="G250" s="143" t="s">
        <v>1243</v>
      </c>
      <c r="H250" s="32">
        <v>7</v>
      </c>
      <c r="I250" s="32">
        <v>0</v>
      </c>
      <c r="J250" s="32">
        <v>8</v>
      </c>
      <c r="K250" s="32" t="s">
        <v>693</v>
      </c>
      <c r="L250" s="32" t="s">
        <v>698</v>
      </c>
      <c r="M250" s="143" t="s">
        <v>2339</v>
      </c>
    </row>
    <row r="251" spans="1:69">
      <c r="A251" s="143" t="s">
        <v>1014</v>
      </c>
      <c r="B251" s="143" t="s">
        <v>1014</v>
      </c>
      <c r="C251" s="143" t="s">
        <v>1196</v>
      </c>
      <c r="D251" s="143" t="s">
        <v>1464</v>
      </c>
      <c r="E251" s="32"/>
      <c r="F251" s="32" t="s">
        <v>696</v>
      </c>
      <c r="G251" s="143" t="s">
        <v>1244</v>
      </c>
      <c r="H251" s="32">
        <v>7</v>
      </c>
      <c r="I251" s="32">
        <v>0</v>
      </c>
      <c r="J251" s="32">
        <v>8</v>
      </c>
      <c r="K251" s="32" t="s">
        <v>693</v>
      </c>
      <c r="L251" s="32" t="s">
        <v>698</v>
      </c>
      <c r="M251" s="143" t="s">
        <v>2339</v>
      </c>
    </row>
    <row r="252" spans="1:69">
      <c r="A252" s="143" t="s">
        <v>1015</v>
      </c>
      <c r="B252" s="143" t="s">
        <v>1015</v>
      </c>
      <c r="C252" s="143" t="s">
        <v>1197</v>
      </c>
      <c r="D252" s="143" t="s">
        <v>1465</v>
      </c>
      <c r="E252" s="32"/>
      <c r="F252" s="32" t="s">
        <v>696</v>
      </c>
      <c r="G252" s="143" t="s">
        <v>1253</v>
      </c>
      <c r="H252" s="32">
        <v>7</v>
      </c>
      <c r="I252" s="32">
        <v>0</v>
      </c>
      <c r="J252" s="32">
        <v>8</v>
      </c>
      <c r="K252" s="32" t="s">
        <v>693</v>
      </c>
      <c r="L252" s="32" t="s">
        <v>698</v>
      </c>
      <c r="M252" s="143" t="s">
        <v>2339</v>
      </c>
    </row>
    <row r="253" spans="1:69">
      <c r="A253" s="143" t="s">
        <v>1016</v>
      </c>
      <c r="B253" s="143" t="s">
        <v>1016</v>
      </c>
      <c r="C253" s="143" t="s">
        <v>1198</v>
      </c>
      <c r="D253" s="143" t="s">
        <v>1466</v>
      </c>
      <c r="E253" s="32"/>
      <c r="F253" s="32" t="s">
        <v>696</v>
      </c>
      <c r="G253" s="143" t="s">
        <v>1245</v>
      </c>
      <c r="H253" s="32">
        <v>7</v>
      </c>
      <c r="I253" s="32">
        <v>0</v>
      </c>
      <c r="J253" s="32">
        <v>8</v>
      </c>
      <c r="K253" s="32" t="s">
        <v>693</v>
      </c>
      <c r="L253" s="32" t="s">
        <v>698</v>
      </c>
      <c r="M253" s="143" t="s">
        <v>2339</v>
      </c>
    </row>
    <row r="254" spans="1:69">
      <c r="A254" s="143" t="s">
        <v>1017</v>
      </c>
      <c r="B254" s="143" t="s">
        <v>1017</v>
      </c>
      <c r="C254" s="143" t="s">
        <v>1199</v>
      </c>
      <c r="D254" s="143" t="s">
        <v>1467</v>
      </c>
      <c r="E254" s="32"/>
      <c r="F254" s="32" t="s">
        <v>696</v>
      </c>
      <c r="G254" s="143" t="s">
        <v>1246</v>
      </c>
      <c r="H254" s="32">
        <v>7</v>
      </c>
      <c r="I254" s="32">
        <v>0</v>
      </c>
      <c r="J254" s="32">
        <v>8</v>
      </c>
      <c r="K254" s="32" t="s">
        <v>693</v>
      </c>
      <c r="L254" s="32" t="s">
        <v>698</v>
      </c>
      <c r="M254" s="143" t="s">
        <v>2339</v>
      </c>
    </row>
    <row r="255" spans="1:69">
      <c r="A255" s="143" t="s">
        <v>1018</v>
      </c>
      <c r="B255" s="143" t="s">
        <v>1018</v>
      </c>
      <c r="C255" s="143" t="s">
        <v>1200</v>
      </c>
      <c r="D255" s="143" t="s">
        <v>1468</v>
      </c>
      <c r="E255" s="32"/>
      <c r="F255" s="32" t="s">
        <v>696</v>
      </c>
      <c r="G255" s="143" t="s">
        <v>1247</v>
      </c>
      <c r="H255" s="32">
        <v>7</v>
      </c>
      <c r="I255" s="32">
        <v>0</v>
      </c>
      <c r="J255" s="32">
        <v>8</v>
      </c>
      <c r="K255" s="32" t="s">
        <v>693</v>
      </c>
      <c r="L255" s="32" t="s">
        <v>698</v>
      </c>
      <c r="M255" s="143" t="s">
        <v>2339</v>
      </c>
    </row>
    <row r="256" spans="1:69">
      <c r="A256" s="143" t="s">
        <v>1019</v>
      </c>
      <c r="B256" s="143" t="s">
        <v>1019</v>
      </c>
      <c r="C256" s="143" t="s">
        <v>1201</v>
      </c>
      <c r="D256" s="143" t="s">
        <v>1469</v>
      </c>
      <c r="E256" s="32"/>
      <c r="F256" s="32" t="s">
        <v>696</v>
      </c>
      <c r="G256" s="143" t="s">
        <v>1248</v>
      </c>
      <c r="H256" s="32">
        <v>7</v>
      </c>
      <c r="I256" s="32">
        <v>0</v>
      </c>
      <c r="J256" s="32">
        <v>8</v>
      </c>
      <c r="K256" s="32" t="s">
        <v>693</v>
      </c>
      <c r="L256" s="32" t="s">
        <v>698</v>
      </c>
      <c r="M256" s="143" t="s">
        <v>2339</v>
      </c>
    </row>
    <row r="257" spans="1:13">
      <c r="A257" s="143" t="s">
        <v>1020</v>
      </c>
      <c r="B257" s="143" t="s">
        <v>1020</v>
      </c>
      <c r="C257" s="143" t="s">
        <v>1202</v>
      </c>
      <c r="D257" s="143" t="s">
        <v>1470</v>
      </c>
      <c r="E257" s="32"/>
      <c r="F257" s="32" t="s">
        <v>696</v>
      </c>
      <c r="G257" s="143" t="s">
        <v>1249</v>
      </c>
      <c r="H257" s="32">
        <v>7</v>
      </c>
      <c r="I257" s="32">
        <v>0</v>
      </c>
      <c r="J257" s="32">
        <v>8</v>
      </c>
      <c r="K257" s="32" t="s">
        <v>693</v>
      </c>
      <c r="L257" s="32" t="s">
        <v>698</v>
      </c>
      <c r="M257" s="143" t="s">
        <v>2339</v>
      </c>
    </row>
    <row r="258" spans="1:13">
      <c r="A258" s="143" t="s">
        <v>1021</v>
      </c>
      <c r="B258" s="143" t="s">
        <v>1021</v>
      </c>
      <c r="C258" s="143" t="s">
        <v>1203</v>
      </c>
      <c r="D258" s="143" t="s">
        <v>1471</v>
      </c>
      <c r="E258" s="32"/>
      <c r="F258" s="32" t="s">
        <v>696</v>
      </c>
      <c r="G258" s="143" t="s">
        <v>1250</v>
      </c>
      <c r="H258" s="32">
        <v>7</v>
      </c>
      <c r="I258" s="32">
        <v>0</v>
      </c>
      <c r="J258" s="32">
        <v>8</v>
      </c>
      <c r="K258" s="32" t="s">
        <v>693</v>
      </c>
      <c r="L258" s="32" t="s">
        <v>698</v>
      </c>
      <c r="M258" s="143" t="s">
        <v>2339</v>
      </c>
    </row>
    <row r="259" spans="1:13">
      <c r="A259" s="143" t="s">
        <v>1022</v>
      </c>
      <c r="B259" s="143" t="s">
        <v>1022</v>
      </c>
      <c r="C259" s="143" t="s">
        <v>1409</v>
      </c>
      <c r="D259" s="143" t="s">
        <v>1472</v>
      </c>
      <c r="E259" s="32"/>
      <c r="F259" s="32" t="s">
        <v>696</v>
      </c>
      <c r="G259" s="143" t="s">
        <v>1251</v>
      </c>
      <c r="H259" s="32">
        <v>7</v>
      </c>
      <c r="I259" s="32">
        <v>0</v>
      </c>
      <c r="J259" s="32">
        <v>8</v>
      </c>
      <c r="K259" s="32" t="s">
        <v>693</v>
      </c>
      <c r="L259" s="32" t="s">
        <v>698</v>
      </c>
      <c r="M259" s="143" t="s">
        <v>2339</v>
      </c>
    </row>
    <row r="260" spans="1:13">
      <c r="A260" s="143" t="s">
        <v>1023</v>
      </c>
      <c r="B260" s="143" t="s">
        <v>1023</v>
      </c>
      <c r="C260" s="143" t="s">
        <v>1410</v>
      </c>
      <c r="D260" s="143" t="s">
        <v>1473</v>
      </c>
      <c r="E260" s="32"/>
      <c r="F260" s="32" t="s">
        <v>696</v>
      </c>
      <c r="G260" s="143" t="s">
        <v>1124</v>
      </c>
      <c r="H260" s="32">
        <v>15</v>
      </c>
      <c r="I260" s="32">
        <v>0</v>
      </c>
      <c r="J260" s="32">
        <v>16</v>
      </c>
      <c r="K260" s="32" t="s">
        <v>693</v>
      </c>
      <c r="L260" s="32" t="s">
        <v>698</v>
      </c>
      <c r="M260" s="143" t="s">
        <v>2339</v>
      </c>
    </row>
    <row r="261" spans="1:13">
      <c r="A261" s="143" t="s">
        <v>1498</v>
      </c>
      <c r="B261" s="143" t="s">
        <v>1498</v>
      </c>
      <c r="C261" s="143" t="s">
        <v>1500</v>
      </c>
      <c r="D261" s="143" t="s">
        <v>1502</v>
      </c>
      <c r="E261" s="32"/>
      <c r="F261" s="32" t="s">
        <v>696</v>
      </c>
      <c r="G261" s="208" t="s">
        <v>1538</v>
      </c>
      <c r="H261" s="32">
        <v>31</v>
      </c>
      <c r="I261" s="32">
        <v>0</v>
      </c>
      <c r="J261" s="32">
        <v>32</v>
      </c>
      <c r="K261" s="32" t="s">
        <v>693</v>
      </c>
      <c r="L261" s="143" t="s">
        <v>972</v>
      </c>
      <c r="M261" s="143" t="s">
        <v>1519</v>
      </c>
    </row>
    <row r="262" spans="1:13">
      <c r="A262" s="143" t="s">
        <v>1499</v>
      </c>
      <c r="B262" s="143" t="s">
        <v>1499</v>
      </c>
      <c r="C262" s="143" t="s">
        <v>1501</v>
      </c>
      <c r="D262" s="143" t="s">
        <v>1503</v>
      </c>
      <c r="E262" s="32"/>
      <c r="F262" s="32" t="s">
        <v>696</v>
      </c>
      <c r="G262" s="127" t="s">
        <v>1530</v>
      </c>
      <c r="H262" s="32">
        <v>23</v>
      </c>
      <c r="I262" s="32">
        <v>0</v>
      </c>
      <c r="J262" s="32">
        <v>24</v>
      </c>
      <c r="K262" s="150" t="s">
        <v>1290</v>
      </c>
      <c r="L262" s="143" t="s">
        <v>972</v>
      </c>
      <c r="M262" s="127" t="s">
        <v>1531</v>
      </c>
    </row>
    <row r="263" spans="1:13">
      <c r="A263" s="143" t="s">
        <v>1504</v>
      </c>
      <c r="B263" s="143" t="s">
        <v>1504</v>
      </c>
      <c r="C263" s="143" t="s">
        <v>1505</v>
      </c>
      <c r="D263" s="143" t="s">
        <v>1506</v>
      </c>
      <c r="E263" s="32"/>
      <c r="F263" s="32" t="s">
        <v>696</v>
      </c>
      <c r="G263" s="127" t="s">
        <v>1532</v>
      </c>
      <c r="H263" s="32">
        <v>23</v>
      </c>
      <c r="I263" s="32">
        <v>0</v>
      </c>
      <c r="J263" s="32">
        <v>24</v>
      </c>
      <c r="K263" s="150" t="s">
        <v>1290</v>
      </c>
      <c r="L263" s="143" t="s">
        <v>972</v>
      </c>
      <c r="M263" s="127" t="s">
        <v>1533</v>
      </c>
    </row>
    <row r="264" spans="1:13">
      <c r="A264" s="143" t="s">
        <v>1509</v>
      </c>
      <c r="B264" s="143" t="s">
        <v>1509</v>
      </c>
      <c r="C264" s="143" t="s">
        <v>1510</v>
      </c>
      <c r="D264" s="143" t="s">
        <v>1511</v>
      </c>
      <c r="E264" s="32"/>
      <c r="F264" s="32" t="s">
        <v>696</v>
      </c>
      <c r="G264" s="208" t="s">
        <v>1507</v>
      </c>
      <c r="H264" s="32">
        <v>23</v>
      </c>
      <c r="I264" s="32">
        <v>0</v>
      </c>
      <c r="J264" s="32">
        <v>24</v>
      </c>
      <c r="K264" s="150" t="s">
        <v>1290</v>
      </c>
      <c r="L264" s="143" t="s">
        <v>972</v>
      </c>
      <c r="M264" s="127" t="s">
        <v>1508</v>
      </c>
    </row>
    <row r="265" spans="1:13">
      <c r="A265" s="143" t="s">
        <v>1520</v>
      </c>
      <c r="B265" s="143" t="s">
        <v>1520</v>
      </c>
      <c r="C265" s="143" t="s">
        <v>1521</v>
      </c>
      <c r="D265" s="143" t="s">
        <v>1522</v>
      </c>
      <c r="E265" s="32"/>
      <c r="F265" s="32" t="s">
        <v>696</v>
      </c>
      <c r="G265" s="127" t="s">
        <v>1513</v>
      </c>
      <c r="H265" s="32">
        <v>23</v>
      </c>
      <c r="I265" s="32">
        <v>0</v>
      </c>
      <c r="J265" s="32">
        <v>24</v>
      </c>
      <c r="K265" s="150" t="s">
        <v>1290</v>
      </c>
      <c r="L265" s="143" t="s">
        <v>972</v>
      </c>
      <c r="M265" s="127" t="s">
        <v>1514</v>
      </c>
    </row>
    <row r="266" spans="1:13">
      <c r="A266" s="143" t="s">
        <v>1544</v>
      </c>
      <c r="B266" s="143" t="s">
        <v>1544</v>
      </c>
      <c r="C266" s="143" t="s">
        <v>1545</v>
      </c>
      <c r="D266" s="143" t="s">
        <v>1549</v>
      </c>
      <c r="E266" s="32"/>
      <c r="F266" s="32" t="s">
        <v>696</v>
      </c>
      <c r="G266" s="143" t="s">
        <v>1557</v>
      </c>
      <c r="H266" s="32">
        <v>7</v>
      </c>
      <c r="I266" s="32">
        <v>0</v>
      </c>
      <c r="J266" s="32">
        <v>8</v>
      </c>
      <c r="K266" s="32" t="s">
        <v>693</v>
      </c>
      <c r="L266" s="32" t="s">
        <v>698</v>
      </c>
      <c r="M266" s="143" t="s">
        <v>1559</v>
      </c>
    </row>
    <row r="267" spans="1:13">
      <c r="A267" s="143"/>
      <c r="B267" s="143"/>
      <c r="F267" s="32" t="s">
        <v>696</v>
      </c>
      <c r="G267" s="143" t="s">
        <v>1558</v>
      </c>
      <c r="H267" s="32">
        <v>15</v>
      </c>
      <c r="I267" s="32">
        <v>8</v>
      </c>
      <c r="J267" s="32">
        <v>8</v>
      </c>
      <c r="K267" s="32" t="s">
        <v>693</v>
      </c>
      <c r="L267" s="32" t="s">
        <v>698</v>
      </c>
      <c r="M267" s="143" t="s">
        <v>1560</v>
      </c>
    </row>
    <row r="268" spans="1:13">
      <c r="A268" s="143" t="s">
        <v>1573</v>
      </c>
      <c r="B268" s="143" t="s">
        <v>1573</v>
      </c>
      <c r="C268" s="143" t="s">
        <v>1546</v>
      </c>
      <c r="D268" s="143" t="s">
        <v>1550</v>
      </c>
      <c r="F268" s="32" t="s">
        <v>696</v>
      </c>
      <c r="G268" s="143" t="s">
        <v>1561</v>
      </c>
      <c r="H268" s="32">
        <v>7</v>
      </c>
      <c r="I268" s="32">
        <v>0</v>
      </c>
      <c r="J268" s="32">
        <v>8</v>
      </c>
      <c r="K268" s="32" t="s">
        <v>693</v>
      </c>
      <c r="L268" s="32" t="s">
        <v>698</v>
      </c>
      <c r="M268" s="143" t="s">
        <v>1563</v>
      </c>
    </row>
    <row r="269" spans="1:13">
      <c r="A269" s="143"/>
      <c r="B269" s="143"/>
      <c r="E269" s="32"/>
      <c r="F269" s="32" t="s">
        <v>696</v>
      </c>
      <c r="G269" s="143" t="s">
        <v>1562</v>
      </c>
      <c r="H269" s="32">
        <v>15</v>
      </c>
      <c r="I269" s="32">
        <v>8</v>
      </c>
      <c r="J269" s="32">
        <v>8</v>
      </c>
      <c r="K269" s="32" t="s">
        <v>693</v>
      </c>
      <c r="L269" s="32" t="s">
        <v>698</v>
      </c>
      <c r="M269" s="143" t="s">
        <v>1564</v>
      </c>
    </row>
    <row r="270" spans="1:13">
      <c r="A270" s="143" t="s">
        <v>1574</v>
      </c>
      <c r="B270" s="143" t="s">
        <v>1574</v>
      </c>
      <c r="C270" s="143" t="s">
        <v>1547</v>
      </c>
      <c r="D270" s="143" t="s">
        <v>1551</v>
      </c>
      <c r="E270" s="32"/>
      <c r="F270" s="32" t="s">
        <v>696</v>
      </c>
      <c r="G270" s="207" t="s">
        <v>1566</v>
      </c>
      <c r="H270" s="32">
        <v>7</v>
      </c>
      <c r="I270" s="32">
        <v>0</v>
      </c>
      <c r="J270" s="32">
        <v>8</v>
      </c>
      <c r="K270" s="32" t="s">
        <v>693</v>
      </c>
      <c r="L270" s="32" t="s">
        <v>698</v>
      </c>
      <c r="M270" s="143" t="s">
        <v>1571</v>
      </c>
    </row>
    <row r="271" spans="1:13">
      <c r="A271" s="143"/>
      <c r="B271" s="143"/>
      <c r="F271" s="32" t="s">
        <v>696</v>
      </c>
      <c r="G271" s="207" t="s">
        <v>1567</v>
      </c>
      <c r="H271" s="32">
        <v>15</v>
      </c>
      <c r="I271" s="32">
        <v>8</v>
      </c>
      <c r="J271" s="32">
        <v>8</v>
      </c>
      <c r="K271" s="32" t="s">
        <v>693</v>
      </c>
      <c r="L271" s="32" t="s">
        <v>698</v>
      </c>
      <c r="M271" s="143" t="s">
        <v>1572</v>
      </c>
    </row>
    <row r="272" spans="1:13">
      <c r="A272" s="143" t="s">
        <v>1575</v>
      </c>
      <c r="B272" s="143" t="s">
        <v>1575</v>
      </c>
      <c r="C272" s="143" t="s">
        <v>1548</v>
      </c>
      <c r="D272" s="143" t="s">
        <v>1552</v>
      </c>
      <c r="E272" s="32"/>
      <c r="F272" s="32" t="s">
        <v>696</v>
      </c>
      <c r="G272" s="207" t="s">
        <v>1565</v>
      </c>
      <c r="H272" s="32">
        <v>7</v>
      </c>
      <c r="I272" s="32">
        <v>0</v>
      </c>
      <c r="J272" s="32">
        <v>8</v>
      </c>
      <c r="K272" s="32" t="s">
        <v>693</v>
      </c>
      <c r="L272" s="32" t="s">
        <v>698</v>
      </c>
      <c r="M272" s="143" t="s">
        <v>1570</v>
      </c>
    </row>
    <row r="273" spans="1:13">
      <c r="A273" s="143"/>
      <c r="B273" s="143"/>
      <c r="E273" s="32"/>
      <c r="F273" s="32" t="s">
        <v>696</v>
      </c>
      <c r="G273" s="207" t="s">
        <v>1568</v>
      </c>
      <c r="H273" s="32">
        <v>15</v>
      </c>
      <c r="I273" s="32">
        <v>8</v>
      </c>
      <c r="J273" s="32">
        <v>8</v>
      </c>
      <c r="K273" s="32" t="s">
        <v>693</v>
      </c>
      <c r="L273" s="32" t="s">
        <v>698</v>
      </c>
      <c r="M273" s="143" t="s">
        <v>1569</v>
      </c>
    </row>
    <row r="274" spans="1:13">
      <c r="A274" s="143" t="s">
        <v>1596</v>
      </c>
      <c r="B274" s="143" t="s">
        <v>1596</v>
      </c>
      <c r="C274" s="143" t="s">
        <v>1597</v>
      </c>
      <c r="D274" s="143" t="s">
        <v>1598</v>
      </c>
      <c r="E274" s="32"/>
      <c r="F274" s="32" t="s">
        <v>696</v>
      </c>
      <c r="G274" s="143" t="s">
        <v>1599</v>
      </c>
      <c r="H274" s="32">
        <v>7</v>
      </c>
      <c r="I274" s="32">
        <v>0</v>
      </c>
      <c r="J274" s="32">
        <v>8</v>
      </c>
      <c r="K274" s="150" t="s">
        <v>1290</v>
      </c>
      <c r="L274" s="150" t="s">
        <v>1282</v>
      </c>
      <c r="M274" s="150" t="s">
        <v>1599</v>
      </c>
    </row>
    <row r="275" spans="1:13">
      <c r="A275" s="143"/>
      <c r="B275" s="143"/>
      <c r="E275" s="32"/>
      <c r="F275" s="32" t="s">
        <v>696</v>
      </c>
      <c r="G275" s="150" t="s">
        <v>1600</v>
      </c>
      <c r="H275" s="32">
        <v>15</v>
      </c>
      <c r="I275" s="32">
        <v>8</v>
      </c>
      <c r="J275" s="32">
        <v>8</v>
      </c>
      <c r="K275" s="150" t="s">
        <v>1290</v>
      </c>
      <c r="L275" s="150" t="s">
        <v>1282</v>
      </c>
      <c r="M275" s="150" t="s">
        <v>1600</v>
      </c>
    </row>
    <row r="276" spans="1:13">
      <c r="A276" s="143"/>
      <c r="B276" s="143"/>
      <c r="E276" s="32"/>
      <c r="F276" s="32" t="s">
        <v>696</v>
      </c>
      <c r="G276" s="143" t="s">
        <v>1603</v>
      </c>
      <c r="H276" s="32">
        <v>23</v>
      </c>
      <c r="I276" s="32">
        <v>16</v>
      </c>
      <c r="J276" s="32">
        <v>8</v>
      </c>
      <c r="K276" s="143" t="s">
        <v>921</v>
      </c>
      <c r="L276" s="150" t="s">
        <v>1282</v>
      </c>
      <c r="M276" s="150" t="s">
        <v>1603</v>
      </c>
    </row>
    <row r="277" spans="1:13">
      <c r="A277" s="143"/>
      <c r="B277" s="143"/>
      <c r="E277" s="32"/>
      <c r="F277" s="32" t="s">
        <v>696</v>
      </c>
      <c r="G277" s="150" t="s">
        <v>1602</v>
      </c>
      <c r="H277" s="32">
        <v>24</v>
      </c>
      <c r="I277" s="32">
        <v>24</v>
      </c>
      <c r="J277" s="32">
        <v>1</v>
      </c>
      <c r="K277" s="143" t="s">
        <v>1607</v>
      </c>
      <c r="L277" s="150" t="s">
        <v>1282</v>
      </c>
      <c r="M277" s="150" t="s">
        <v>1602</v>
      </c>
    </row>
    <row r="278" spans="1:13">
      <c r="A278" s="143"/>
      <c r="B278" s="143"/>
      <c r="D278" s="150"/>
      <c r="E278" s="32"/>
      <c r="F278" s="32" t="s">
        <v>696</v>
      </c>
      <c r="G278" s="150" t="s">
        <v>1601</v>
      </c>
      <c r="H278" s="32">
        <v>25</v>
      </c>
      <c r="I278" s="32">
        <v>25</v>
      </c>
      <c r="J278" s="32">
        <v>1</v>
      </c>
      <c r="K278" s="143" t="s">
        <v>1607</v>
      </c>
      <c r="L278" s="150" t="s">
        <v>1282</v>
      </c>
      <c r="M278" s="150" t="s">
        <v>1601</v>
      </c>
    </row>
    <row r="279" spans="1:13">
      <c r="A279" s="143" t="s">
        <v>1618</v>
      </c>
      <c r="B279" s="143" t="s">
        <v>1618</v>
      </c>
      <c r="C279" s="143" t="s">
        <v>1619</v>
      </c>
      <c r="D279" s="143" t="s">
        <v>1620</v>
      </c>
      <c r="E279" s="32"/>
      <c r="F279" s="32" t="s">
        <v>696</v>
      </c>
      <c r="G279" s="127" t="s">
        <v>1621</v>
      </c>
      <c r="H279" s="32">
        <v>23</v>
      </c>
      <c r="I279" s="32">
        <v>0</v>
      </c>
      <c r="J279" s="32">
        <v>24</v>
      </c>
      <c r="K279" s="150" t="s">
        <v>1290</v>
      </c>
      <c r="L279" s="143" t="s">
        <v>972</v>
      </c>
      <c r="M279" s="127" t="s">
        <v>1622</v>
      </c>
    </row>
    <row r="280" spans="1:13">
      <c r="A280" s="143" t="s">
        <v>1629</v>
      </c>
      <c r="B280" s="143" t="s">
        <v>1629</v>
      </c>
      <c r="C280" s="143" t="s">
        <v>1630</v>
      </c>
      <c r="D280" s="143" t="s">
        <v>1631</v>
      </c>
      <c r="E280" s="32"/>
      <c r="F280" s="32" t="s">
        <v>696</v>
      </c>
      <c r="G280" s="208" t="s">
        <v>1664</v>
      </c>
      <c r="H280" s="32">
        <v>22</v>
      </c>
      <c r="I280" s="32">
        <v>0</v>
      </c>
      <c r="J280" s="32">
        <v>23</v>
      </c>
      <c r="K280" s="150" t="s">
        <v>1290</v>
      </c>
      <c r="L280" s="143" t="s">
        <v>929</v>
      </c>
      <c r="M280" s="127" t="s">
        <v>1633</v>
      </c>
    </row>
    <row r="281" spans="1:13">
      <c r="A281" s="143"/>
      <c r="B281" s="143"/>
      <c r="C281" s="143"/>
      <c r="D281" s="143"/>
      <c r="E281" s="32"/>
      <c r="F281" s="32" t="s">
        <v>696</v>
      </c>
      <c r="G281" s="208" t="s">
        <v>1665</v>
      </c>
      <c r="H281" s="32">
        <v>23</v>
      </c>
      <c r="I281" s="32">
        <v>23</v>
      </c>
      <c r="J281" s="32">
        <v>1</v>
      </c>
      <c r="K281" s="150" t="s">
        <v>1290</v>
      </c>
      <c r="L281" s="143" t="s">
        <v>993</v>
      </c>
      <c r="M281" s="143" t="s">
        <v>1632</v>
      </c>
    </row>
    <row r="282" spans="1:13">
      <c r="A282" s="143" t="s">
        <v>1671</v>
      </c>
      <c r="B282" s="143" t="s">
        <v>1671</v>
      </c>
      <c r="C282" s="143" t="s">
        <v>1672</v>
      </c>
      <c r="D282" s="143" t="s">
        <v>1673</v>
      </c>
      <c r="E282" s="32"/>
      <c r="F282" s="32" t="s">
        <v>696</v>
      </c>
      <c r="G282" s="208" t="s">
        <v>1683</v>
      </c>
      <c r="H282" s="32">
        <v>31</v>
      </c>
      <c r="I282" s="32">
        <v>0</v>
      </c>
      <c r="J282" s="32">
        <v>32</v>
      </c>
      <c r="K282" s="150" t="s">
        <v>1290</v>
      </c>
      <c r="L282" s="143" t="s">
        <v>929</v>
      </c>
      <c r="M282" s="143" t="s">
        <v>1632</v>
      </c>
    </row>
    <row r="283" spans="1:13">
      <c r="A283" s="143" t="s">
        <v>1680</v>
      </c>
      <c r="B283" s="143" t="s">
        <v>1680</v>
      </c>
      <c r="C283" s="143" t="s">
        <v>1674</v>
      </c>
      <c r="D283" s="143" t="s">
        <v>1675</v>
      </c>
      <c r="E283" s="32"/>
      <c r="F283" s="32" t="s">
        <v>696</v>
      </c>
      <c r="G283" s="208" t="s">
        <v>1684</v>
      </c>
      <c r="H283" s="32">
        <v>31</v>
      </c>
      <c r="I283" s="32">
        <v>0</v>
      </c>
      <c r="J283" s="32">
        <v>32</v>
      </c>
      <c r="K283" s="150" t="s">
        <v>1290</v>
      </c>
      <c r="L283" s="143" t="s">
        <v>929</v>
      </c>
      <c r="M283" s="143" t="s">
        <v>1632</v>
      </c>
    </row>
    <row r="284" spans="1:13">
      <c r="A284" s="143" t="s">
        <v>1681</v>
      </c>
      <c r="B284" s="143" t="s">
        <v>1681</v>
      </c>
      <c r="C284" s="143" t="s">
        <v>1678</v>
      </c>
      <c r="D284" s="143" t="s">
        <v>1676</v>
      </c>
      <c r="E284" s="32"/>
      <c r="F284" s="32" t="s">
        <v>696</v>
      </c>
      <c r="G284" s="208" t="s">
        <v>1685</v>
      </c>
      <c r="H284" s="32">
        <v>31</v>
      </c>
      <c r="I284" s="32">
        <v>0</v>
      </c>
      <c r="J284" s="32">
        <v>32</v>
      </c>
      <c r="K284" s="150" t="s">
        <v>1290</v>
      </c>
      <c r="L284" s="143" t="s">
        <v>929</v>
      </c>
      <c r="M284" s="143" t="s">
        <v>1632</v>
      </c>
    </row>
    <row r="285" spans="1:13">
      <c r="A285" s="143" t="s">
        <v>1682</v>
      </c>
      <c r="B285" s="143" t="s">
        <v>1682</v>
      </c>
      <c r="C285" s="143" t="s">
        <v>1679</v>
      </c>
      <c r="D285" s="143" t="s">
        <v>1677</v>
      </c>
      <c r="E285" s="32"/>
      <c r="F285" s="32" t="s">
        <v>696</v>
      </c>
      <c r="G285" s="208" t="s">
        <v>1686</v>
      </c>
      <c r="H285" s="32">
        <v>31</v>
      </c>
      <c r="I285" s="32">
        <v>0</v>
      </c>
      <c r="J285" s="32">
        <v>32</v>
      </c>
      <c r="K285" s="150" t="s">
        <v>1290</v>
      </c>
      <c r="L285" s="143" t="s">
        <v>929</v>
      </c>
      <c r="M285" s="143" t="s">
        <v>1632</v>
      </c>
    </row>
    <row r="286" spans="1:13">
      <c r="A286" s="143" t="s">
        <v>1691</v>
      </c>
      <c r="B286" s="143" t="s">
        <v>1690</v>
      </c>
      <c r="C286" s="143" t="s">
        <v>1694</v>
      </c>
      <c r="D286" s="143" t="s">
        <v>1693</v>
      </c>
      <c r="E286" s="32"/>
      <c r="F286" s="32" t="s">
        <v>696</v>
      </c>
      <c r="G286" s="143" t="s">
        <v>1698</v>
      </c>
      <c r="H286" s="32">
        <v>0</v>
      </c>
      <c r="I286" s="32">
        <v>0</v>
      </c>
      <c r="J286" s="32">
        <v>1</v>
      </c>
      <c r="K286" s="32" t="s">
        <v>693</v>
      </c>
      <c r="L286" s="32" t="s">
        <v>698</v>
      </c>
      <c r="M286" s="143" t="s">
        <v>1697</v>
      </c>
    </row>
    <row r="287" spans="1:13">
      <c r="A287" s="32"/>
      <c r="B287" s="32"/>
      <c r="C287" s="32"/>
      <c r="D287" s="32"/>
      <c r="E287" s="32"/>
      <c r="F287" s="32" t="s">
        <v>696</v>
      </c>
      <c r="G287" s="143" t="s">
        <v>1699</v>
      </c>
      <c r="H287" s="32">
        <v>1</v>
      </c>
      <c r="I287" s="32">
        <v>1</v>
      </c>
      <c r="J287" s="32">
        <v>1</v>
      </c>
      <c r="K287" s="32" t="s">
        <v>693</v>
      </c>
      <c r="L287" s="32" t="s">
        <v>698</v>
      </c>
      <c r="M287" s="143" t="s">
        <v>1705</v>
      </c>
    </row>
    <row r="288" spans="1:13">
      <c r="A288" s="143" t="s">
        <v>1692</v>
      </c>
      <c r="B288" s="143" t="s">
        <v>1692</v>
      </c>
      <c r="C288" s="143" t="s">
        <v>1695</v>
      </c>
      <c r="D288" s="143" t="s">
        <v>1696</v>
      </c>
      <c r="E288" s="32"/>
      <c r="F288" s="32" t="s">
        <v>696</v>
      </c>
      <c r="G288" s="143" t="s">
        <v>1700</v>
      </c>
      <c r="H288" s="32">
        <v>9</v>
      </c>
      <c r="I288" s="32">
        <v>0</v>
      </c>
      <c r="J288" s="32">
        <v>10</v>
      </c>
      <c r="K288" s="32" t="s">
        <v>693</v>
      </c>
      <c r="L288" s="32" t="s">
        <v>698</v>
      </c>
      <c r="M288" s="32" t="s">
        <v>805</v>
      </c>
    </row>
    <row r="289" spans="1:13">
      <c r="A289" s="32"/>
      <c r="B289" s="32"/>
      <c r="C289" s="32"/>
      <c r="D289" s="32"/>
      <c r="E289" s="32"/>
      <c r="F289" s="32" t="s">
        <v>696</v>
      </c>
      <c r="G289" s="143" t="s">
        <v>1701</v>
      </c>
      <c r="H289" s="32">
        <v>19</v>
      </c>
      <c r="I289" s="32">
        <v>10</v>
      </c>
      <c r="J289" s="32">
        <v>10</v>
      </c>
      <c r="K289" s="32" t="s">
        <v>693</v>
      </c>
      <c r="L289" s="32" t="s">
        <v>698</v>
      </c>
      <c r="M289" s="32" t="s">
        <v>806</v>
      </c>
    </row>
    <row r="290" spans="1:13">
      <c r="A290" s="143" t="s">
        <v>1710</v>
      </c>
      <c r="B290" s="143" t="s">
        <v>1710</v>
      </c>
      <c r="C290" s="143" t="s">
        <v>1708</v>
      </c>
      <c r="D290" s="143" t="s">
        <v>1709</v>
      </c>
      <c r="E290" s="32"/>
      <c r="F290" s="32" t="s">
        <v>696</v>
      </c>
      <c r="G290" s="143" t="s">
        <v>1711</v>
      </c>
      <c r="H290" s="32">
        <v>7</v>
      </c>
      <c r="I290" s="32">
        <v>0</v>
      </c>
      <c r="J290" s="32">
        <v>8</v>
      </c>
      <c r="K290" s="143" t="s">
        <v>1290</v>
      </c>
      <c r="L290" s="32" t="s">
        <v>698</v>
      </c>
      <c r="M290" s="143" t="s">
        <v>1711</v>
      </c>
    </row>
    <row r="291" spans="1:13">
      <c r="A291" s="32"/>
      <c r="B291" s="32"/>
      <c r="C291" s="32"/>
      <c r="D291" s="32"/>
      <c r="E291" s="32"/>
      <c r="F291" s="32" t="s">
        <v>696</v>
      </c>
      <c r="G291" s="143" t="s">
        <v>1706</v>
      </c>
      <c r="H291" s="32">
        <v>15</v>
      </c>
      <c r="I291" s="32">
        <v>8</v>
      </c>
      <c r="J291" s="32">
        <v>8</v>
      </c>
      <c r="K291" s="143" t="s">
        <v>1714</v>
      </c>
      <c r="L291" s="32" t="s">
        <v>698</v>
      </c>
      <c r="M291" s="143" t="s">
        <v>1706</v>
      </c>
    </row>
    <row r="292" spans="1:13">
      <c r="A292" s="143" t="s">
        <v>1722</v>
      </c>
      <c r="B292" s="143" t="s">
        <v>1722</v>
      </c>
      <c r="C292" s="143" t="s">
        <v>1723</v>
      </c>
      <c r="D292" s="143" t="s">
        <v>1724</v>
      </c>
      <c r="E292" s="32"/>
      <c r="F292" s="32" t="s">
        <v>696</v>
      </c>
      <c r="G292" s="143" t="s">
        <v>1727</v>
      </c>
      <c r="H292" s="32">
        <v>2</v>
      </c>
      <c r="I292" s="32">
        <v>0</v>
      </c>
      <c r="J292" s="32">
        <v>3</v>
      </c>
      <c r="K292" s="143" t="s">
        <v>1607</v>
      </c>
      <c r="L292" s="32" t="s">
        <v>698</v>
      </c>
      <c r="M292" s="143" t="s">
        <v>1730</v>
      </c>
    </row>
    <row r="293" spans="1:13">
      <c r="A293" s="32"/>
      <c r="B293" s="32"/>
      <c r="C293" s="32"/>
      <c r="D293" s="32"/>
      <c r="E293" s="32"/>
      <c r="F293" s="32" t="s">
        <v>696</v>
      </c>
      <c r="G293" s="143" t="s">
        <v>1728</v>
      </c>
      <c r="H293" s="32">
        <v>5</v>
      </c>
      <c r="I293" s="32">
        <v>3</v>
      </c>
      <c r="J293" s="32">
        <v>3</v>
      </c>
      <c r="K293" s="143" t="s">
        <v>921</v>
      </c>
      <c r="L293" s="32" t="s">
        <v>698</v>
      </c>
      <c r="M293" s="143" t="s">
        <v>1731</v>
      </c>
    </row>
    <row r="294" spans="1:13">
      <c r="A294" s="143" t="s">
        <v>1749</v>
      </c>
      <c r="B294" s="143" t="s">
        <v>1749</v>
      </c>
      <c r="C294" s="143" t="s">
        <v>1750</v>
      </c>
      <c r="D294" s="143" t="s">
        <v>1751</v>
      </c>
      <c r="E294" s="32"/>
      <c r="F294" s="32" t="s">
        <v>696</v>
      </c>
      <c r="G294" s="207" t="s">
        <v>1752</v>
      </c>
      <c r="H294" s="32">
        <v>0</v>
      </c>
      <c r="I294" s="32">
        <v>0</v>
      </c>
      <c r="J294" s="32">
        <v>1</v>
      </c>
      <c r="K294" s="143" t="s">
        <v>921</v>
      </c>
      <c r="L294" s="32" t="s">
        <v>698</v>
      </c>
      <c r="M294" s="143" t="s">
        <v>1755</v>
      </c>
    </row>
    <row r="295" spans="1:13">
      <c r="A295" s="32"/>
      <c r="B295" s="32"/>
      <c r="C295" s="32"/>
      <c r="D295" s="32"/>
      <c r="E295" s="32"/>
      <c r="F295" s="32" t="s">
        <v>696</v>
      </c>
      <c r="G295" s="207" t="s">
        <v>1753</v>
      </c>
      <c r="H295" s="32">
        <v>1</v>
      </c>
      <c r="I295" s="32">
        <v>1</v>
      </c>
      <c r="J295" s="32">
        <v>1</v>
      </c>
      <c r="K295" s="143" t="s">
        <v>921</v>
      </c>
      <c r="L295" s="32" t="s">
        <v>698</v>
      </c>
      <c r="M295" s="143" t="s">
        <v>1756</v>
      </c>
    </row>
    <row r="296" spans="1:13">
      <c r="A296" s="32"/>
      <c r="B296" s="32"/>
      <c r="C296" s="32"/>
      <c r="D296" s="32"/>
      <c r="E296" s="32"/>
      <c r="F296" s="32" t="s">
        <v>696</v>
      </c>
      <c r="G296" s="207" t="s">
        <v>1754</v>
      </c>
      <c r="H296" s="32">
        <v>2</v>
      </c>
      <c r="I296" s="32">
        <v>2</v>
      </c>
      <c r="J296" s="32">
        <v>1</v>
      </c>
      <c r="K296" s="143" t="s">
        <v>921</v>
      </c>
      <c r="L296" s="32" t="s">
        <v>698</v>
      </c>
      <c r="M296" s="143" t="s">
        <v>1757</v>
      </c>
    </row>
    <row r="297" spans="1:13">
      <c r="A297" s="32"/>
      <c r="B297" s="32"/>
      <c r="C297" s="32"/>
      <c r="D297" s="32"/>
      <c r="E297" s="32"/>
      <c r="F297" s="32" t="s">
        <v>696</v>
      </c>
      <c r="G297" s="207" t="s">
        <v>1758</v>
      </c>
      <c r="H297" s="32">
        <v>3</v>
      </c>
      <c r="I297" s="32">
        <v>3</v>
      </c>
      <c r="J297" s="32">
        <v>1</v>
      </c>
      <c r="K297" s="143" t="s">
        <v>1607</v>
      </c>
      <c r="L297" s="32" t="s">
        <v>698</v>
      </c>
      <c r="M297" s="143" t="s">
        <v>1759</v>
      </c>
    </row>
    <row r="298" spans="1:13">
      <c r="A298" s="143" t="s">
        <v>1781</v>
      </c>
      <c r="B298" s="143" t="s">
        <v>1781</v>
      </c>
      <c r="C298" s="143" t="s">
        <v>1782</v>
      </c>
      <c r="D298" s="143" t="s">
        <v>1783</v>
      </c>
      <c r="E298" s="32"/>
      <c r="F298" s="32" t="s">
        <v>696</v>
      </c>
      <c r="G298" s="143" t="s">
        <v>1784</v>
      </c>
      <c r="H298" s="32">
        <v>3</v>
      </c>
      <c r="I298" s="32">
        <v>0</v>
      </c>
      <c r="J298" s="32">
        <v>4</v>
      </c>
      <c r="K298" s="143" t="s">
        <v>1785</v>
      </c>
      <c r="L298" s="32" t="s">
        <v>698</v>
      </c>
      <c r="M298" s="143" t="s">
        <v>1786</v>
      </c>
    </row>
    <row r="299" spans="1:13" ht="41.25">
      <c r="A299" s="143" t="s">
        <v>1935</v>
      </c>
      <c r="B299" s="143" t="s">
        <v>1935</v>
      </c>
      <c r="C299" s="143" t="s">
        <v>1936</v>
      </c>
      <c r="D299" s="143" t="s">
        <v>1937</v>
      </c>
      <c r="E299" s="32"/>
      <c r="F299" s="32" t="s">
        <v>966</v>
      </c>
      <c r="G299" s="209" t="s">
        <v>1943</v>
      </c>
      <c r="H299" s="146">
        <v>0</v>
      </c>
      <c r="I299" s="146">
        <v>0</v>
      </c>
      <c r="J299" s="32">
        <v>1</v>
      </c>
      <c r="K299" s="150" t="s">
        <v>1290</v>
      </c>
      <c r="L299" s="143" t="s">
        <v>1282</v>
      </c>
      <c r="M299" s="144" t="s">
        <v>1939</v>
      </c>
    </row>
    <row r="300" spans="1:13" ht="41.25">
      <c r="A300" s="143"/>
      <c r="B300" s="143"/>
      <c r="C300" s="143"/>
      <c r="D300" s="143"/>
      <c r="E300" s="32"/>
      <c r="F300" s="32" t="s">
        <v>696</v>
      </c>
      <c r="G300" s="207" t="s">
        <v>1958</v>
      </c>
      <c r="H300" s="32">
        <v>1</v>
      </c>
      <c r="I300" s="32">
        <v>1</v>
      </c>
      <c r="J300" s="32">
        <v>1</v>
      </c>
      <c r="K300" s="32" t="s">
        <v>693</v>
      </c>
      <c r="L300" s="143" t="s">
        <v>1282</v>
      </c>
      <c r="M300" s="144" t="s">
        <v>1952</v>
      </c>
    </row>
    <row r="301" spans="1:13" ht="41.25">
      <c r="A301" s="143"/>
      <c r="B301" s="143"/>
      <c r="C301" s="143"/>
      <c r="D301" s="143"/>
      <c r="E301" s="32"/>
      <c r="F301" s="32" t="s">
        <v>696</v>
      </c>
      <c r="G301" s="207" t="s">
        <v>1959</v>
      </c>
      <c r="H301" s="32">
        <v>2</v>
      </c>
      <c r="I301" s="32">
        <v>2</v>
      </c>
      <c r="J301" s="32">
        <v>1</v>
      </c>
      <c r="K301" s="32" t="s">
        <v>693</v>
      </c>
      <c r="L301" s="143" t="s">
        <v>1282</v>
      </c>
      <c r="M301" s="144" t="s">
        <v>1953</v>
      </c>
    </row>
    <row r="302" spans="1:13" ht="41.25">
      <c r="A302" s="143"/>
      <c r="B302" s="143"/>
      <c r="C302" s="143"/>
      <c r="D302" s="143"/>
      <c r="E302" s="32"/>
      <c r="F302" s="32" t="s">
        <v>696</v>
      </c>
      <c r="G302" s="207" t="s">
        <v>1960</v>
      </c>
      <c r="H302" s="32">
        <v>3</v>
      </c>
      <c r="I302" s="32">
        <v>3</v>
      </c>
      <c r="J302" s="32">
        <v>1</v>
      </c>
      <c r="K302" s="32" t="s">
        <v>693</v>
      </c>
      <c r="L302" s="143" t="s">
        <v>1282</v>
      </c>
      <c r="M302" s="144" t="s">
        <v>1954</v>
      </c>
    </row>
    <row r="303" spans="1:13" ht="41.25">
      <c r="A303" s="143"/>
      <c r="B303" s="143"/>
      <c r="C303" s="143"/>
      <c r="D303" s="143"/>
      <c r="E303" s="32"/>
      <c r="F303" s="32" t="s">
        <v>696</v>
      </c>
      <c r="G303" s="207" t="s">
        <v>1961</v>
      </c>
      <c r="H303" s="32">
        <v>4</v>
      </c>
      <c r="I303" s="32">
        <v>4</v>
      </c>
      <c r="J303" s="32">
        <v>1</v>
      </c>
      <c r="K303" s="32" t="s">
        <v>693</v>
      </c>
      <c r="L303" s="143" t="s">
        <v>1282</v>
      </c>
      <c r="M303" s="144" t="s">
        <v>1955</v>
      </c>
    </row>
    <row r="304" spans="1:13" ht="41.25">
      <c r="A304" s="143"/>
      <c r="B304" s="143"/>
      <c r="C304" s="143"/>
      <c r="D304" s="143"/>
      <c r="E304" s="32"/>
      <c r="F304" s="32" t="s">
        <v>696</v>
      </c>
      <c r="G304" s="210" t="s">
        <v>1962</v>
      </c>
      <c r="H304" s="32">
        <v>5</v>
      </c>
      <c r="I304" s="32">
        <v>5</v>
      </c>
      <c r="J304" s="32">
        <v>1</v>
      </c>
      <c r="K304" s="32" t="s">
        <v>693</v>
      </c>
      <c r="L304" s="143" t="s">
        <v>1282</v>
      </c>
      <c r="M304" s="144" t="s">
        <v>1956</v>
      </c>
    </row>
    <row r="305" spans="1:13" ht="41.25">
      <c r="A305" s="143"/>
      <c r="B305" s="143"/>
      <c r="C305" s="143"/>
      <c r="D305" s="143"/>
      <c r="E305" s="32"/>
      <c r="F305" s="32" t="s">
        <v>696</v>
      </c>
      <c r="G305" s="207" t="s">
        <v>1963</v>
      </c>
      <c r="H305" s="32">
        <v>6</v>
      </c>
      <c r="I305" s="32">
        <v>6</v>
      </c>
      <c r="J305" s="32">
        <v>1</v>
      </c>
      <c r="K305" s="32" t="s">
        <v>693</v>
      </c>
      <c r="L305" s="143" t="s">
        <v>1282</v>
      </c>
      <c r="M305" s="144" t="s">
        <v>1964</v>
      </c>
    </row>
    <row r="306" spans="1:13" ht="41.25">
      <c r="A306" s="143" t="s">
        <v>1946</v>
      </c>
      <c r="B306" s="143" t="s">
        <v>1946</v>
      </c>
      <c r="C306" s="143" t="s">
        <v>1945</v>
      </c>
      <c r="D306" s="143" t="s">
        <v>1944</v>
      </c>
      <c r="E306" s="32"/>
      <c r="F306" s="32" t="s">
        <v>696</v>
      </c>
      <c r="G306" s="210" t="s">
        <v>1938</v>
      </c>
      <c r="H306" s="32">
        <v>0</v>
      </c>
      <c r="I306" s="32">
        <v>0</v>
      </c>
      <c r="J306" s="32">
        <v>1</v>
      </c>
      <c r="K306" s="32" t="s">
        <v>693</v>
      </c>
      <c r="L306" s="32" t="s">
        <v>743</v>
      </c>
      <c r="M306" s="144" t="s">
        <v>500</v>
      </c>
    </row>
    <row r="307" spans="1:13" ht="41.25">
      <c r="A307" s="143"/>
      <c r="B307" s="143"/>
      <c r="C307" s="143"/>
      <c r="D307" s="143"/>
      <c r="E307" s="32"/>
      <c r="F307" s="32" t="s">
        <v>696</v>
      </c>
      <c r="G307" s="211" t="s">
        <v>1947</v>
      </c>
      <c r="H307" s="32">
        <v>1</v>
      </c>
      <c r="I307" s="32">
        <v>1</v>
      </c>
      <c r="J307" s="32">
        <v>1</v>
      </c>
      <c r="K307" s="32" t="s">
        <v>693</v>
      </c>
      <c r="L307" s="32" t="s">
        <v>743</v>
      </c>
      <c r="M307" s="144" t="s">
        <v>500</v>
      </c>
    </row>
    <row r="308" spans="1:13" ht="41.25">
      <c r="A308" s="143"/>
      <c r="B308" s="143"/>
      <c r="C308" s="143"/>
      <c r="D308" s="143"/>
      <c r="E308" s="32"/>
      <c r="F308" s="32" t="s">
        <v>696</v>
      </c>
      <c r="G308" s="211" t="s">
        <v>1948</v>
      </c>
      <c r="H308" s="32">
        <v>2</v>
      </c>
      <c r="I308" s="32">
        <v>2</v>
      </c>
      <c r="J308" s="32">
        <v>1</v>
      </c>
      <c r="K308" s="32" t="s">
        <v>693</v>
      </c>
      <c r="L308" s="32" t="s">
        <v>743</v>
      </c>
      <c r="M308" s="144" t="s">
        <v>500</v>
      </c>
    </row>
    <row r="309" spans="1:13" ht="41.25">
      <c r="A309" s="143"/>
      <c r="B309" s="143"/>
      <c r="C309" s="143"/>
      <c r="D309" s="143"/>
      <c r="E309" s="32"/>
      <c r="F309" s="32" t="s">
        <v>696</v>
      </c>
      <c r="G309" s="211" t="s">
        <v>1949</v>
      </c>
      <c r="H309" s="32">
        <v>3</v>
      </c>
      <c r="I309" s="32">
        <v>3</v>
      </c>
      <c r="J309" s="32">
        <v>1</v>
      </c>
      <c r="K309" s="32" t="s">
        <v>693</v>
      </c>
      <c r="L309" s="32" t="s">
        <v>743</v>
      </c>
      <c r="M309" s="144" t="s">
        <v>500</v>
      </c>
    </row>
    <row r="310" spans="1:13" ht="41.25">
      <c r="A310" s="143"/>
      <c r="B310" s="143"/>
      <c r="C310" s="143"/>
      <c r="D310" s="143"/>
      <c r="E310" s="32"/>
      <c r="F310" s="32" t="s">
        <v>696</v>
      </c>
      <c r="G310" s="211" t="s">
        <v>1950</v>
      </c>
      <c r="H310" s="32">
        <v>4</v>
      </c>
      <c r="I310" s="32">
        <v>4</v>
      </c>
      <c r="J310" s="32">
        <v>1</v>
      </c>
      <c r="K310" s="32" t="s">
        <v>693</v>
      </c>
      <c r="L310" s="32" t="s">
        <v>743</v>
      </c>
      <c r="M310" s="144" t="s">
        <v>500</v>
      </c>
    </row>
    <row r="311" spans="1:13" ht="41.25">
      <c r="A311" s="143"/>
      <c r="B311" s="143"/>
      <c r="C311" s="143"/>
      <c r="D311" s="143"/>
      <c r="E311" s="32"/>
      <c r="F311" s="32" t="s">
        <v>696</v>
      </c>
      <c r="G311" s="210" t="s">
        <v>1951</v>
      </c>
      <c r="H311" s="32">
        <v>5</v>
      </c>
      <c r="I311" s="32">
        <v>5</v>
      </c>
      <c r="J311" s="32">
        <v>1</v>
      </c>
      <c r="K311" s="32" t="s">
        <v>693</v>
      </c>
      <c r="L311" s="32" t="s">
        <v>743</v>
      </c>
      <c r="M311" s="144" t="s">
        <v>500</v>
      </c>
    </row>
    <row r="312" spans="1:13" ht="41.25">
      <c r="A312" s="143"/>
      <c r="B312" s="143"/>
      <c r="C312" s="143"/>
      <c r="D312" s="143"/>
      <c r="E312" s="32"/>
      <c r="F312" s="32" t="s">
        <v>696</v>
      </c>
      <c r="G312" s="211" t="s">
        <v>1969</v>
      </c>
      <c r="H312" s="32">
        <v>6</v>
      </c>
      <c r="I312" s="32">
        <v>6</v>
      </c>
      <c r="J312" s="32">
        <v>1</v>
      </c>
      <c r="K312" s="32" t="s">
        <v>693</v>
      </c>
      <c r="L312" s="32" t="s">
        <v>743</v>
      </c>
      <c r="M312" s="144" t="s">
        <v>500</v>
      </c>
    </row>
    <row r="313" spans="1:13">
      <c r="A313" s="143" t="s">
        <v>1965</v>
      </c>
      <c r="B313" s="143" t="s">
        <v>1965</v>
      </c>
      <c r="C313" s="143" t="s">
        <v>1966</v>
      </c>
      <c r="D313" s="143" t="s">
        <v>1967</v>
      </c>
      <c r="E313" s="32"/>
      <c r="F313" s="32" t="s">
        <v>696</v>
      </c>
      <c r="G313" s="211" t="s">
        <v>1968</v>
      </c>
      <c r="H313" s="32">
        <v>0</v>
      </c>
      <c r="I313" s="32">
        <v>0</v>
      </c>
      <c r="J313" s="32">
        <v>1</v>
      </c>
      <c r="K313" s="32" t="s">
        <v>693</v>
      </c>
      <c r="L313" s="143" t="s">
        <v>929</v>
      </c>
      <c r="M313" s="144" t="s">
        <v>1968</v>
      </c>
    </row>
    <row r="314" spans="1:13">
      <c r="A314" s="143" t="s">
        <v>1971</v>
      </c>
      <c r="B314" s="143" t="s">
        <v>1971</v>
      </c>
      <c r="C314" s="143" t="s">
        <v>1972</v>
      </c>
      <c r="D314" s="143" t="s">
        <v>1973</v>
      </c>
      <c r="E314" s="32"/>
      <c r="F314" s="32" t="s">
        <v>696</v>
      </c>
      <c r="G314" s="212" t="s">
        <v>1974</v>
      </c>
      <c r="H314" s="32">
        <v>22</v>
      </c>
      <c r="I314" s="32">
        <v>0</v>
      </c>
      <c r="J314" s="32">
        <v>23</v>
      </c>
      <c r="K314" s="150" t="s">
        <v>1290</v>
      </c>
      <c r="L314" s="143" t="s">
        <v>929</v>
      </c>
      <c r="M314" s="127" t="s">
        <v>1976</v>
      </c>
    </row>
    <row r="315" spans="1:13">
      <c r="A315" s="143"/>
      <c r="B315" s="143"/>
      <c r="C315" s="143"/>
      <c r="E315" s="32"/>
      <c r="F315" s="32" t="s">
        <v>696</v>
      </c>
      <c r="G315" s="212" t="s">
        <v>1975</v>
      </c>
      <c r="H315" s="32">
        <v>23</v>
      </c>
      <c r="I315" s="32">
        <v>23</v>
      </c>
      <c r="J315" s="32">
        <v>1</v>
      </c>
      <c r="K315" s="150" t="s">
        <v>1290</v>
      </c>
      <c r="L315" s="143" t="s">
        <v>993</v>
      </c>
      <c r="M315" s="143" t="s">
        <v>1977</v>
      </c>
    </row>
    <row r="316" spans="1:13">
      <c r="A316" s="143" t="s">
        <v>1984</v>
      </c>
      <c r="B316" s="143" t="s">
        <v>1984</v>
      </c>
      <c r="C316" s="143" t="s">
        <v>1985</v>
      </c>
      <c r="D316" s="143" t="s">
        <v>1986</v>
      </c>
      <c r="E316" s="32"/>
      <c r="F316" s="32" t="s">
        <v>696</v>
      </c>
      <c r="G316" s="209" t="s">
        <v>1987</v>
      </c>
      <c r="H316" s="32">
        <v>0</v>
      </c>
      <c r="I316" s="32">
        <v>0</v>
      </c>
      <c r="J316" s="32">
        <v>1</v>
      </c>
      <c r="K316" s="150" t="s">
        <v>1290</v>
      </c>
      <c r="L316" s="143" t="s">
        <v>929</v>
      </c>
      <c r="M316" s="127" t="s">
        <v>1987</v>
      </c>
    </row>
    <row r="317" spans="1:13">
      <c r="A317" s="143" t="s">
        <v>2326</v>
      </c>
      <c r="B317" s="143" t="s">
        <v>2326</v>
      </c>
      <c r="C317" s="143" t="s">
        <v>2322</v>
      </c>
      <c r="D317" s="143" t="s">
        <v>2323</v>
      </c>
      <c r="E317" s="32"/>
      <c r="F317" s="32" t="s">
        <v>696</v>
      </c>
      <c r="G317" s="212" t="s">
        <v>2328</v>
      </c>
      <c r="H317" s="32">
        <v>31</v>
      </c>
      <c r="I317" s="32">
        <v>0</v>
      </c>
      <c r="J317" s="32">
        <v>32</v>
      </c>
      <c r="K317" s="150" t="s">
        <v>1290</v>
      </c>
      <c r="L317" s="143" t="s">
        <v>968</v>
      </c>
      <c r="M317" s="127" t="s">
        <v>2331</v>
      </c>
    </row>
    <row r="318" spans="1:13">
      <c r="A318" s="143" t="s">
        <v>2327</v>
      </c>
      <c r="B318" s="143" t="s">
        <v>2327</v>
      </c>
      <c r="C318" s="143" t="s">
        <v>2324</v>
      </c>
      <c r="D318" s="143" t="s">
        <v>2325</v>
      </c>
      <c r="E318" s="32"/>
      <c r="F318" s="32" t="s">
        <v>696</v>
      </c>
      <c r="G318" s="212" t="s">
        <v>2329</v>
      </c>
      <c r="H318" s="32">
        <v>31</v>
      </c>
      <c r="I318" s="32">
        <v>0</v>
      </c>
      <c r="J318" s="32">
        <v>32</v>
      </c>
      <c r="K318" s="150" t="s">
        <v>1290</v>
      </c>
      <c r="L318" s="143" t="s">
        <v>968</v>
      </c>
      <c r="M318" s="127" t="s">
        <v>2330</v>
      </c>
    </row>
    <row r="319" spans="1:13">
      <c r="A319" s="143" t="s">
        <v>2333</v>
      </c>
      <c r="B319" s="143" t="s">
        <v>2333</v>
      </c>
      <c r="C319" s="143" t="s">
        <v>2334</v>
      </c>
      <c r="D319" s="143" t="s">
        <v>2335</v>
      </c>
      <c r="E319" s="32"/>
      <c r="F319" s="32" t="s">
        <v>696</v>
      </c>
      <c r="G319" s="209" t="s">
        <v>2336</v>
      </c>
      <c r="H319" s="32">
        <v>0</v>
      </c>
      <c r="I319" s="32">
        <v>0</v>
      </c>
      <c r="J319" s="32">
        <v>1</v>
      </c>
      <c r="K319" s="150" t="s">
        <v>1290</v>
      </c>
      <c r="L319" s="143" t="s">
        <v>929</v>
      </c>
      <c r="M319" s="127" t="s">
        <v>2337</v>
      </c>
    </row>
    <row r="320" spans="1:13" ht="68.25">
      <c r="A320" s="143" t="s">
        <v>1099</v>
      </c>
      <c r="B320" s="143" t="s">
        <v>1099</v>
      </c>
      <c r="C320" s="143" t="s">
        <v>1144</v>
      </c>
      <c r="D320" s="143" t="s">
        <v>1133</v>
      </c>
      <c r="E320" s="32"/>
      <c r="F320" s="32" t="s">
        <v>696</v>
      </c>
      <c r="G320" s="211" t="s">
        <v>975</v>
      </c>
      <c r="H320" s="32">
        <v>1</v>
      </c>
      <c r="I320" s="32">
        <v>0</v>
      </c>
      <c r="J320" s="32">
        <v>2</v>
      </c>
      <c r="K320" s="32" t="s">
        <v>693</v>
      </c>
      <c r="L320" s="143" t="s">
        <v>929</v>
      </c>
      <c r="M320" s="144" t="s">
        <v>982</v>
      </c>
    </row>
    <row r="321" spans="1:13" ht="68.25">
      <c r="B321" s="143"/>
      <c r="C321" s="143"/>
      <c r="D321" s="143"/>
      <c r="E321" s="32"/>
      <c r="F321" s="32" t="s">
        <v>696</v>
      </c>
      <c r="G321" s="211" t="s">
        <v>976</v>
      </c>
      <c r="H321" s="32">
        <v>3</v>
      </c>
      <c r="I321" s="32">
        <v>2</v>
      </c>
      <c r="J321" s="32">
        <v>2</v>
      </c>
      <c r="K321" s="143" t="s">
        <v>1623</v>
      </c>
      <c r="L321" s="143" t="s">
        <v>929</v>
      </c>
      <c r="M321" s="144" t="s">
        <v>981</v>
      </c>
    </row>
    <row r="322" spans="1:13" ht="68.25">
      <c r="A322" s="143"/>
      <c r="B322" s="143"/>
      <c r="C322" s="143"/>
      <c r="D322" s="143"/>
      <c r="E322" s="32"/>
      <c r="F322" s="32" t="s">
        <v>966</v>
      </c>
      <c r="G322" s="211" t="s">
        <v>977</v>
      </c>
      <c r="H322" s="32">
        <v>6</v>
      </c>
      <c r="I322" s="32">
        <v>4</v>
      </c>
      <c r="J322" s="32">
        <v>3</v>
      </c>
      <c r="K322" s="32" t="s">
        <v>921</v>
      </c>
      <c r="L322" s="143" t="s">
        <v>929</v>
      </c>
      <c r="M322" s="144" t="s">
        <v>980</v>
      </c>
    </row>
    <row r="323" spans="1:13" ht="68.25">
      <c r="A323" s="143"/>
      <c r="B323" s="143"/>
      <c r="C323" s="143"/>
      <c r="D323" s="143"/>
      <c r="E323" s="32"/>
      <c r="F323" s="32" t="s">
        <v>966</v>
      </c>
      <c r="G323" s="211" t="s">
        <v>978</v>
      </c>
      <c r="H323" s="32">
        <v>8</v>
      </c>
      <c r="I323" s="32">
        <v>7</v>
      </c>
      <c r="J323" s="32">
        <v>2</v>
      </c>
      <c r="K323" s="32" t="s">
        <v>921</v>
      </c>
      <c r="L323" s="143" t="s">
        <v>929</v>
      </c>
      <c r="M323" s="144" t="s">
        <v>979</v>
      </c>
    </row>
    <row r="324" spans="1:13" ht="68.25">
      <c r="A324" s="143"/>
      <c r="B324" s="143"/>
      <c r="C324" s="143"/>
      <c r="D324" s="143"/>
      <c r="E324" s="32"/>
      <c r="F324" s="32" t="s">
        <v>966</v>
      </c>
      <c r="G324" s="211" t="s">
        <v>983</v>
      </c>
      <c r="H324" s="32">
        <v>10</v>
      </c>
      <c r="I324" s="32">
        <v>9</v>
      </c>
      <c r="J324" s="32">
        <v>2</v>
      </c>
      <c r="K324" s="32" t="s">
        <v>921</v>
      </c>
      <c r="L324" s="143" t="s">
        <v>929</v>
      </c>
      <c r="M324" s="144" t="s">
        <v>984</v>
      </c>
    </row>
    <row r="325" spans="1:13" ht="27.75">
      <c r="A325" s="143"/>
      <c r="B325" s="143"/>
      <c r="C325" s="143"/>
      <c r="D325" s="143"/>
      <c r="E325" s="32"/>
      <c r="F325" s="32" t="s">
        <v>966</v>
      </c>
      <c r="G325" s="211" t="s">
        <v>1270</v>
      </c>
      <c r="H325" s="32">
        <v>12</v>
      </c>
      <c r="I325" s="32">
        <v>11</v>
      </c>
      <c r="J325" s="32">
        <v>2</v>
      </c>
      <c r="K325" s="32" t="s">
        <v>921</v>
      </c>
      <c r="L325" s="143" t="s">
        <v>929</v>
      </c>
      <c r="M325" s="144" t="s">
        <v>1738</v>
      </c>
    </row>
    <row r="326" spans="1:13">
      <c r="A326" s="143" t="s">
        <v>1100</v>
      </c>
      <c r="B326" s="143" t="s">
        <v>1100</v>
      </c>
      <c r="C326" s="143" t="s">
        <v>1145</v>
      </c>
      <c r="D326" s="143" t="s">
        <v>1134</v>
      </c>
      <c r="E326" s="32"/>
      <c r="F326" s="32" t="s">
        <v>696</v>
      </c>
      <c r="G326" s="211" t="s">
        <v>987</v>
      </c>
      <c r="H326" s="32">
        <v>15</v>
      </c>
      <c r="I326" s="32">
        <v>0</v>
      </c>
      <c r="J326" s="32">
        <v>16</v>
      </c>
      <c r="K326" s="32" t="s">
        <v>693</v>
      </c>
      <c r="L326" s="143" t="s">
        <v>929</v>
      </c>
      <c r="M326" s="143" t="s">
        <v>989</v>
      </c>
    </row>
    <row r="327" spans="1:13">
      <c r="A327" s="143"/>
      <c r="B327" s="143"/>
      <c r="C327" s="143"/>
      <c r="D327" s="143"/>
      <c r="E327" s="32"/>
      <c r="F327" s="32" t="s">
        <v>696</v>
      </c>
      <c r="G327" s="211" t="s">
        <v>988</v>
      </c>
      <c r="H327" s="32">
        <v>31</v>
      </c>
      <c r="I327" s="32">
        <v>16</v>
      </c>
      <c r="J327" s="32">
        <v>16</v>
      </c>
      <c r="K327" s="32" t="s">
        <v>693</v>
      </c>
      <c r="L327" s="143" t="s">
        <v>929</v>
      </c>
      <c r="M327" s="143" t="s">
        <v>990</v>
      </c>
    </row>
    <row r="328" spans="1:13">
      <c r="A328" s="143" t="s">
        <v>1101</v>
      </c>
      <c r="B328" s="143" t="s">
        <v>1101</v>
      </c>
      <c r="C328" s="145" t="s">
        <v>1146</v>
      </c>
      <c r="D328" s="145" t="s">
        <v>1135</v>
      </c>
      <c r="E328" s="32"/>
      <c r="F328" s="32" t="s">
        <v>696</v>
      </c>
      <c r="G328" s="211" t="s">
        <v>991</v>
      </c>
      <c r="H328" s="32">
        <v>0</v>
      </c>
      <c r="I328" s="32">
        <v>0</v>
      </c>
      <c r="J328" s="32">
        <v>1</v>
      </c>
      <c r="K328" s="32" t="s">
        <v>693</v>
      </c>
      <c r="L328" s="143" t="s">
        <v>993</v>
      </c>
      <c r="M328" s="143" t="s">
        <v>994</v>
      </c>
    </row>
    <row r="329" spans="1:13">
      <c r="A329" s="32"/>
      <c r="B329" s="32"/>
      <c r="C329" s="32"/>
      <c r="D329" s="32"/>
      <c r="E329" s="32"/>
      <c r="F329" s="32" t="s">
        <v>696</v>
      </c>
      <c r="G329" s="211" t="s">
        <v>992</v>
      </c>
      <c r="H329" s="32">
        <v>1</v>
      </c>
      <c r="I329" s="32">
        <v>1</v>
      </c>
      <c r="J329" s="32">
        <v>1</v>
      </c>
      <c r="K329" s="32" t="s">
        <v>693</v>
      </c>
      <c r="L329" s="143" t="s">
        <v>993</v>
      </c>
      <c r="M329" s="143" t="s">
        <v>995</v>
      </c>
    </row>
    <row r="330" spans="1:13">
      <c r="A330" s="143" t="s">
        <v>1102</v>
      </c>
      <c r="B330" s="143" t="s">
        <v>1102</v>
      </c>
      <c r="C330" s="145" t="s">
        <v>1147</v>
      </c>
      <c r="D330" s="145" t="s">
        <v>1136</v>
      </c>
      <c r="E330" s="32"/>
      <c r="F330" s="32" t="s">
        <v>696</v>
      </c>
      <c r="G330" s="211" t="s">
        <v>1262</v>
      </c>
      <c r="H330" s="32">
        <v>31</v>
      </c>
      <c r="I330" s="32">
        <v>0</v>
      </c>
      <c r="J330" s="32">
        <v>32</v>
      </c>
      <c r="K330" s="32" t="s">
        <v>693</v>
      </c>
      <c r="L330" s="32" t="s">
        <v>698</v>
      </c>
      <c r="M330" s="144" t="s">
        <v>1581</v>
      </c>
    </row>
    <row r="331" spans="1:13">
      <c r="A331" s="143" t="s">
        <v>1103</v>
      </c>
      <c r="B331" s="143" t="s">
        <v>1103</v>
      </c>
      <c r="C331" s="145" t="s">
        <v>1148</v>
      </c>
      <c r="D331" s="145" t="s">
        <v>1137</v>
      </c>
      <c r="E331" s="32"/>
      <c r="F331" s="32" t="s">
        <v>696</v>
      </c>
      <c r="G331" s="211" t="s">
        <v>1577</v>
      </c>
      <c r="H331" s="32">
        <v>3</v>
      </c>
      <c r="I331" s="32">
        <v>0</v>
      </c>
      <c r="J331" s="32">
        <v>4</v>
      </c>
      <c r="K331" s="32" t="s">
        <v>693</v>
      </c>
      <c r="L331" s="32" t="s">
        <v>698</v>
      </c>
      <c r="M331" s="144" t="s">
        <v>1582</v>
      </c>
    </row>
    <row r="332" spans="1:13">
      <c r="A332" s="143" t="s">
        <v>1104</v>
      </c>
      <c r="B332" s="143" t="s">
        <v>1104</v>
      </c>
      <c r="C332" s="145" t="s">
        <v>1149</v>
      </c>
      <c r="D332" s="145" t="s">
        <v>1138</v>
      </c>
      <c r="E332" s="32"/>
      <c r="F332" s="32" t="s">
        <v>696</v>
      </c>
      <c r="G332" s="211" t="s">
        <v>1005</v>
      </c>
      <c r="H332" s="32">
        <v>31</v>
      </c>
      <c r="I332" s="32">
        <v>0</v>
      </c>
      <c r="J332" s="32">
        <v>32</v>
      </c>
      <c r="K332" s="32" t="s">
        <v>693</v>
      </c>
      <c r="L332" s="32" t="s">
        <v>698</v>
      </c>
      <c r="M332" s="144" t="s">
        <v>1583</v>
      </c>
    </row>
    <row r="333" spans="1:13">
      <c r="A333" s="143" t="s">
        <v>1105</v>
      </c>
      <c r="B333" s="143" t="s">
        <v>1105</v>
      </c>
      <c r="C333" s="145" t="s">
        <v>1150</v>
      </c>
      <c r="D333" s="145" t="s">
        <v>1139</v>
      </c>
      <c r="E333" s="32"/>
      <c r="F333" s="32" t="s">
        <v>696</v>
      </c>
      <c r="G333" s="211" t="s">
        <v>1576</v>
      </c>
      <c r="H333" s="32">
        <v>3</v>
      </c>
      <c r="I333" s="32">
        <v>0</v>
      </c>
      <c r="J333" s="32">
        <v>4</v>
      </c>
      <c r="K333" s="32" t="s">
        <v>693</v>
      </c>
      <c r="L333" s="32" t="s">
        <v>698</v>
      </c>
      <c r="M333" s="144" t="s">
        <v>1584</v>
      </c>
    </row>
    <row r="334" spans="1:13" s="151" customFormat="1">
      <c r="A334" s="143" t="s">
        <v>1106</v>
      </c>
      <c r="B334" s="143" t="s">
        <v>1106</v>
      </c>
      <c r="C334" s="145" t="s">
        <v>1151</v>
      </c>
      <c r="D334" s="145" t="s">
        <v>1140</v>
      </c>
      <c r="E334" s="32"/>
      <c r="F334" s="32" t="s">
        <v>696</v>
      </c>
      <c r="G334" s="211" t="s">
        <v>1004</v>
      </c>
      <c r="H334" s="32">
        <v>31</v>
      </c>
      <c r="I334" s="32">
        <v>0</v>
      </c>
      <c r="J334" s="32">
        <v>32</v>
      </c>
      <c r="K334" s="32" t="s">
        <v>693</v>
      </c>
      <c r="L334" s="32" t="s">
        <v>698</v>
      </c>
      <c r="M334" s="144" t="s">
        <v>1585</v>
      </c>
    </row>
    <row r="335" spans="1:13" s="151" customFormat="1">
      <c r="A335" s="143" t="s">
        <v>1107</v>
      </c>
      <c r="B335" s="143" t="s">
        <v>1107</v>
      </c>
      <c r="C335" s="145" t="s">
        <v>1152</v>
      </c>
      <c r="D335" s="145" t="s">
        <v>1141</v>
      </c>
      <c r="E335" s="32"/>
      <c r="F335" s="32" t="s">
        <v>696</v>
      </c>
      <c r="G335" s="211" t="s">
        <v>1578</v>
      </c>
      <c r="H335" s="32">
        <v>3</v>
      </c>
      <c r="I335" s="32">
        <v>0</v>
      </c>
      <c r="J335" s="32">
        <v>4</v>
      </c>
      <c r="K335" s="32" t="s">
        <v>693</v>
      </c>
      <c r="L335" s="32" t="s">
        <v>698</v>
      </c>
      <c r="M335" s="144" t="s">
        <v>1586</v>
      </c>
    </row>
    <row r="336" spans="1:13" s="151" customFormat="1">
      <c r="A336" s="143" t="s">
        <v>1108</v>
      </c>
      <c r="B336" s="143" t="s">
        <v>1108</v>
      </c>
      <c r="C336" s="145" t="s">
        <v>1153</v>
      </c>
      <c r="D336" s="145" t="s">
        <v>1142</v>
      </c>
      <c r="E336" s="32"/>
      <c r="F336" s="32" t="s">
        <v>696</v>
      </c>
      <c r="G336" s="211" t="s">
        <v>1006</v>
      </c>
      <c r="H336" s="32">
        <v>31</v>
      </c>
      <c r="I336" s="32">
        <v>0</v>
      </c>
      <c r="J336" s="32">
        <v>32</v>
      </c>
      <c r="K336" s="32" t="s">
        <v>693</v>
      </c>
      <c r="L336" s="32" t="s">
        <v>698</v>
      </c>
      <c r="M336" s="144" t="s">
        <v>1587</v>
      </c>
    </row>
    <row r="337" spans="1:69" s="151" customFormat="1">
      <c r="A337" s="143" t="s">
        <v>1256</v>
      </c>
      <c r="B337" s="143" t="s">
        <v>1256</v>
      </c>
      <c r="C337" s="145" t="s">
        <v>1258</v>
      </c>
      <c r="D337" s="145" t="s">
        <v>1260</v>
      </c>
      <c r="E337" s="32"/>
      <c r="F337" s="32" t="s">
        <v>696</v>
      </c>
      <c r="G337" s="211" t="s">
        <v>1579</v>
      </c>
      <c r="H337" s="32">
        <v>3</v>
      </c>
      <c r="I337" s="32">
        <v>0</v>
      </c>
      <c r="J337" s="32">
        <v>4</v>
      </c>
      <c r="K337" s="32" t="s">
        <v>693</v>
      </c>
      <c r="L337" s="32" t="s">
        <v>698</v>
      </c>
      <c r="M337" s="144" t="s">
        <v>1588</v>
      </c>
    </row>
    <row r="338" spans="1:69" s="151" customFormat="1">
      <c r="A338" s="143" t="s">
        <v>1257</v>
      </c>
      <c r="B338" s="143" t="s">
        <v>1257</v>
      </c>
      <c r="C338" s="145" t="s">
        <v>1259</v>
      </c>
      <c r="D338" s="145" t="s">
        <v>1261</v>
      </c>
      <c r="E338" s="32"/>
      <c r="F338" s="32" t="s">
        <v>696</v>
      </c>
      <c r="G338" s="211" t="s">
        <v>971</v>
      </c>
      <c r="H338" s="32">
        <v>31</v>
      </c>
      <c r="I338" s="32">
        <v>0</v>
      </c>
      <c r="J338" s="32">
        <v>32</v>
      </c>
      <c r="K338" s="32" t="s">
        <v>693</v>
      </c>
      <c r="L338" s="143" t="s">
        <v>972</v>
      </c>
      <c r="M338" s="143" t="s">
        <v>973</v>
      </c>
    </row>
    <row r="339" spans="1:69" s="151" customFormat="1">
      <c r="A339" s="143" t="s">
        <v>1483</v>
      </c>
      <c r="B339" s="143" t="s">
        <v>1483</v>
      </c>
      <c r="C339" s="145" t="s">
        <v>1481</v>
      </c>
      <c r="D339" s="145" t="s">
        <v>1482</v>
      </c>
      <c r="E339" s="32"/>
      <c r="F339" s="32" t="s">
        <v>696</v>
      </c>
      <c r="G339" s="212" t="s">
        <v>1479</v>
      </c>
      <c r="H339" s="143">
        <v>7</v>
      </c>
      <c r="I339" s="32">
        <v>0</v>
      </c>
      <c r="J339" s="32">
        <v>8</v>
      </c>
      <c r="K339" s="150" t="s">
        <v>1774</v>
      </c>
      <c r="L339" s="143" t="s">
        <v>972</v>
      </c>
      <c r="M339" s="127" t="s">
        <v>1479</v>
      </c>
    </row>
    <row r="340" spans="1:69">
      <c r="A340" s="143"/>
      <c r="B340" s="143"/>
      <c r="C340" s="145"/>
      <c r="D340" s="145"/>
      <c r="E340" s="32"/>
      <c r="F340" s="32" t="s">
        <v>696</v>
      </c>
      <c r="G340" s="212" t="s">
        <v>1480</v>
      </c>
      <c r="H340" s="143">
        <v>15</v>
      </c>
      <c r="I340" s="32">
        <v>8</v>
      </c>
      <c r="J340" s="32">
        <v>8</v>
      </c>
      <c r="K340" s="143" t="s">
        <v>1774</v>
      </c>
      <c r="L340" s="143" t="s">
        <v>972</v>
      </c>
      <c r="M340" s="127" t="s">
        <v>1480</v>
      </c>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row>
    <row r="341" spans="1:69">
      <c r="A341" s="143" t="s">
        <v>1484</v>
      </c>
      <c r="B341" s="143" t="s">
        <v>1484</v>
      </c>
      <c r="C341" s="145" t="s">
        <v>1485</v>
      </c>
      <c r="D341" s="145" t="s">
        <v>1486</v>
      </c>
      <c r="E341" s="32"/>
      <c r="F341" s="32" t="s">
        <v>696</v>
      </c>
      <c r="G341" s="212" t="s">
        <v>1491</v>
      </c>
      <c r="H341" s="32">
        <v>23</v>
      </c>
      <c r="I341" s="32">
        <v>0</v>
      </c>
      <c r="J341" s="32">
        <v>24</v>
      </c>
      <c r="K341" s="150" t="s">
        <v>1290</v>
      </c>
      <c r="L341" s="143" t="s">
        <v>972</v>
      </c>
      <c r="M341" s="127" t="s">
        <v>1491</v>
      </c>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row>
    <row r="342" spans="1:69">
      <c r="A342" s="143" t="s">
        <v>1488</v>
      </c>
      <c r="B342" s="143" t="s">
        <v>1488</v>
      </c>
      <c r="C342" s="145" t="s">
        <v>1489</v>
      </c>
      <c r="D342" s="145" t="s">
        <v>1490</v>
      </c>
      <c r="E342" s="32"/>
      <c r="F342" s="32" t="s">
        <v>696</v>
      </c>
      <c r="G342" s="212" t="s">
        <v>1487</v>
      </c>
      <c r="H342" s="32">
        <v>23</v>
      </c>
      <c r="I342" s="32">
        <v>0</v>
      </c>
      <c r="J342" s="32">
        <v>24</v>
      </c>
      <c r="K342" s="150" t="s">
        <v>1290</v>
      </c>
      <c r="L342" s="143" t="s">
        <v>972</v>
      </c>
      <c r="M342" s="127" t="s">
        <v>1487</v>
      </c>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row>
    <row r="343" spans="1:69">
      <c r="A343" s="143" t="s">
        <v>1492</v>
      </c>
      <c r="B343" s="143" t="s">
        <v>1492</v>
      </c>
      <c r="C343" s="145" t="s">
        <v>1494</v>
      </c>
      <c r="D343" s="145" t="s">
        <v>1495</v>
      </c>
      <c r="E343" s="32"/>
      <c r="F343" s="32" t="s">
        <v>696</v>
      </c>
      <c r="G343" s="212" t="s">
        <v>1589</v>
      </c>
      <c r="H343" s="32">
        <v>23</v>
      </c>
      <c r="I343" s="32">
        <v>0</v>
      </c>
      <c r="J343" s="32">
        <v>24</v>
      </c>
      <c r="K343" s="150" t="s">
        <v>1290</v>
      </c>
      <c r="L343" s="143" t="s">
        <v>972</v>
      </c>
      <c r="M343" s="127" t="s">
        <v>1534</v>
      </c>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row>
    <row r="344" spans="1:69">
      <c r="A344" s="143" t="s">
        <v>1493</v>
      </c>
      <c r="B344" s="143" t="s">
        <v>1493</v>
      </c>
      <c r="C344" s="145" t="s">
        <v>1496</v>
      </c>
      <c r="D344" s="145" t="s">
        <v>1497</v>
      </c>
      <c r="E344" s="32"/>
      <c r="F344" s="32" t="s">
        <v>696</v>
      </c>
      <c r="G344" s="212" t="s">
        <v>1590</v>
      </c>
      <c r="H344" s="32">
        <v>23</v>
      </c>
      <c r="I344" s="32">
        <v>0</v>
      </c>
      <c r="J344" s="32">
        <v>24</v>
      </c>
      <c r="K344" s="150" t="s">
        <v>1290</v>
      </c>
      <c r="L344" s="143" t="s">
        <v>972</v>
      </c>
      <c r="M344" s="127" t="s">
        <v>1535</v>
      </c>
    </row>
    <row r="345" spans="1:69">
      <c r="A345" s="143" t="s">
        <v>1516</v>
      </c>
      <c r="B345" s="143" t="s">
        <v>1516</v>
      </c>
      <c r="C345" s="145" t="s">
        <v>1517</v>
      </c>
      <c r="D345" s="145" t="s">
        <v>1518</v>
      </c>
      <c r="E345" s="32"/>
      <c r="F345" s="32" t="s">
        <v>696</v>
      </c>
      <c r="G345" s="212" t="s">
        <v>1536</v>
      </c>
      <c r="H345" s="32">
        <v>23</v>
      </c>
      <c r="I345" s="32">
        <v>0</v>
      </c>
      <c r="J345" s="32">
        <v>24</v>
      </c>
      <c r="K345" s="150" t="s">
        <v>1290</v>
      </c>
      <c r="L345" s="143" t="s">
        <v>972</v>
      </c>
      <c r="M345" s="127" t="s">
        <v>1537</v>
      </c>
    </row>
    <row r="346" spans="1:69">
      <c r="A346" s="143" t="s">
        <v>1649</v>
      </c>
      <c r="B346" s="143" t="s">
        <v>1649</v>
      </c>
      <c r="C346" s="145" t="s">
        <v>1651</v>
      </c>
      <c r="D346" s="145" t="s">
        <v>1653</v>
      </c>
      <c r="E346" s="32"/>
      <c r="F346" s="32" t="s">
        <v>696</v>
      </c>
      <c r="G346" s="211" t="s">
        <v>1655</v>
      </c>
      <c r="H346" s="32">
        <v>0</v>
      </c>
      <c r="I346" s="32">
        <v>0</v>
      </c>
      <c r="J346" s="32">
        <v>1</v>
      </c>
      <c r="K346" s="143" t="s">
        <v>1623</v>
      </c>
      <c r="L346" s="143" t="s">
        <v>1294</v>
      </c>
      <c r="M346" s="143" t="s">
        <v>544</v>
      </c>
    </row>
    <row r="347" spans="1:69" ht="99">
      <c r="A347" s="32"/>
      <c r="B347" s="32"/>
      <c r="C347" s="32"/>
      <c r="D347" s="32"/>
      <c r="E347" s="32"/>
      <c r="F347" s="32" t="s">
        <v>696</v>
      </c>
      <c r="G347" s="211" t="s">
        <v>1657</v>
      </c>
      <c r="H347" s="32">
        <v>2</v>
      </c>
      <c r="I347" s="32">
        <v>1</v>
      </c>
      <c r="J347" s="32">
        <v>2</v>
      </c>
      <c r="K347" s="143" t="s">
        <v>921</v>
      </c>
      <c r="L347" s="32" t="s">
        <v>698</v>
      </c>
      <c r="M347" s="69" t="s">
        <v>1646</v>
      </c>
    </row>
    <row r="348" spans="1:69">
      <c r="A348" s="143" t="s">
        <v>1650</v>
      </c>
      <c r="B348" s="143" t="s">
        <v>1650</v>
      </c>
      <c r="C348" s="145" t="s">
        <v>1652</v>
      </c>
      <c r="D348" s="145" t="s">
        <v>1654</v>
      </c>
      <c r="E348" s="32"/>
      <c r="F348" s="32" t="s">
        <v>696</v>
      </c>
      <c r="G348" s="211" t="s">
        <v>1656</v>
      </c>
      <c r="H348" s="32">
        <v>0</v>
      </c>
      <c r="I348" s="32">
        <v>0</v>
      </c>
      <c r="J348" s="32">
        <v>1</v>
      </c>
      <c r="K348" s="143" t="s">
        <v>1623</v>
      </c>
      <c r="L348" s="143" t="s">
        <v>1294</v>
      </c>
      <c r="M348" s="143" t="s">
        <v>544</v>
      </c>
    </row>
    <row r="349" spans="1:69" ht="99">
      <c r="A349" s="32"/>
      <c r="B349" s="32"/>
      <c r="C349" s="32"/>
      <c r="D349" s="32"/>
      <c r="E349" s="32"/>
      <c r="F349" s="32" t="s">
        <v>696</v>
      </c>
      <c r="G349" s="211" t="s">
        <v>1658</v>
      </c>
      <c r="H349" s="32">
        <v>2</v>
      </c>
      <c r="I349" s="32">
        <v>1</v>
      </c>
      <c r="J349" s="32">
        <v>2</v>
      </c>
      <c r="K349" s="143" t="s">
        <v>921</v>
      </c>
      <c r="L349" s="32" t="s">
        <v>698</v>
      </c>
      <c r="M349" s="69" t="s">
        <v>1646</v>
      </c>
    </row>
    <row r="350" spans="1:69">
      <c r="A350" s="143" t="s">
        <v>1732</v>
      </c>
      <c r="B350" s="143" t="s">
        <v>1732</v>
      </c>
      <c r="C350" s="145" t="s">
        <v>1733</v>
      </c>
      <c r="D350" s="145" t="s">
        <v>1734</v>
      </c>
      <c r="E350" s="32"/>
      <c r="F350" s="32" t="s">
        <v>966</v>
      </c>
      <c r="G350" s="212" t="s">
        <v>1474</v>
      </c>
      <c r="H350" s="32">
        <v>0</v>
      </c>
      <c r="I350" s="32">
        <v>0</v>
      </c>
      <c r="J350" s="32">
        <v>1</v>
      </c>
      <c r="K350" s="32" t="s">
        <v>921</v>
      </c>
      <c r="L350" s="143" t="s">
        <v>993</v>
      </c>
      <c r="M350" s="144" t="s">
        <v>1278</v>
      </c>
    </row>
    <row r="351" spans="1:69">
      <c r="A351" s="143" t="s">
        <v>1129</v>
      </c>
      <c r="B351" s="143" t="s">
        <v>1129</v>
      </c>
      <c r="C351" s="145" t="s">
        <v>1264</v>
      </c>
      <c r="D351" s="143" t="s">
        <v>1143</v>
      </c>
      <c r="E351" s="32"/>
      <c r="F351" s="32" t="s">
        <v>696</v>
      </c>
      <c r="G351" s="211" t="s">
        <v>1130</v>
      </c>
      <c r="H351" s="32">
        <v>3</v>
      </c>
      <c r="I351" s="32">
        <v>0</v>
      </c>
      <c r="J351" s="32">
        <v>4</v>
      </c>
      <c r="K351" s="143" t="s">
        <v>1265</v>
      </c>
      <c r="L351" s="32" t="s">
        <v>698</v>
      </c>
      <c r="M351" s="143" t="s">
        <v>1132</v>
      </c>
    </row>
    <row r="352" spans="1:69">
      <c r="B352" s="32"/>
      <c r="C352" s="32"/>
      <c r="D352" s="32"/>
      <c r="E352" s="32"/>
      <c r="F352" s="32" t="s">
        <v>696</v>
      </c>
      <c r="G352" s="211" t="s">
        <v>1746</v>
      </c>
      <c r="H352" s="32">
        <v>7</v>
      </c>
      <c r="I352" s="32">
        <v>4</v>
      </c>
      <c r="J352" s="32">
        <v>4</v>
      </c>
      <c r="K352" s="143" t="s">
        <v>1265</v>
      </c>
      <c r="L352" s="32" t="s">
        <v>698</v>
      </c>
      <c r="M352" s="143" t="s">
        <v>1131</v>
      </c>
    </row>
    <row r="353" spans="1:13" ht="54.75">
      <c r="A353" s="32"/>
      <c r="B353" s="32"/>
      <c r="C353" s="32"/>
      <c r="D353" s="32"/>
      <c r="E353" s="32"/>
      <c r="F353" s="32" t="s">
        <v>696</v>
      </c>
      <c r="G353" s="143" t="s">
        <v>1744</v>
      </c>
      <c r="H353" s="32">
        <v>9</v>
      </c>
      <c r="I353" s="32">
        <v>8</v>
      </c>
      <c r="J353" s="32">
        <v>2</v>
      </c>
      <c r="K353" s="32" t="s">
        <v>693</v>
      </c>
      <c r="L353" s="32" t="s">
        <v>698</v>
      </c>
      <c r="M353" s="144" t="s">
        <v>1743</v>
      </c>
    </row>
    <row r="354" spans="1:13">
      <c r="A354" s="32"/>
      <c r="B354" s="32"/>
      <c r="C354" s="32"/>
      <c r="D354" s="32"/>
      <c r="E354" s="32"/>
      <c r="F354" s="32" t="s">
        <v>696</v>
      </c>
      <c r="G354" s="143" t="s">
        <v>923</v>
      </c>
      <c r="H354" s="32">
        <v>10</v>
      </c>
      <c r="I354" s="32">
        <v>10</v>
      </c>
      <c r="J354" s="32">
        <v>1</v>
      </c>
      <c r="K354" s="32" t="s">
        <v>693</v>
      </c>
      <c r="L354" s="32" t="s">
        <v>698</v>
      </c>
      <c r="M354" s="144" t="s">
        <v>924</v>
      </c>
    </row>
    <row r="355" spans="1:13">
      <c r="A355" s="32" t="s">
        <v>920</v>
      </c>
      <c r="B355" s="32"/>
      <c r="C355" s="32"/>
      <c r="D355" s="32"/>
      <c r="E355" s="32"/>
      <c r="F355" s="32"/>
      <c r="G355" s="32"/>
      <c r="H355" s="32"/>
      <c r="I355" s="32"/>
      <c r="J355" s="32"/>
      <c r="K355" s="32"/>
      <c r="L355" s="32"/>
      <c r="M355" s="32"/>
    </row>
    <row r="356" spans="1:13">
      <c r="A356" s="32"/>
      <c r="B356" s="32"/>
      <c r="C356" s="32"/>
      <c r="D356" s="32"/>
      <c r="E356" s="32"/>
      <c r="F356" s="32"/>
      <c r="G356" s="32"/>
      <c r="H356" s="32"/>
      <c r="I356" s="32"/>
      <c r="J356" s="32"/>
      <c r="K356" s="32"/>
      <c r="L356" s="32"/>
      <c r="M356" s="32"/>
    </row>
    <row r="357" spans="1:13">
      <c r="A357" s="32"/>
      <c r="B357" s="32"/>
      <c r="C357" s="32"/>
      <c r="D357" s="32"/>
      <c r="E357" s="32"/>
      <c r="F357" s="32"/>
      <c r="G357" s="32"/>
      <c r="H357" s="32"/>
      <c r="I357" s="32"/>
      <c r="J357" s="32"/>
      <c r="K357" s="32"/>
      <c r="L357" s="32"/>
      <c r="M357" s="32"/>
    </row>
    <row r="358" spans="1:13">
      <c r="A358" s="32"/>
      <c r="B358" s="32"/>
      <c r="C358" s="32"/>
      <c r="D358" s="32"/>
      <c r="E358" s="32"/>
      <c r="F358" s="32"/>
      <c r="G358" s="32"/>
      <c r="H358" s="32"/>
      <c r="I358" s="32"/>
      <c r="J358" s="32"/>
      <c r="K358" s="32"/>
      <c r="L358" s="32"/>
      <c r="M358" s="32"/>
    </row>
    <row r="359" spans="1:13">
      <c r="A359" s="32"/>
      <c r="B359" s="32"/>
      <c r="C359" s="32"/>
      <c r="D359" s="32"/>
      <c r="E359" s="32"/>
      <c r="F359" s="32"/>
      <c r="G359" s="32"/>
      <c r="H359" s="32"/>
      <c r="I359" s="32"/>
      <c r="J359" s="32"/>
      <c r="K359" s="32"/>
      <c r="L359" s="32"/>
      <c r="M359" s="32"/>
    </row>
    <row r="360" spans="1:13">
      <c r="A360" s="32"/>
      <c r="B360" s="32"/>
      <c r="C360" s="32"/>
      <c r="D360" s="32"/>
      <c r="E360" s="32"/>
      <c r="F360" s="32"/>
      <c r="G360" s="32"/>
      <c r="H360" s="32"/>
      <c r="I360" s="32"/>
      <c r="J360" s="32"/>
      <c r="K360" s="32"/>
      <c r="L360" s="32"/>
      <c r="M360" s="32"/>
    </row>
    <row r="361" spans="1:13">
      <c r="A361" s="32"/>
      <c r="B361" s="32"/>
      <c r="C361" s="32"/>
      <c r="D361" s="32"/>
      <c r="E361" s="32"/>
      <c r="F361" s="32"/>
      <c r="G361" s="32"/>
      <c r="H361" s="32"/>
      <c r="I361" s="32"/>
      <c r="J361" s="32"/>
      <c r="K361" s="32"/>
      <c r="L361" s="32"/>
      <c r="M361" s="32"/>
    </row>
    <row r="362" spans="1:13">
      <c r="A362" s="32"/>
      <c r="B362" s="32"/>
      <c r="C362" s="32"/>
      <c r="D362" s="32"/>
      <c r="E362" s="32"/>
      <c r="F362" s="32"/>
      <c r="G362" s="32"/>
      <c r="H362" s="32"/>
      <c r="I362" s="32"/>
      <c r="J362" s="32"/>
      <c r="K362" s="32"/>
      <c r="L362" s="32"/>
      <c r="M362" s="32"/>
    </row>
    <row r="363" spans="1:13">
      <c r="A363" s="32"/>
      <c r="B363" s="32"/>
      <c r="C363" s="32"/>
      <c r="D363" s="32"/>
      <c r="E363" s="32"/>
      <c r="F363" s="32"/>
      <c r="G363" s="32"/>
      <c r="H363" s="32"/>
      <c r="I363" s="32"/>
      <c r="J363" s="32"/>
      <c r="K363" s="32"/>
      <c r="L363" s="32"/>
      <c r="M363" s="32"/>
    </row>
    <row r="364" spans="1:13">
      <c r="A364" s="32"/>
      <c r="B364" s="32"/>
      <c r="C364" s="32"/>
      <c r="D364" s="32"/>
      <c r="E364" s="32"/>
      <c r="F364" s="32"/>
      <c r="G364" s="32"/>
      <c r="H364" s="32"/>
      <c r="I364" s="32"/>
      <c r="J364" s="32"/>
      <c r="K364" s="32"/>
      <c r="L364" s="32"/>
      <c r="M364" s="32"/>
    </row>
    <row r="365" spans="1:13">
      <c r="A365" s="32"/>
      <c r="B365" s="32"/>
      <c r="C365" s="32"/>
      <c r="D365" s="32"/>
      <c r="E365" s="32"/>
      <c r="F365" s="32"/>
      <c r="G365" s="32"/>
      <c r="H365" s="32"/>
      <c r="I365" s="32"/>
      <c r="J365" s="32"/>
      <c r="K365" s="32"/>
      <c r="L365" s="32"/>
      <c r="M365" s="32"/>
    </row>
    <row r="366" spans="1:13">
      <c r="A366" s="32"/>
      <c r="B366" s="32"/>
      <c r="C366" s="32"/>
      <c r="D366" s="32"/>
      <c r="E366" s="32"/>
      <c r="F366" s="32"/>
      <c r="G366" s="32"/>
      <c r="H366" s="32"/>
      <c r="I366" s="32"/>
      <c r="J366" s="32"/>
      <c r="K366" s="32"/>
      <c r="L366" s="32"/>
      <c r="M366" s="32"/>
    </row>
    <row r="367" spans="1:13">
      <c r="A367" s="32"/>
      <c r="B367" s="32"/>
      <c r="C367" s="32"/>
      <c r="D367" s="32"/>
      <c r="E367" s="32"/>
      <c r="F367" s="32"/>
      <c r="G367" s="32"/>
      <c r="H367" s="32"/>
      <c r="I367" s="32"/>
      <c r="J367" s="32"/>
      <c r="K367" s="32"/>
      <c r="L367" s="32"/>
      <c r="M367" s="32"/>
    </row>
    <row r="368" spans="1:13">
      <c r="A368" s="32"/>
      <c r="B368" s="32"/>
      <c r="C368" s="32"/>
      <c r="D368" s="32"/>
      <c r="E368" s="32"/>
      <c r="F368" s="32"/>
      <c r="G368" s="32"/>
      <c r="H368" s="32"/>
      <c r="I368" s="32"/>
      <c r="J368" s="32"/>
      <c r="K368" s="32"/>
      <c r="L368" s="32"/>
      <c r="M368" s="32"/>
    </row>
    <row r="369" spans="1:13">
      <c r="A369" s="32"/>
      <c r="B369" s="32"/>
      <c r="C369" s="32"/>
      <c r="D369" s="32"/>
      <c r="E369" s="32"/>
      <c r="F369" s="32"/>
      <c r="G369" s="32"/>
      <c r="H369" s="32"/>
      <c r="I369" s="32"/>
      <c r="J369" s="32"/>
      <c r="K369" s="32"/>
      <c r="L369" s="32"/>
      <c r="M369" s="32"/>
    </row>
    <row r="370" spans="1:13">
      <c r="A370" s="32"/>
      <c r="B370" s="32"/>
      <c r="C370" s="32"/>
      <c r="D370" s="32"/>
      <c r="E370" s="32"/>
      <c r="F370" s="32"/>
      <c r="G370" s="32"/>
      <c r="H370" s="32"/>
      <c r="I370" s="32"/>
      <c r="J370" s="32"/>
      <c r="K370" s="32"/>
      <c r="L370" s="32"/>
      <c r="M370" s="32"/>
    </row>
    <row r="371" spans="1:13">
      <c r="A371" s="32"/>
      <c r="B371" s="32"/>
      <c r="C371" s="32"/>
      <c r="D371" s="32"/>
      <c r="E371" s="32"/>
      <c r="F371" s="32"/>
      <c r="G371" s="32"/>
      <c r="H371" s="32"/>
      <c r="I371" s="32"/>
      <c r="J371" s="32"/>
      <c r="K371" s="32"/>
      <c r="L371" s="32"/>
      <c r="M371" s="32"/>
    </row>
    <row r="372" spans="1:13">
      <c r="A372" s="32"/>
      <c r="B372" s="32"/>
      <c r="C372" s="32"/>
      <c r="D372" s="32"/>
      <c r="E372" s="32"/>
      <c r="F372" s="32"/>
      <c r="G372" s="32"/>
      <c r="H372" s="32"/>
      <c r="I372" s="32"/>
      <c r="J372" s="32"/>
      <c r="K372" s="32"/>
      <c r="L372" s="32"/>
      <c r="M372" s="32"/>
    </row>
    <row r="373" spans="1:13">
      <c r="A373" s="32"/>
      <c r="B373" s="32"/>
      <c r="C373" s="32"/>
      <c r="D373" s="32"/>
      <c r="E373" s="32"/>
      <c r="F373" s="32"/>
      <c r="G373" s="32"/>
      <c r="H373" s="32"/>
      <c r="I373" s="32"/>
      <c r="J373" s="32"/>
      <c r="K373" s="32"/>
      <c r="L373" s="32"/>
      <c r="M373" s="32"/>
    </row>
    <row r="374" spans="1:13">
      <c r="A374" s="32"/>
      <c r="B374" s="32"/>
      <c r="C374" s="32"/>
      <c r="D374" s="32"/>
      <c r="E374" s="32"/>
      <c r="F374" s="32"/>
      <c r="G374" s="32"/>
      <c r="H374" s="32"/>
      <c r="I374" s="32"/>
      <c r="J374" s="32"/>
      <c r="K374" s="32"/>
      <c r="L374" s="32"/>
      <c r="M374" s="32"/>
    </row>
    <row r="375" spans="1:13">
      <c r="A375" s="32"/>
      <c r="B375" s="32"/>
      <c r="C375" s="32"/>
      <c r="D375" s="32"/>
      <c r="E375" s="32"/>
      <c r="F375" s="32"/>
      <c r="G375" s="32"/>
      <c r="H375" s="32"/>
      <c r="I375" s="32"/>
      <c r="J375" s="32"/>
      <c r="K375" s="32"/>
      <c r="L375" s="32"/>
      <c r="M375" s="32"/>
    </row>
    <row r="376" spans="1:13">
      <c r="A376" s="32"/>
      <c r="B376" s="32"/>
      <c r="C376" s="32"/>
      <c r="D376" s="32"/>
      <c r="E376" s="32"/>
      <c r="F376" s="32"/>
      <c r="G376" s="32"/>
      <c r="H376" s="32"/>
      <c r="I376" s="32"/>
      <c r="J376" s="32"/>
      <c r="K376" s="32"/>
      <c r="L376" s="32"/>
      <c r="M376" s="32"/>
    </row>
    <row r="377" spans="1:13">
      <c r="A377" s="32"/>
      <c r="B377" s="32"/>
      <c r="C377" s="32"/>
      <c r="D377" s="32"/>
      <c r="E377" s="32"/>
      <c r="F377" s="32"/>
      <c r="G377" s="32"/>
      <c r="H377" s="32"/>
      <c r="I377" s="32"/>
      <c r="J377" s="32"/>
      <c r="K377" s="32"/>
      <c r="L377" s="32"/>
      <c r="M377" s="32"/>
    </row>
    <row r="378" spans="1:13">
      <c r="A378" s="32"/>
      <c r="B378" s="32"/>
      <c r="C378" s="32"/>
      <c r="D378" s="32"/>
      <c r="E378" s="32"/>
      <c r="F378" s="32"/>
      <c r="G378" s="32"/>
      <c r="H378" s="32"/>
      <c r="I378" s="32"/>
      <c r="J378" s="32"/>
      <c r="K378" s="32"/>
      <c r="L378" s="32"/>
      <c r="M378" s="32"/>
    </row>
    <row r="379" spans="1:13">
      <c r="A379" s="32"/>
      <c r="B379" s="32"/>
      <c r="C379" s="32"/>
      <c r="D379" s="32"/>
      <c r="E379" s="32"/>
      <c r="F379" s="32"/>
      <c r="G379" s="32"/>
      <c r="H379" s="32"/>
      <c r="I379" s="32"/>
      <c r="J379" s="32"/>
      <c r="K379" s="32"/>
      <c r="L379" s="32"/>
      <c r="M379" s="32"/>
    </row>
    <row r="380" spans="1:13">
      <c r="A380" s="32"/>
      <c r="B380" s="32"/>
      <c r="C380" s="32"/>
      <c r="D380" s="32"/>
      <c r="E380" s="32"/>
      <c r="F380" s="32"/>
      <c r="G380" s="32"/>
      <c r="H380" s="32"/>
      <c r="I380" s="32"/>
      <c r="J380" s="32"/>
      <c r="K380" s="32"/>
      <c r="L380" s="32"/>
      <c r="M380" s="32"/>
    </row>
    <row r="381" spans="1:13">
      <c r="A381" s="32"/>
      <c r="B381" s="32"/>
      <c r="C381" s="32"/>
      <c r="D381" s="32"/>
      <c r="E381" s="32"/>
      <c r="F381" s="32"/>
      <c r="G381" s="32"/>
      <c r="H381" s="32"/>
      <c r="I381" s="32"/>
      <c r="J381" s="32"/>
      <c r="K381" s="32"/>
      <c r="L381" s="32"/>
      <c r="M381" s="32"/>
    </row>
    <row r="382" spans="1:13">
      <c r="A382" s="32"/>
      <c r="B382" s="32"/>
      <c r="C382" s="32"/>
      <c r="D382" s="32"/>
      <c r="E382" s="32"/>
      <c r="F382" s="32"/>
      <c r="G382" s="32"/>
      <c r="H382" s="32"/>
      <c r="I382" s="32"/>
      <c r="J382" s="32"/>
      <c r="K382" s="32"/>
      <c r="L382" s="32"/>
      <c r="M382" s="32"/>
    </row>
    <row r="383" spans="1:13">
      <c r="B383" s="32"/>
      <c r="C383" s="32"/>
      <c r="D383" s="32"/>
      <c r="E383" s="32"/>
      <c r="F383" s="32"/>
      <c r="G383" s="32"/>
      <c r="H383" s="32"/>
      <c r="I383" s="32"/>
      <c r="J383" s="32"/>
      <c r="K383" s="32"/>
      <c r="L383" s="32"/>
      <c r="M383" s="32"/>
    </row>
    <row r="384" spans="1:13">
      <c r="A384" s="32"/>
      <c r="B384" s="32"/>
      <c r="C384" s="32"/>
      <c r="D384" s="32"/>
      <c r="E384" s="32"/>
      <c r="F384" s="32"/>
      <c r="G384" s="32"/>
      <c r="H384" s="32"/>
      <c r="I384" s="32"/>
      <c r="J384" s="32"/>
      <c r="K384" s="32"/>
      <c r="L384" s="32"/>
      <c r="M384" s="32"/>
    </row>
    <row r="385" spans="1:13">
      <c r="A385" s="32"/>
      <c r="B385" s="32"/>
      <c r="C385" s="32"/>
      <c r="D385" s="32"/>
      <c r="E385" s="32"/>
      <c r="F385" s="32"/>
      <c r="G385" s="32"/>
      <c r="H385" s="32"/>
      <c r="I385" s="32"/>
      <c r="J385" s="32"/>
      <c r="K385" s="32"/>
      <c r="L385" s="32"/>
      <c r="M385" s="32"/>
    </row>
    <row r="386" spans="1:13">
      <c r="A386" s="32"/>
      <c r="B386" s="32"/>
      <c r="C386" s="32"/>
      <c r="D386" s="32"/>
      <c r="E386" s="32"/>
      <c r="F386" s="32"/>
      <c r="G386" s="32"/>
      <c r="H386" s="32"/>
      <c r="I386" s="32"/>
      <c r="J386" s="32"/>
      <c r="K386" s="32"/>
      <c r="L386" s="32"/>
      <c r="M386" s="32"/>
    </row>
    <row r="387" spans="1:13">
      <c r="A387" s="32"/>
      <c r="B387" s="32"/>
      <c r="C387" s="32"/>
      <c r="D387" s="32"/>
      <c r="E387" s="32"/>
      <c r="F387" s="32"/>
      <c r="G387" s="32"/>
      <c r="H387" s="32"/>
      <c r="I387" s="32"/>
      <c r="J387" s="32"/>
      <c r="K387" s="32"/>
      <c r="L387" s="32"/>
      <c r="M387" s="32"/>
    </row>
    <row r="388" spans="1:13">
      <c r="A388" s="32"/>
      <c r="B388" s="32"/>
      <c r="C388" s="32"/>
      <c r="D388" s="32"/>
      <c r="E388" s="32"/>
      <c r="F388" s="32"/>
      <c r="G388" s="32"/>
      <c r="H388" s="32"/>
      <c r="I388" s="32"/>
      <c r="J388" s="32"/>
      <c r="K388" s="32"/>
      <c r="L388" s="32"/>
      <c r="M388" s="32"/>
    </row>
    <row r="389" spans="1:13">
      <c r="A389" s="32"/>
      <c r="B389" s="32"/>
      <c r="C389" s="32"/>
      <c r="D389" s="32"/>
      <c r="E389" s="32"/>
      <c r="F389" s="32"/>
      <c r="G389" s="32"/>
      <c r="H389" s="32"/>
      <c r="I389" s="32"/>
      <c r="J389" s="32"/>
      <c r="K389" s="32"/>
      <c r="L389" s="32"/>
      <c r="M389" s="32"/>
    </row>
    <row r="390" spans="1:13">
      <c r="A390" s="32"/>
      <c r="B390" s="32"/>
      <c r="C390" s="32"/>
      <c r="D390" s="32"/>
      <c r="E390" s="32"/>
      <c r="F390" s="32"/>
      <c r="G390" s="32"/>
      <c r="H390" s="32"/>
      <c r="I390" s="32"/>
      <c r="J390" s="32"/>
      <c r="K390" s="32"/>
      <c r="L390" s="32"/>
      <c r="M390" s="32"/>
    </row>
    <row r="391" spans="1:13">
      <c r="A391" s="32"/>
      <c r="B391" s="32"/>
      <c r="C391" s="32"/>
      <c r="D391" s="32"/>
      <c r="E391" s="32"/>
      <c r="F391" s="32"/>
      <c r="G391" s="32"/>
      <c r="H391" s="32"/>
      <c r="I391" s="32"/>
      <c r="J391" s="32"/>
      <c r="K391" s="32"/>
      <c r="L391" s="32"/>
      <c r="M391" s="32"/>
    </row>
    <row r="392" spans="1:13">
      <c r="A392" s="32"/>
      <c r="B392" s="32"/>
      <c r="C392" s="32"/>
      <c r="D392" s="32"/>
      <c r="E392" s="32"/>
      <c r="F392" s="32"/>
      <c r="G392" s="32"/>
      <c r="H392" s="32"/>
      <c r="I392" s="32"/>
      <c r="J392" s="32"/>
      <c r="K392" s="32"/>
      <c r="L392" s="32"/>
      <c r="M392" s="32"/>
    </row>
    <row r="393" spans="1:13">
      <c r="A393" s="32"/>
      <c r="B393" s="32"/>
      <c r="C393" s="32"/>
      <c r="D393" s="32"/>
      <c r="E393" s="32"/>
      <c r="F393" s="32"/>
      <c r="G393" s="32"/>
      <c r="H393" s="32"/>
      <c r="I393" s="32"/>
      <c r="J393" s="32"/>
      <c r="K393" s="32"/>
      <c r="L393" s="32"/>
      <c r="M393" s="32"/>
    </row>
    <row r="394" spans="1:13">
      <c r="A394" s="32"/>
      <c r="B394" s="32"/>
      <c r="C394" s="32"/>
      <c r="D394" s="32"/>
      <c r="E394" s="32"/>
      <c r="F394" s="32"/>
      <c r="G394" s="32"/>
      <c r="H394" s="32"/>
      <c r="I394" s="32"/>
      <c r="J394" s="32"/>
      <c r="K394" s="32"/>
      <c r="L394" s="32"/>
      <c r="M394" s="32"/>
    </row>
    <row r="395" spans="1:13">
      <c r="A395" s="32"/>
    </row>
    <row r="396" spans="1:13">
      <c r="A396" s="32"/>
    </row>
  </sheetData>
  <phoneticPr fontId="24"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4"/>
  <sheetViews>
    <sheetView zoomScale="135" zoomScaleNormal="150" workbookViewId="0">
      <pane ySplit="1" topLeftCell="A21" activePane="bottomLeft" state="frozen"/>
      <selection pane="bottomLeft" activeCell="A12" sqref="A12"/>
    </sheetView>
  </sheetViews>
  <sheetFormatPr defaultColWidth="15.5" defaultRowHeight="16.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29" customWidth="1"/>
    <col min="9" max="9" width="9.375" style="30" customWidth="1"/>
    <col min="10" max="10" width="132.125" style="31" customWidth="1"/>
    <col min="11" max="12" width="15.5" style="1"/>
    <col min="13" max="13" width="15.5" style="1" customWidth="1"/>
    <col min="14" max="16384" width="15.5" style="1"/>
  </cols>
  <sheetData>
    <row r="1" spans="1:10">
      <c r="A1" s="3" t="s">
        <v>3</v>
      </c>
      <c r="B1" s="4" t="s">
        <v>4</v>
      </c>
      <c r="C1" s="4" t="s">
        <v>5</v>
      </c>
      <c r="D1" s="4" t="s">
        <v>6</v>
      </c>
      <c r="E1" s="4" t="s">
        <v>7</v>
      </c>
      <c r="F1" s="4" t="s">
        <v>8</v>
      </c>
      <c r="G1" s="4" t="s">
        <v>9</v>
      </c>
      <c r="H1" s="4" t="s">
        <v>10</v>
      </c>
      <c r="I1" s="5" t="s">
        <v>11</v>
      </c>
      <c r="J1" s="19" t="s">
        <v>12</v>
      </c>
    </row>
    <row r="2" spans="1:10" ht="33">
      <c r="A2" s="60" t="s">
        <v>243</v>
      </c>
      <c r="B2" s="7">
        <v>1</v>
      </c>
      <c r="C2" s="7">
        <f t="shared" ref="C2:C33" si="0">D2+B2-1</f>
        <v>0</v>
      </c>
      <c r="D2" s="7">
        <v>0</v>
      </c>
      <c r="E2" s="7">
        <f t="shared" ref="E2:E10" si="1">ROUNDDOWN(C2/32,0)</f>
        <v>0</v>
      </c>
      <c r="F2" s="7">
        <f t="shared" ref="F2:F35" si="2">C2-E2*32</f>
        <v>0</v>
      </c>
      <c r="G2" s="7">
        <f t="shared" ref="G2:G10" si="3">D2-E2*32</f>
        <v>0</v>
      </c>
      <c r="H2" s="7" t="s">
        <v>632</v>
      </c>
      <c r="I2" s="8" t="s">
        <v>13</v>
      </c>
      <c r="J2" s="22" t="s">
        <v>244</v>
      </c>
    </row>
    <row r="3" spans="1:10" ht="49.5">
      <c r="A3" s="60" t="s">
        <v>16</v>
      </c>
      <c r="B3" s="7">
        <v>1</v>
      </c>
      <c r="C3" s="7">
        <f t="shared" ca="1" si="0"/>
        <v>1</v>
      </c>
      <c r="D3" s="7">
        <f ca="1">INDIRECT(ADDRESS(ROW()-1,COLUMN()-1))+1</f>
        <v>1</v>
      </c>
      <c r="E3" s="7">
        <f t="shared" ca="1" si="1"/>
        <v>0</v>
      </c>
      <c r="F3" s="7">
        <f t="shared" ca="1" si="2"/>
        <v>1</v>
      </c>
      <c r="G3" s="7">
        <f t="shared" ca="1" si="3"/>
        <v>1</v>
      </c>
      <c r="H3" s="7" t="s">
        <v>632</v>
      </c>
      <c r="I3" s="8" t="s">
        <v>13</v>
      </c>
      <c r="J3" s="22" t="s">
        <v>406</v>
      </c>
    </row>
    <row r="4" spans="1:10" s="59" customFormat="1" ht="49.5">
      <c r="A4" s="60" t="s">
        <v>318</v>
      </c>
      <c r="B4" s="61">
        <v>1</v>
      </c>
      <c r="C4" s="7">
        <f t="shared" ca="1" si="0"/>
        <v>2</v>
      </c>
      <c r="D4" s="7">
        <f t="shared" ref="D4:D165" ca="1" si="4">INDIRECT(ADDRESS(ROW()-1,COLUMN()-1))+1</f>
        <v>2</v>
      </c>
      <c r="E4" s="61">
        <f t="shared" ca="1" si="1"/>
        <v>0</v>
      </c>
      <c r="F4" s="7">
        <f t="shared" ca="1" si="2"/>
        <v>2</v>
      </c>
      <c r="G4" s="7">
        <f t="shared" ca="1" si="3"/>
        <v>2</v>
      </c>
      <c r="H4" s="61" t="s">
        <v>632</v>
      </c>
      <c r="I4" s="66" t="s">
        <v>319</v>
      </c>
      <c r="J4" s="67" t="s">
        <v>320</v>
      </c>
    </row>
    <row r="5" spans="1:10" s="59" customFormat="1" ht="33">
      <c r="A5" s="60" t="s">
        <v>331</v>
      </c>
      <c r="B5" s="61">
        <v>1</v>
      </c>
      <c r="C5" s="7">
        <f t="shared" ca="1" si="0"/>
        <v>3</v>
      </c>
      <c r="D5" s="7">
        <f ca="1">INDIRECT(ADDRESS(ROW()-1,COLUMN()-1))+1</f>
        <v>3</v>
      </c>
      <c r="E5" s="61">
        <f ca="1">ROUNDDOWN(C5/32,0)</f>
        <v>0</v>
      </c>
      <c r="F5" s="7">
        <f t="shared" ca="1" si="2"/>
        <v>3</v>
      </c>
      <c r="G5" s="7">
        <f ca="1">D5-E5*32</f>
        <v>3</v>
      </c>
      <c r="H5" s="61" t="s">
        <v>10</v>
      </c>
      <c r="I5" s="66" t="s">
        <v>13</v>
      </c>
      <c r="J5" s="67" t="s">
        <v>316</v>
      </c>
    </row>
    <row r="6" spans="1:10" s="59" customFormat="1" ht="33">
      <c r="A6" s="60" t="s">
        <v>494</v>
      </c>
      <c r="B6" s="61">
        <v>1</v>
      </c>
      <c r="C6" s="7">
        <f t="shared" ca="1" si="0"/>
        <v>4</v>
      </c>
      <c r="D6" s="7">
        <f t="shared" ca="1" si="4"/>
        <v>4</v>
      </c>
      <c r="E6" s="61">
        <f ca="1">ROUNDDOWN(C6/32,0)</f>
        <v>0</v>
      </c>
      <c r="F6" s="7">
        <f t="shared" ca="1" si="2"/>
        <v>4</v>
      </c>
      <c r="G6" s="7">
        <f ca="1">D6-E6*32</f>
        <v>4</v>
      </c>
      <c r="H6" s="61" t="s">
        <v>10</v>
      </c>
      <c r="I6" s="66" t="s">
        <v>13</v>
      </c>
      <c r="J6" s="67" t="s">
        <v>495</v>
      </c>
    </row>
    <row r="7" spans="1:10" s="2" customFormat="1" ht="49.5">
      <c r="A7" s="60" t="s">
        <v>504</v>
      </c>
      <c r="B7" s="61">
        <v>1</v>
      </c>
      <c r="C7" s="7">
        <f t="shared" ca="1" si="0"/>
        <v>5</v>
      </c>
      <c r="D7" s="7">
        <f t="shared" ca="1" si="4"/>
        <v>5</v>
      </c>
      <c r="E7" s="61">
        <f ca="1">ROUNDDOWN(C7/32,0)</f>
        <v>0</v>
      </c>
      <c r="F7" s="7">
        <f t="shared" ca="1" si="2"/>
        <v>5</v>
      </c>
      <c r="G7" s="7">
        <f ca="1">D7-E7*32</f>
        <v>5</v>
      </c>
      <c r="H7" s="61" t="s">
        <v>251</v>
      </c>
      <c r="I7" s="66" t="s">
        <v>319</v>
      </c>
      <c r="J7" s="67" t="s">
        <v>507</v>
      </c>
    </row>
    <row r="8" spans="1:10" s="2" customFormat="1" ht="49.5">
      <c r="A8" s="60" t="s">
        <v>505</v>
      </c>
      <c r="B8" s="61">
        <v>1</v>
      </c>
      <c r="C8" s="7">
        <f t="shared" ca="1" si="0"/>
        <v>6</v>
      </c>
      <c r="D8" s="7">
        <f t="shared" ca="1" si="4"/>
        <v>6</v>
      </c>
      <c r="E8" s="61">
        <f ca="1">ROUNDDOWN(C8/32,0)</f>
        <v>0</v>
      </c>
      <c r="F8" s="7">
        <f t="shared" ca="1" si="2"/>
        <v>6</v>
      </c>
      <c r="G8" s="7">
        <f ca="1">D8-E8*32</f>
        <v>6</v>
      </c>
      <c r="H8" s="61" t="s">
        <v>251</v>
      </c>
      <c r="I8" s="66" t="s">
        <v>319</v>
      </c>
      <c r="J8" s="67" t="s">
        <v>508</v>
      </c>
    </row>
    <row r="9" spans="1:10" s="2" customFormat="1">
      <c r="A9" s="60" t="s">
        <v>547</v>
      </c>
      <c r="B9" s="61">
        <v>1</v>
      </c>
      <c r="C9" s="7">
        <f t="shared" ca="1" si="0"/>
        <v>7</v>
      </c>
      <c r="D9" s="7">
        <f t="shared" ca="1" si="4"/>
        <v>7</v>
      </c>
      <c r="E9" s="61">
        <f ca="1">ROUNDDOWN(C9/32,0)</f>
        <v>0</v>
      </c>
      <c r="F9" s="7">
        <f t="shared" ca="1" si="2"/>
        <v>7</v>
      </c>
      <c r="G9" s="7">
        <f ca="1">D9-E9*32</f>
        <v>7</v>
      </c>
      <c r="H9" s="61" t="s">
        <v>251</v>
      </c>
      <c r="I9" s="66" t="s">
        <v>319</v>
      </c>
      <c r="J9" s="67" t="s">
        <v>548</v>
      </c>
    </row>
    <row r="10" spans="1:10" s="2" customFormat="1">
      <c r="A10" s="60" t="s">
        <v>242</v>
      </c>
      <c r="B10" s="61">
        <v>24</v>
      </c>
      <c r="C10" s="7">
        <f t="shared" ca="1" si="0"/>
        <v>31</v>
      </c>
      <c r="D10" s="7">
        <f t="shared" ca="1" si="4"/>
        <v>8</v>
      </c>
      <c r="E10" s="61">
        <f t="shared" ca="1" si="1"/>
        <v>0</v>
      </c>
      <c r="F10" s="7">
        <f t="shared" ca="1" si="2"/>
        <v>31</v>
      </c>
      <c r="G10" s="7">
        <f t="shared" ca="1" si="3"/>
        <v>8</v>
      </c>
      <c r="H10" s="61" t="s">
        <v>246</v>
      </c>
      <c r="I10" s="66" t="s">
        <v>506</v>
      </c>
      <c r="J10" s="67" t="s">
        <v>242</v>
      </c>
    </row>
    <row r="11" spans="1:10" s="2" customFormat="1">
      <c r="A11" s="60" t="s">
        <v>644</v>
      </c>
      <c r="B11" s="61">
        <v>32</v>
      </c>
      <c r="C11" s="7">
        <f t="shared" ca="1" si="0"/>
        <v>63</v>
      </c>
      <c r="D11" s="7">
        <f t="shared" ca="1" si="4"/>
        <v>32</v>
      </c>
      <c r="E11" s="61">
        <f t="shared" ref="E11:E21" ca="1" si="5">ROUNDDOWN(C11/32,0)</f>
        <v>1</v>
      </c>
      <c r="F11" s="7">
        <f t="shared" ca="1" si="2"/>
        <v>31</v>
      </c>
      <c r="G11" s="7">
        <f t="shared" ref="G11:G35" ca="1" si="6">D11-E11*32</f>
        <v>0</v>
      </c>
      <c r="H11" s="61" t="s">
        <v>251</v>
      </c>
      <c r="I11" s="66" t="s">
        <v>410</v>
      </c>
      <c r="J11" s="67" t="s">
        <v>645</v>
      </c>
    </row>
    <row r="12" spans="1:10" s="2" customFormat="1">
      <c r="A12" s="60" t="s">
        <v>647</v>
      </c>
      <c r="B12" s="61">
        <v>32</v>
      </c>
      <c r="C12" s="7">
        <f t="shared" ca="1" si="0"/>
        <v>95</v>
      </c>
      <c r="D12" s="7">
        <f t="shared" ca="1" si="4"/>
        <v>64</v>
      </c>
      <c r="E12" s="61">
        <f t="shared" ca="1" si="5"/>
        <v>2</v>
      </c>
      <c r="F12" s="7">
        <f t="shared" ca="1" si="2"/>
        <v>31</v>
      </c>
      <c r="G12" s="7">
        <f t="shared" ca="1" si="6"/>
        <v>0</v>
      </c>
      <c r="H12" s="61" t="s">
        <v>251</v>
      </c>
      <c r="I12" s="66" t="s">
        <v>410</v>
      </c>
      <c r="J12" s="67" t="s">
        <v>646</v>
      </c>
    </row>
    <row r="13" spans="1:10" s="2" customFormat="1">
      <c r="A13" s="60" t="s">
        <v>648</v>
      </c>
      <c r="B13" s="61">
        <v>32</v>
      </c>
      <c r="C13" s="7">
        <f t="shared" ca="1" si="0"/>
        <v>127</v>
      </c>
      <c r="D13" s="7">
        <f t="shared" ca="1" si="4"/>
        <v>96</v>
      </c>
      <c r="E13" s="61">
        <f t="shared" ca="1" si="5"/>
        <v>3</v>
      </c>
      <c r="F13" s="7">
        <f t="shared" ca="1" si="2"/>
        <v>31</v>
      </c>
      <c r="G13" s="7">
        <f t="shared" ca="1" si="6"/>
        <v>0</v>
      </c>
      <c r="H13" s="61" t="s">
        <v>251</v>
      </c>
      <c r="I13" s="66" t="s">
        <v>410</v>
      </c>
      <c r="J13" s="67" t="s">
        <v>649</v>
      </c>
    </row>
    <row r="14" spans="1:10">
      <c r="A14" s="60" t="s">
        <v>332</v>
      </c>
      <c r="B14" s="7">
        <v>8</v>
      </c>
      <c r="C14" s="7">
        <f t="shared" ca="1" si="0"/>
        <v>135</v>
      </c>
      <c r="D14" s="7">
        <f t="shared" ca="1" si="4"/>
        <v>128</v>
      </c>
      <c r="E14" s="7">
        <f t="shared" ca="1" si="5"/>
        <v>4</v>
      </c>
      <c r="F14" s="7">
        <f t="shared" ca="1" si="2"/>
        <v>7</v>
      </c>
      <c r="G14" s="7">
        <f t="shared" ca="1" si="6"/>
        <v>0</v>
      </c>
      <c r="H14" s="7" t="s">
        <v>251</v>
      </c>
      <c r="I14" s="8" t="s">
        <v>354</v>
      </c>
      <c r="J14" s="22" t="s">
        <v>336</v>
      </c>
    </row>
    <row r="15" spans="1:10" ht="82.5">
      <c r="A15" s="60" t="s">
        <v>522</v>
      </c>
      <c r="B15" s="7">
        <v>2</v>
      </c>
      <c r="C15" s="7">
        <f t="shared" ca="1" si="0"/>
        <v>137</v>
      </c>
      <c r="D15" s="7">
        <f t="shared" ca="1" si="4"/>
        <v>136</v>
      </c>
      <c r="E15" s="7">
        <f t="shared" ca="1" si="5"/>
        <v>4</v>
      </c>
      <c r="F15" s="7">
        <f t="shared" ca="1" si="2"/>
        <v>9</v>
      </c>
      <c r="G15" s="7">
        <f t="shared" ca="1" si="6"/>
        <v>8</v>
      </c>
      <c r="H15" s="7" t="s">
        <v>251</v>
      </c>
      <c r="I15" s="8" t="s">
        <v>375</v>
      </c>
      <c r="J15" s="22" t="s">
        <v>528</v>
      </c>
    </row>
    <row r="16" spans="1:10" ht="82.5">
      <c r="A16" s="60" t="s">
        <v>536</v>
      </c>
      <c r="B16" s="7">
        <v>2</v>
      </c>
      <c r="C16" s="7">
        <f t="shared" ca="1" si="0"/>
        <v>139</v>
      </c>
      <c r="D16" s="7">
        <f t="shared" ca="1" si="4"/>
        <v>138</v>
      </c>
      <c r="E16" s="7">
        <f t="shared" ca="1" si="5"/>
        <v>4</v>
      </c>
      <c r="F16" s="7">
        <f t="shared" ca="1" si="2"/>
        <v>11</v>
      </c>
      <c r="G16" s="7">
        <f t="shared" ca="1" si="6"/>
        <v>10</v>
      </c>
      <c r="H16" s="7" t="s">
        <v>251</v>
      </c>
      <c r="I16" s="8" t="s">
        <v>375</v>
      </c>
      <c r="J16" s="22" t="s">
        <v>533</v>
      </c>
    </row>
    <row r="17" spans="1:10" ht="82.5">
      <c r="A17" s="60" t="s">
        <v>535</v>
      </c>
      <c r="B17" s="7">
        <v>2</v>
      </c>
      <c r="C17" s="7">
        <f t="shared" ca="1" si="0"/>
        <v>141</v>
      </c>
      <c r="D17" s="7">
        <f t="shared" ca="1" si="4"/>
        <v>140</v>
      </c>
      <c r="E17" s="7">
        <f t="shared" ca="1" si="5"/>
        <v>4</v>
      </c>
      <c r="F17" s="7">
        <f t="shared" ca="1" si="2"/>
        <v>13</v>
      </c>
      <c r="G17" s="7">
        <f t="shared" ca="1" si="6"/>
        <v>12</v>
      </c>
      <c r="H17" s="7" t="s">
        <v>251</v>
      </c>
      <c r="I17" s="8" t="s">
        <v>375</v>
      </c>
      <c r="J17" s="22" t="s">
        <v>534</v>
      </c>
    </row>
    <row r="18" spans="1:10" ht="49.5">
      <c r="A18" s="60" t="s">
        <v>529</v>
      </c>
      <c r="B18" s="7">
        <v>1</v>
      </c>
      <c r="C18" s="7">
        <f t="shared" ca="1" si="0"/>
        <v>142</v>
      </c>
      <c r="D18" s="7">
        <f t="shared" ca="1" si="4"/>
        <v>142</v>
      </c>
      <c r="E18" s="7">
        <f t="shared" ca="1" si="5"/>
        <v>4</v>
      </c>
      <c r="F18" s="7">
        <f t="shared" ca="1" si="2"/>
        <v>14</v>
      </c>
      <c r="G18" s="7">
        <f t="shared" ca="1" si="6"/>
        <v>14</v>
      </c>
      <c r="H18" s="7" t="s">
        <v>251</v>
      </c>
      <c r="I18" s="8" t="s">
        <v>530</v>
      </c>
      <c r="J18" s="22" t="s">
        <v>537</v>
      </c>
    </row>
    <row r="19" spans="1:10" ht="99">
      <c r="A19" s="60" t="s">
        <v>531</v>
      </c>
      <c r="B19" s="7">
        <v>2</v>
      </c>
      <c r="C19" s="7">
        <f t="shared" ca="1" si="0"/>
        <v>144</v>
      </c>
      <c r="D19" s="7">
        <f t="shared" ca="1" si="4"/>
        <v>143</v>
      </c>
      <c r="E19" s="7">
        <f t="shared" ca="1" si="5"/>
        <v>4</v>
      </c>
      <c r="F19" s="7">
        <f t="shared" ca="1" si="2"/>
        <v>16</v>
      </c>
      <c r="G19" s="7">
        <f t="shared" ca="1" si="6"/>
        <v>15</v>
      </c>
      <c r="H19" s="7" t="s">
        <v>251</v>
      </c>
      <c r="I19" s="8" t="s">
        <v>375</v>
      </c>
      <c r="J19" s="22" t="s">
        <v>538</v>
      </c>
    </row>
    <row r="20" spans="1:10" ht="99">
      <c r="A20" s="60" t="s">
        <v>532</v>
      </c>
      <c r="B20" s="7">
        <v>2</v>
      </c>
      <c r="C20" s="7">
        <f t="shared" ca="1" si="0"/>
        <v>146</v>
      </c>
      <c r="D20" s="7">
        <f t="shared" ca="1" si="4"/>
        <v>145</v>
      </c>
      <c r="E20" s="7">
        <f t="shared" ca="1" si="5"/>
        <v>4</v>
      </c>
      <c r="F20" s="7">
        <f t="shared" ca="1" si="2"/>
        <v>18</v>
      </c>
      <c r="G20" s="7">
        <f t="shared" ca="1" si="6"/>
        <v>17</v>
      </c>
      <c r="H20" s="7" t="s">
        <v>251</v>
      </c>
      <c r="I20" s="8" t="s">
        <v>375</v>
      </c>
      <c r="J20" s="22" t="s">
        <v>539</v>
      </c>
    </row>
    <row r="21" spans="1:10" s="2" customFormat="1" ht="148.5">
      <c r="A21" s="60" t="s">
        <v>558</v>
      </c>
      <c r="B21" s="7">
        <v>3</v>
      </c>
      <c r="C21" s="7">
        <f t="shared" ca="1" si="0"/>
        <v>149</v>
      </c>
      <c r="D21" s="7">
        <f t="shared" ca="1" si="4"/>
        <v>147</v>
      </c>
      <c r="E21" s="7">
        <f t="shared" ca="1" si="5"/>
        <v>4</v>
      </c>
      <c r="F21" s="7">
        <f t="shared" ca="1" si="2"/>
        <v>21</v>
      </c>
      <c r="G21" s="7">
        <f t="shared" ca="1" si="6"/>
        <v>19</v>
      </c>
      <c r="H21" s="7" t="s">
        <v>251</v>
      </c>
      <c r="I21" s="8" t="s">
        <v>374</v>
      </c>
      <c r="J21" s="22" t="s">
        <v>560</v>
      </c>
    </row>
    <row r="22" spans="1:10" s="2" customFormat="1">
      <c r="A22" s="60" t="s">
        <v>242</v>
      </c>
      <c r="B22" s="7">
        <v>10</v>
      </c>
      <c r="C22" s="7">
        <f t="shared" ca="1" si="0"/>
        <v>159</v>
      </c>
      <c r="D22" s="7">
        <f t="shared" ca="1" si="4"/>
        <v>150</v>
      </c>
      <c r="E22" s="7">
        <f t="shared" ref="E22:E43" ca="1" si="7">ROUNDDOWN(C22/32,0)</f>
        <v>4</v>
      </c>
      <c r="F22" s="7">
        <f t="shared" ca="1" si="2"/>
        <v>31</v>
      </c>
      <c r="G22" s="7">
        <f t="shared" ca="1" si="6"/>
        <v>22</v>
      </c>
      <c r="H22" s="7" t="s">
        <v>15</v>
      </c>
      <c r="I22" s="8" t="s">
        <v>559</v>
      </c>
      <c r="J22" s="22" t="s">
        <v>14</v>
      </c>
    </row>
    <row r="23" spans="1:10" s="2" customFormat="1">
      <c r="A23" s="60" t="s">
        <v>496</v>
      </c>
      <c r="B23" s="7">
        <v>32</v>
      </c>
      <c r="C23" s="7">
        <f t="shared" ca="1" si="0"/>
        <v>191</v>
      </c>
      <c r="D23" s="7">
        <f t="shared" ca="1" si="4"/>
        <v>160</v>
      </c>
      <c r="E23" s="7">
        <f t="shared" ca="1" si="7"/>
        <v>5</v>
      </c>
      <c r="F23" s="7">
        <f t="shared" ca="1" si="2"/>
        <v>31</v>
      </c>
      <c r="G23" s="7">
        <f t="shared" ca="1" si="6"/>
        <v>0</v>
      </c>
      <c r="H23" s="7" t="s">
        <v>251</v>
      </c>
      <c r="I23" s="8" t="s">
        <v>327</v>
      </c>
      <c r="J23" s="22" t="s">
        <v>523</v>
      </c>
    </row>
    <row r="24" spans="1:10" s="2" customFormat="1">
      <c r="A24" s="60" t="s">
        <v>497</v>
      </c>
      <c r="B24" s="7">
        <v>16</v>
      </c>
      <c r="C24" s="7">
        <f t="shared" ca="1" si="0"/>
        <v>207</v>
      </c>
      <c r="D24" s="7">
        <f t="shared" ca="1" si="4"/>
        <v>192</v>
      </c>
      <c r="E24" s="7">
        <f t="shared" ca="1" si="7"/>
        <v>6</v>
      </c>
      <c r="F24" s="7">
        <f t="shared" ca="1" si="2"/>
        <v>15</v>
      </c>
      <c r="G24" s="7">
        <f t="shared" ca="1" si="6"/>
        <v>0</v>
      </c>
      <c r="H24" s="7" t="s">
        <v>251</v>
      </c>
      <c r="I24" s="8" t="s">
        <v>527</v>
      </c>
      <c r="J24" s="22" t="s">
        <v>525</v>
      </c>
    </row>
    <row r="25" spans="1:10" s="2" customFormat="1">
      <c r="A25" s="60" t="s">
        <v>242</v>
      </c>
      <c r="B25" s="7">
        <v>16</v>
      </c>
      <c r="C25" s="7">
        <f t="shared" ca="1" si="0"/>
        <v>223</v>
      </c>
      <c r="D25" s="7">
        <f t="shared" ca="1" si="4"/>
        <v>208</v>
      </c>
      <c r="E25" s="7">
        <f t="shared" ca="1" si="7"/>
        <v>6</v>
      </c>
      <c r="F25" s="7">
        <f t="shared" ca="1" si="2"/>
        <v>31</v>
      </c>
      <c r="G25" s="7">
        <f t="shared" ca="1" si="6"/>
        <v>16</v>
      </c>
      <c r="H25" s="7" t="s">
        <v>15</v>
      </c>
      <c r="I25" s="8" t="s">
        <v>333</v>
      </c>
      <c r="J25" s="22" t="s">
        <v>14</v>
      </c>
    </row>
    <row r="26" spans="1:10" s="2" customFormat="1">
      <c r="A26" s="60" t="s">
        <v>498</v>
      </c>
      <c r="B26" s="7">
        <v>32</v>
      </c>
      <c r="C26" s="7">
        <f t="shared" ca="1" si="0"/>
        <v>255</v>
      </c>
      <c r="D26" s="7">
        <f t="shared" ca="1" si="4"/>
        <v>224</v>
      </c>
      <c r="E26" s="7">
        <f t="shared" ca="1" si="7"/>
        <v>7</v>
      </c>
      <c r="F26" s="7">
        <f t="shared" ca="1" si="2"/>
        <v>31</v>
      </c>
      <c r="G26" s="7">
        <f t="shared" ca="1" si="6"/>
        <v>0</v>
      </c>
      <c r="H26" s="7" t="s">
        <v>251</v>
      </c>
      <c r="I26" s="8" t="s">
        <v>327</v>
      </c>
      <c r="J26" s="22" t="s">
        <v>524</v>
      </c>
    </row>
    <row r="27" spans="1:10" s="2" customFormat="1">
      <c r="A27" s="60" t="s">
        <v>499</v>
      </c>
      <c r="B27" s="7">
        <v>16</v>
      </c>
      <c r="C27" s="7">
        <f t="shared" ca="1" si="0"/>
        <v>271</v>
      </c>
      <c r="D27" s="7">
        <f t="shared" ca="1" si="4"/>
        <v>256</v>
      </c>
      <c r="E27" s="7">
        <f t="shared" ca="1" si="7"/>
        <v>8</v>
      </c>
      <c r="F27" s="7">
        <f t="shared" ca="1" si="2"/>
        <v>15</v>
      </c>
      <c r="G27" s="7">
        <f t="shared" ca="1" si="6"/>
        <v>0</v>
      </c>
      <c r="H27" s="7" t="s">
        <v>251</v>
      </c>
      <c r="I27" s="8" t="s">
        <v>527</v>
      </c>
      <c r="J27" s="22" t="s">
        <v>526</v>
      </c>
    </row>
    <row r="28" spans="1:10" s="2" customFormat="1">
      <c r="A28" s="60" t="s">
        <v>242</v>
      </c>
      <c r="B28" s="7">
        <v>16</v>
      </c>
      <c r="C28" s="7">
        <f t="shared" ca="1" si="0"/>
        <v>287</v>
      </c>
      <c r="D28" s="7">
        <f t="shared" ca="1" si="4"/>
        <v>272</v>
      </c>
      <c r="E28" s="7">
        <f t="shared" ca="1" si="7"/>
        <v>8</v>
      </c>
      <c r="F28" s="7">
        <f t="shared" ca="1" si="2"/>
        <v>31</v>
      </c>
      <c r="G28" s="7">
        <f t="shared" ca="1" si="6"/>
        <v>16</v>
      </c>
      <c r="H28" s="7" t="s">
        <v>15</v>
      </c>
      <c r="I28" s="8" t="s">
        <v>333</v>
      </c>
      <c r="J28" s="22" t="s">
        <v>14</v>
      </c>
    </row>
    <row r="29" spans="1:10" s="2" customFormat="1">
      <c r="A29" s="60" t="s">
        <v>651</v>
      </c>
      <c r="B29" s="7">
        <v>12</v>
      </c>
      <c r="C29" s="7">
        <f t="shared" ca="1" si="0"/>
        <v>299</v>
      </c>
      <c r="D29" s="7">
        <f t="shared" ca="1" si="4"/>
        <v>288</v>
      </c>
      <c r="E29" s="7">
        <f ca="1">ROUNDDOWN(C29/32,0)</f>
        <v>9</v>
      </c>
      <c r="F29" s="7">
        <f t="shared" ca="1" si="2"/>
        <v>11</v>
      </c>
      <c r="G29" s="7">
        <f t="shared" ca="1" si="6"/>
        <v>0</v>
      </c>
      <c r="H29" s="7" t="s">
        <v>251</v>
      </c>
      <c r="I29" s="8" t="s">
        <v>656</v>
      </c>
      <c r="J29" s="22" t="s">
        <v>650</v>
      </c>
    </row>
    <row r="30" spans="1:10" s="2" customFormat="1">
      <c r="A30" s="60" t="s">
        <v>652</v>
      </c>
      <c r="B30" s="7">
        <v>8</v>
      </c>
      <c r="C30" s="7">
        <f t="shared" ca="1" si="0"/>
        <v>307</v>
      </c>
      <c r="D30" s="7">
        <f t="shared" ca="1" si="4"/>
        <v>300</v>
      </c>
      <c r="E30" s="7">
        <f ca="1">ROUNDDOWN(C30/32,0)</f>
        <v>9</v>
      </c>
      <c r="F30" s="7">
        <f t="shared" ca="1" si="2"/>
        <v>19</v>
      </c>
      <c r="G30" s="7">
        <f t="shared" ca="1" si="6"/>
        <v>12</v>
      </c>
      <c r="H30" s="7" t="s">
        <v>251</v>
      </c>
      <c r="I30" s="8" t="s">
        <v>657</v>
      </c>
      <c r="J30" s="22" t="s">
        <v>658</v>
      </c>
    </row>
    <row r="31" spans="1:10" s="2" customFormat="1">
      <c r="A31" s="60" t="s">
        <v>653</v>
      </c>
      <c r="B31" s="7">
        <v>8</v>
      </c>
      <c r="C31" s="7">
        <f t="shared" ca="1" si="0"/>
        <v>315</v>
      </c>
      <c r="D31" s="7">
        <f t="shared" ca="1" si="4"/>
        <v>308</v>
      </c>
      <c r="E31" s="7">
        <f ca="1">ROUNDDOWN(C31/32,0)</f>
        <v>9</v>
      </c>
      <c r="F31" s="7">
        <f t="shared" ca="1" si="2"/>
        <v>27</v>
      </c>
      <c r="G31" s="7">
        <f t="shared" ca="1" si="6"/>
        <v>20</v>
      </c>
      <c r="H31" s="7" t="s">
        <v>251</v>
      </c>
      <c r="I31" s="8" t="s">
        <v>354</v>
      </c>
      <c r="J31" s="22" t="s">
        <v>658</v>
      </c>
    </row>
    <row r="32" spans="1:10" s="2" customFormat="1" ht="66">
      <c r="A32" s="60" t="s">
        <v>654</v>
      </c>
      <c r="B32" s="7">
        <v>2</v>
      </c>
      <c r="C32" s="7">
        <f t="shared" ca="1" si="0"/>
        <v>317</v>
      </c>
      <c r="D32" s="7">
        <f t="shared" ca="1" si="4"/>
        <v>316</v>
      </c>
      <c r="E32" s="7">
        <f ca="1">ROUNDDOWN(C32/32,0)</f>
        <v>9</v>
      </c>
      <c r="F32" s="7">
        <f t="shared" ca="1" si="2"/>
        <v>29</v>
      </c>
      <c r="G32" s="7">
        <f t="shared" ca="1" si="6"/>
        <v>28</v>
      </c>
      <c r="H32" s="7" t="s">
        <v>251</v>
      </c>
      <c r="I32" s="8" t="s">
        <v>527</v>
      </c>
      <c r="J32" s="22" t="s">
        <v>655</v>
      </c>
    </row>
    <row r="33" spans="1:10" s="2" customFormat="1">
      <c r="A33" s="60" t="s">
        <v>242</v>
      </c>
      <c r="B33" s="7">
        <v>2</v>
      </c>
      <c r="C33" s="7">
        <f t="shared" ca="1" si="0"/>
        <v>319</v>
      </c>
      <c r="D33" s="7">
        <f t="shared" ca="1" si="4"/>
        <v>318</v>
      </c>
      <c r="E33" s="7">
        <f ca="1">ROUNDDOWN(C33/32,0)</f>
        <v>9</v>
      </c>
      <c r="F33" s="7">
        <f t="shared" ca="1" si="2"/>
        <v>31</v>
      </c>
      <c r="G33" s="7">
        <f t="shared" ca="1" si="6"/>
        <v>30</v>
      </c>
      <c r="H33" s="7" t="s">
        <v>15</v>
      </c>
      <c r="I33" s="8" t="s">
        <v>333</v>
      </c>
      <c r="J33" s="22" t="s">
        <v>14</v>
      </c>
    </row>
    <row r="34" spans="1:10" s="59" customFormat="1" ht="33">
      <c r="A34" s="60" t="s">
        <v>315</v>
      </c>
      <c r="B34" s="61">
        <v>1</v>
      </c>
      <c r="C34" s="7">
        <f t="shared" ref="C34:C65" ca="1" si="8">D34+B34-1</f>
        <v>320</v>
      </c>
      <c r="D34" s="7">
        <f t="shared" ca="1" si="4"/>
        <v>320</v>
      </c>
      <c r="E34" s="61">
        <f t="shared" ca="1" si="7"/>
        <v>10</v>
      </c>
      <c r="F34" s="7">
        <f t="shared" ca="1" si="2"/>
        <v>0</v>
      </c>
      <c r="G34" s="7">
        <f t="shared" ca="1" si="6"/>
        <v>0</v>
      </c>
      <c r="H34" s="61" t="s">
        <v>10</v>
      </c>
      <c r="I34" s="66" t="s">
        <v>319</v>
      </c>
      <c r="J34" s="67" t="s">
        <v>317</v>
      </c>
    </row>
    <row r="35" spans="1:10" s="2" customFormat="1">
      <c r="A35" s="60" t="s">
        <v>242</v>
      </c>
      <c r="B35" s="7">
        <v>31</v>
      </c>
      <c r="C35" s="7">
        <f t="shared" ca="1" si="8"/>
        <v>351</v>
      </c>
      <c r="D35" s="7">
        <f t="shared" ca="1" si="4"/>
        <v>321</v>
      </c>
      <c r="E35" s="7">
        <f t="shared" ca="1" si="7"/>
        <v>10</v>
      </c>
      <c r="F35" s="7">
        <f t="shared" ca="1" si="2"/>
        <v>31</v>
      </c>
      <c r="G35" s="7">
        <f t="shared" ca="1" si="6"/>
        <v>1</v>
      </c>
      <c r="H35" s="7" t="s">
        <v>15</v>
      </c>
      <c r="I35" s="8" t="s">
        <v>333</v>
      </c>
      <c r="J35" s="22" t="s">
        <v>14</v>
      </c>
    </row>
    <row r="36" spans="1:10" ht="33">
      <c r="A36" s="60" t="s">
        <v>285</v>
      </c>
      <c r="B36" s="7">
        <v>7</v>
      </c>
      <c r="C36" s="7">
        <f t="shared" ca="1" si="8"/>
        <v>358</v>
      </c>
      <c r="D36" s="7">
        <f t="shared" ca="1" si="4"/>
        <v>352</v>
      </c>
      <c r="E36" s="7">
        <f t="shared" ca="1" si="7"/>
        <v>11</v>
      </c>
      <c r="F36" s="7">
        <f t="shared" ref="F36:F43" ca="1" si="9">C36-E36*32</f>
        <v>6</v>
      </c>
      <c r="G36" s="7">
        <f t="shared" ref="G36:G43" ca="1" si="10">D36-E36*32</f>
        <v>0</v>
      </c>
      <c r="H36" s="7" t="s">
        <v>15</v>
      </c>
      <c r="I36" s="8" t="s">
        <v>334</v>
      </c>
      <c r="J36" s="22" t="s">
        <v>286</v>
      </c>
    </row>
    <row r="37" spans="1:10">
      <c r="A37" s="60" t="s">
        <v>14</v>
      </c>
      <c r="B37" s="7">
        <v>1</v>
      </c>
      <c r="C37" s="7">
        <f t="shared" ca="1" si="8"/>
        <v>359</v>
      </c>
      <c r="D37" s="7">
        <f t="shared" ca="1" si="4"/>
        <v>359</v>
      </c>
      <c r="E37" s="7">
        <f t="shared" ca="1" si="7"/>
        <v>11</v>
      </c>
      <c r="F37" s="7">
        <f t="shared" ca="1" si="9"/>
        <v>7</v>
      </c>
      <c r="G37" s="7">
        <f t="shared" ca="1" si="10"/>
        <v>7</v>
      </c>
      <c r="H37" s="7" t="s">
        <v>15</v>
      </c>
      <c r="I37" s="8" t="s">
        <v>335</v>
      </c>
      <c r="J37" s="22" t="s">
        <v>14</v>
      </c>
    </row>
    <row r="38" spans="1:10" ht="33">
      <c r="A38" s="60" t="s">
        <v>492</v>
      </c>
      <c r="B38" s="7">
        <v>7</v>
      </c>
      <c r="C38" s="7">
        <f t="shared" ca="1" si="8"/>
        <v>366</v>
      </c>
      <c r="D38" s="7">
        <f t="shared" ca="1" si="4"/>
        <v>360</v>
      </c>
      <c r="E38" s="7">
        <f t="shared" ca="1" si="7"/>
        <v>11</v>
      </c>
      <c r="F38" s="7">
        <f t="shared" ca="1" si="9"/>
        <v>14</v>
      </c>
      <c r="G38" s="7">
        <f t="shared" ca="1" si="10"/>
        <v>8</v>
      </c>
      <c r="H38" s="7" t="s">
        <v>15</v>
      </c>
      <c r="I38" s="8" t="s">
        <v>334</v>
      </c>
      <c r="J38" s="22" t="s">
        <v>286</v>
      </c>
    </row>
    <row r="39" spans="1:10">
      <c r="A39" s="60" t="s">
        <v>14</v>
      </c>
      <c r="B39" s="7">
        <v>1</v>
      </c>
      <c r="C39" s="7">
        <f t="shared" ca="1" si="8"/>
        <v>367</v>
      </c>
      <c r="D39" s="7">
        <f t="shared" ca="1" si="4"/>
        <v>367</v>
      </c>
      <c r="E39" s="7">
        <f t="shared" ca="1" si="7"/>
        <v>11</v>
      </c>
      <c r="F39" s="7">
        <f t="shared" ca="1" si="9"/>
        <v>15</v>
      </c>
      <c r="G39" s="7">
        <f t="shared" ca="1" si="10"/>
        <v>15</v>
      </c>
      <c r="H39" s="7" t="s">
        <v>15</v>
      </c>
      <c r="I39" s="8" t="s">
        <v>335</v>
      </c>
      <c r="J39" s="22" t="s">
        <v>14</v>
      </c>
    </row>
    <row r="40" spans="1:10" ht="33">
      <c r="A40" s="60" t="s">
        <v>493</v>
      </c>
      <c r="B40" s="7">
        <v>7</v>
      </c>
      <c r="C40" s="7">
        <f t="shared" ca="1" si="8"/>
        <v>374</v>
      </c>
      <c r="D40" s="7">
        <f t="shared" ca="1" si="4"/>
        <v>368</v>
      </c>
      <c r="E40" s="7">
        <f t="shared" ca="1" si="7"/>
        <v>11</v>
      </c>
      <c r="F40" s="7">
        <f t="shared" ca="1" si="9"/>
        <v>22</v>
      </c>
      <c r="G40" s="7">
        <f t="shared" ca="1" si="10"/>
        <v>16</v>
      </c>
      <c r="H40" s="7" t="s">
        <v>15</v>
      </c>
      <c r="I40" s="8" t="s">
        <v>334</v>
      </c>
      <c r="J40" s="22" t="s">
        <v>286</v>
      </c>
    </row>
    <row r="41" spans="1:10">
      <c r="A41" s="60" t="s">
        <v>14</v>
      </c>
      <c r="B41" s="7">
        <v>1</v>
      </c>
      <c r="C41" s="7">
        <f t="shared" ca="1" si="8"/>
        <v>375</v>
      </c>
      <c r="D41" s="7">
        <f t="shared" ca="1" si="4"/>
        <v>375</v>
      </c>
      <c r="E41" s="7">
        <f t="shared" ca="1" si="7"/>
        <v>11</v>
      </c>
      <c r="F41" s="7">
        <f t="shared" ca="1" si="9"/>
        <v>23</v>
      </c>
      <c r="G41" s="7">
        <f t="shared" ca="1" si="10"/>
        <v>23</v>
      </c>
      <c r="H41" s="7" t="s">
        <v>15</v>
      </c>
      <c r="I41" s="8" t="s">
        <v>335</v>
      </c>
      <c r="J41" s="22" t="s">
        <v>14</v>
      </c>
    </row>
    <row r="42" spans="1:10">
      <c r="A42" s="60" t="s">
        <v>631</v>
      </c>
      <c r="B42" s="7">
        <v>1</v>
      </c>
      <c r="C42" s="7">
        <f t="shared" ca="1" si="8"/>
        <v>376</v>
      </c>
      <c r="D42" s="7">
        <f t="shared" ca="1" si="4"/>
        <v>376</v>
      </c>
      <c r="E42" s="7">
        <f ca="1">ROUNDDOWN(C42/32,0)</f>
        <v>11</v>
      </c>
      <c r="F42" s="7">
        <f ca="1">C42-E42*32</f>
        <v>24</v>
      </c>
      <c r="G42" s="7">
        <f ca="1">D42-E42*32</f>
        <v>24</v>
      </c>
      <c r="H42" s="7" t="s">
        <v>246</v>
      </c>
      <c r="I42" s="8" t="s">
        <v>335</v>
      </c>
      <c r="J42" s="22" t="s">
        <v>630</v>
      </c>
    </row>
    <row r="43" spans="1:10">
      <c r="A43" s="60" t="s">
        <v>14</v>
      </c>
      <c r="B43" s="7">
        <v>7</v>
      </c>
      <c r="C43" s="7">
        <f t="shared" ca="1" si="8"/>
        <v>383</v>
      </c>
      <c r="D43" s="7">
        <f t="shared" ca="1" si="4"/>
        <v>377</v>
      </c>
      <c r="E43" s="7">
        <f t="shared" ca="1" si="7"/>
        <v>11</v>
      </c>
      <c r="F43" s="7">
        <f t="shared" ca="1" si="9"/>
        <v>31</v>
      </c>
      <c r="G43" s="7">
        <f t="shared" ca="1" si="10"/>
        <v>25</v>
      </c>
      <c r="H43" s="7" t="s">
        <v>15</v>
      </c>
      <c r="I43" s="8" t="s">
        <v>335</v>
      </c>
      <c r="J43" s="22" t="s">
        <v>14</v>
      </c>
    </row>
    <row r="44" spans="1:10" s="59" customFormat="1" ht="33">
      <c r="A44" s="60" t="s">
        <v>567</v>
      </c>
      <c r="B44" s="61">
        <v>32</v>
      </c>
      <c r="C44" s="7">
        <f t="shared" ca="1" si="8"/>
        <v>415</v>
      </c>
      <c r="D44" s="7">
        <f t="shared" ca="1" si="4"/>
        <v>384</v>
      </c>
      <c r="E44" s="7">
        <f t="shared" ref="E44:E54" ca="1" si="11">ROUNDDOWN(C44/32,0)</f>
        <v>12</v>
      </c>
      <c r="F44" s="7">
        <f t="shared" ref="F44:F75" ca="1" si="12">C44-E44*32</f>
        <v>31</v>
      </c>
      <c r="G44" s="61">
        <f t="shared" ref="G44:G57" ca="1" si="13">D44-E44*32</f>
        <v>0</v>
      </c>
      <c r="H44" s="61" t="s">
        <v>10</v>
      </c>
      <c r="I44" s="66" t="s">
        <v>410</v>
      </c>
      <c r="J44" s="67" t="s">
        <v>629</v>
      </c>
    </row>
    <row r="45" spans="1:10" s="59" customFormat="1" ht="33">
      <c r="A45" s="60" t="s">
        <v>566</v>
      </c>
      <c r="B45" s="61">
        <v>1</v>
      </c>
      <c r="C45" s="7">
        <f t="shared" ca="1" si="8"/>
        <v>416</v>
      </c>
      <c r="D45" s="7">
        <f t="shared" ca="1" si="4"/>
        <v>416</v>
      </c>
      <c r="E45" s="7">
        <f ca="1">ROUNDDOWN(C45/32,0)</f>
        <v>13</v>
      </c>
      <c r="F45" s="7">
        <f t="shared" ca="1" si="12"/>
        <v>0</v>
      </c>
      <c r="G45" s="61">
        <f t="shared" ca="1" si="13"/>
        <v>0</v>
      </c>
      <c r="H45" s="61" t="s">
        <v>10</v>
      </c>
      <c r="I45" s="66" t="s">
        <v>410</v>
      </c>
      <c r="J45" s="67" t="s">
        <v>628</v>
      </c>
    </row>
    <row r="46" spans="1:10">
      <c r="A46" s="60" t="s">
        <v>14</v>
      </c>
      <c r="B46" s="7">
        <v>31</v>
      </c>
      <c r="C46" s="7">
        <f t="shared" ca="1" si="8"/>
        <v>447</v>
      </c>
      <c r="D46" s="7">
        <f t="shared" ca="1" si="4"/>
        <v>417</v>
      </c>
      <c r="E46" s="7">
        <f t="shared" ca="1" si="11"/>
        <v>13</v>
      </c>
      <c r="F46" s="7">
        <f t="shared" ca="1" si="12"/>
        <v>31</v>
      </c>
      <c r="G46" s="7">
        <f t="shared" ca="1" si="13"/>
        <v>1</v>
      </c>
      <c r="H46" s="7" t="s">
        <v>15</v>
      </c>
      <c r="I46" s="8" t="s">
        <v>335</v>
      </c>
      <c r="J46" s="22" t="s">
        <v>14</v>
      </c>
    </row>
    <row r="47" spans="1:10" s="59" customFormat="1" ht="33">
      <c r="A47" s="63" t="s">
        <v>569</v>
      </c>
      <c r="B47" s="61">
        <v>32</v>
      </c>
      <c r="C47" s="7">
        <f t="shared" ca="1" si="8"/>
        <v>479</v>
      </c>
      <c r="D47" s="7">
        <f t="shared" ca="1" si="4"/>
        <v>448</v>
      </c>
      <c r="E47" s="61">
        <f t="shared" ca="1" si="11"/>
        <v>14</v>
      </c>
      <c r="F47" s="61">
        <f t="shared" ca="1" si="12"/>
        <v>31</v>
      </c>
      <c r="G47" s="61">
        <f t="shared" ca="1" si="13"/>
        <v>0</v>
      </c>
      <c r="H47" s="61" t="s">
        <v>10</v>
      </c>
      <c r="I47" s="68" t="s">
        <v>321</v>
      </c>
      <c r="J47" s="69" t="s">
        <v>624</v>
      </c>
    </row>
    <row r="48" spans="1:10" s="59" customFormat="1" ht="33">
      <c r="A48" s="63" t="s">
        <v>570</v>
      </c>
      <c r="B48" s="61">
        <v>1</v>
      </c>
      <c r="C48" s="7">
        <f t="shared" ca="1" si="8"/>
        <v>480</v>
      </c>
      <c r="D48" s="7">
        <f t="shared" ca="1" si="4"/>
        <v>480</v>
      </c>
      <c r="E48" s="61">
        <f ca="1">ROUNDDOWN(C48/32,0)</f>
        <v>15</v>
      </c>
      <c r="F48" s="61">
        <f t="shared" ca="1" si="12"/>
        <v>0</v>
      </c>
      <c r="G48" s="61">
        <f t="shared" ca="1" si="13"/>
        <v>0</v>
      </c>
      <c r="H48" s="61" t="s">
        <v>10</v>
      </c>
      <c r="I48" s="68" t="s">
        <v>321</v>
      </c>
      <c r="J48" s="69" t="s">
        <v>625</v>
      </c>
    </row>
    <row r="49" spans="1:10" s="59" customFormat="1">
      <c r="A49" s="117" t="s">
        <v>206</v>
      </c>
      <c r="B49" s="61">
        <v>31</v>
      </c>
      <c r="C49" s="7">
        <f t="shared" ca="1" si="8"/>
        <v>511</v>
      </c>
      <c r="D49" s="7">
        <f t="shared" ca="1" si="4"/>
        <v>481</v>
      </c>
      <c r="E49" s="7">
        <f t="shared" ca="1" si="11"/>
        <v>15</v>
      </c>
      <c r="F49" s="7">
        <f t="shared" ca="1" si="12"/>
        <v>31</v>
      </c>
      <c r="G49" s="61">
        <f t="shared" ca="1" si="13"/>
        <v>1</v>
      </c>
      <c r="H49" s="61" t="s">
        <v>246</v>
      </c>
      <c r="I49" s="68" t="s">
        <v>322</v>
      </c>
      <c r="J49" s="118" t="s">
        <v>206</v>
      </c>
    </row>
    <row r="50" spans="1:10" ht="33">
      <c r="A50" s="63" t="s">
        <v>571</v>
      </c>
      <c r="B50" s="61">
        <v>32</v>
      </c>
      <c r="C50" s="7">
        <f t="shared" ca="1" si="8"/>
        <v>543</v>
      </c>
      <c r="D50" s="7">
        <f t="shared" ca="1" si="4"/>
        <v>512</v>
      </c>
      <c r="E50" s="64">
        <f t="shared" ca="1" si="11"/>
        <v>16</v>
      </c>
      <c r="F50" s="61">
        <f t="shared" ca="1" si="12"/>
        <v>31</v>
      </c>
      <c r="G50" s="61">
        <f t="shared" ca="1" si="13"/>
        <v>0</v>
      </c>
      <c r="H50" s="61" t="s">
        <v>10</v>
      </c>
      <c r="I50" s="68" t="s">
        <v>321</v>
      </c>
      <c r="J50" s="69" t="s">
        <v>626</v>
      </c>
    </row>
    <row r="51" spans="1:10" ht="33">
      <c r="A51" s="63" t="s">
        <v>568</v>
      </c>
      <c r="B51" s="61">
        <v>1</v>
      </c>
      <c r="C51" s="7">
        <f t="shared" ca="1" si="8"/>
        <v>544</v>
      </c>
      <c r="D51" s="7">
        <f t="shared" ca="1" si="4"/>
        <v>544</v>
      </c>
      <c r="E51" s="64">
        <f ca="1">ROUNDDOWN(C51/32,0)</f>
        <v>17</v>
      </c>
      <c r="F51" s="61">
        <f t="shared" ca="1" si="12"/>
        <v>0</v>
      </c>
      <c r="G51" s="61">
        <f t="shared" ca="1" si="13"/>
        <v>0</v>
      </c>
      <c r="H51" s="61" t="s">
        <v>10</v>
      </c>
      <c r="I51" s="68" t="s">
        <v>410</v>
      </c>
      <c r="J51" s="69" t="s">
        <v>627</v>
      </c>
    </row>
    <row r="52" spans="1:10" s="59" customFormat="1">
      <c r="A52" s="117" t="s">
        <v>206</v>
      </c>
      <c r="B52" s="61">
        <v>31</v>
      </c>
      <c r="C52" s="7">
        <f t="shared" ca="1" si="8"/>
        <v>575</v>
      </c>
      <c r="D52" s="7">
        <f t="shared" ca="1" si="4"/>
        <v>545</v>
      </c>
      <c r="E52" s="7">
        <f t="shared" ca="1" si="11"/>
        <v>17</v>
      </c>
      <c r="F52" s="7">
        <f t="shared" ca="1" si="12"/>
        <v>31</v>
      </c>
      <c r="G52" s="61">
        <f t="shared" ca="1" si="13"/>
        <v>1</v>
      </c>
      <c r="H52" s="61" t="s">
        <v>246</v>
      </c>
      <c r="I52" s="68" t="s">
        <v>322</v>
      </c>
      <c r="J52" s="118" t="s">
        <v>206</v>
      </c>
    </row>
    <row r="53" spans="1:10" s="2" customFormat="1">
      <c r="A53" s="60" t="s">
        <v>642</v>
      </c>
      <c r="B53" s="7">
        <v>24</v>
      </c>
      <c r="C53" s="7">
        <f t="shared" ca="1" si="8"/>
        <v>599</v>
      </c>
      <c r="D53" s="7">
        <f t="shared" ca="1" si="4"/>
        <v>576</v>
      </c>
      <c r="E53" s="7">
        <f t="shared" ca="1" si="11"/>
        <v>18</v>
      </c>
      <c r="F53" s="7">
        <f t="shared" ca="1" si="12"/>
        <v>23</v>
      </c>
      <c r="G53" s="7">
        <f t="shared" ca="1" si="13"/>
        <v>0</v>
      </c>
      <c r="H53" s="7" t="s">
        <v>246</v>
      </c>
      <c r="I53" s="8" t="s">
        <v>312</v>
      </c>
      <c r="J53" s="22" t="s">
        <v>326</v>
      </c>
    </row>
    <row r="54" spans="1:10" s="59" customFormat="1">
      <c r="A54" s="60" t="s">
        <v>14</v>
      </c>
      <c r="B54" s="7">
        <v>8</v>
      </c>
      <c r="C54" s="7">
        <f t="shared" ca="1" si="8"/>
        <v>607</v>
      </c>
      <c r="D54" s="7">
        <f t="shared" ca="1" si="4"/>
        <v>600</v>
      </c>
      <c r="E54" s="7">
        <f t="shared" ca="1" si="11"/>
        <v>18</v>
      </c>
      <c r="F54" s="7">
        <f t="shared" ca="1" si="12"/>
        <v>31</v>
      </c>
      <c r="G54" s="7">
        <f t="shared" ca="1" si="13"/>
        <v>24</v>
      </c>
      <c r="H54" s="7" t="s">
        <v>15</v>
      </c>
      <c r="I54" s="8" t="s">
        <v>311</v>
      </c>
      <c r="J54" s="22" t="s">
        <v>14</v>
      </c>
    </row>
    <row r="55" spans="1:10" s="2" customFormat="1">
      <c r="A55" s="60" t="s">
        <v>643</v>
      </c>
      <c r="B55" s="7">
        <v>24</v>
      </c>
      <c r="C55" s="7">
        <f t="shared" ca="1" si="8"/>
        <v>631</v>
      </c>
      <c r="D55" s="7">
        <f t="shared" ca="1" si="4"/>
        <v>608</v>
      </c>
      <c r="E55" s="7">
        <f ca="1">ROUNDDOWN(C55/32,0)</f>
        <v>19</v>
      </c>
      <c r="F55" s="7">
        <f t="shared" ca="1" si="12"/>
        <v>23</v>
      </c>
      <c r="G55" s="7">
        <f t="shared" ca="1" si="13"/>
        <v>0</v>
      </c>
      <c r="H55" s="7" t="s">
        <v>246</v>
      </c>
      <c r="I55" s="8" t="s">
        <v>312</v>
      </c>
      <c r="J55" s="22" t="s">
        <v>326</v>
      </c>
    </row>
    <row r="56" spans="1:10" s="59" customFormat="1">
      <c r="A56" s="60" t="s">
        <v>14</v>
      </c>
      <c r="B56" s="7">
        <v>8</v>
      </c>
      <c r="C56" s="7">
        <f t="shared" ca="1" si="8"/>
        <v>639</v>
      </c>
      <c r="D56" s="7">
        <f t="shared" ca="1" si="4"/>
        <v>632</v>
      </c>
      <c r="E56" s="7">
        <f ca="1">ROUNDDOWN(C56/32,0)</f>
        <v>19</v>
      </c>
      <c r="F56" s="7">
        <f t="shared" ca="1" si="12"/>
        <v>31</v>
      </c>
      <c r="G56" s="7">
        <f t="shared" ca="1" si="13"/>
        <v>24</v>
      </c>
      <c r="H56" s="7" t="s">
        <v>15</v>
      </c>
      <c r="I56" s="8" t="s">
        <v>311</v>
      </c>
      <c r="J56" s="22" t="s">
        <v>14</v>
      </c>
    </row>
    <row r="57" spans="1:10" s="2" customFormat="1">
      <c r="A57" s="60" t="s">
        <v>21</v>
      </c>
      <c r="B57" s="7">
        <v>24</v>
      </c>
      <c r="C57" s="7">
        <f t="shared" ca="1" si="8"/>
        <v>663</v>
      </c>
      <c r="D57" s="7">
        <f t="shared" ca="1" si="4"/>
        <v>640</v>
      </c>
      <c r="E57" s="7">
        <f ca="1">ROUNDDOWN(C57/32,0)</f>
        <v>20</v>
      </c>
      <c r="F57" s="7">
        <f t="shared" ca="1" si="12"/>
        <v>23</v>
      </c>
      <c r="G57" s="7">
        <f t="shared" ca="1" si="13"/>
        <v>0</v>
      </c>
      <c r="H57" s="7" t="s">
        <v>246</v>
      </c>
      <c r="I57" s="8" t="s">
        <v>312</v>
      </c>
      <c r="J57" s="22" t="s">
        <v>23</v>
      </c>
    </row>
    <row r="58" spans="1:10">
      <c r="A58" s="60" t="s">
        <v>14</v>
      </c>
      <c r="B58" s="7">
        <v>8</v>
      </c>
      <c r="C58" s="7">
        <f t="shared" ca="1" si="8"/>
        <v>671</v>
      </c>
      <c r="D58" s="7">
        <f t="shared" ca="1" si="4"/>
        <v>664</v>
      </c>
      <c r="E58" s="7">
        <f t="shared" ref="E58:E63" ca="1" si="14">ROUNDDOWN(C58/32,0)</f>
        <v>20</v>
      </c>
      <c r="F58" s="7">
        <f t="shared" ca="1" si="12"/>
        <v>31</v>
      </c>
      <c r="G58" s="7">
        <f t="shared" ref="G58:G63" ca="1" si="15">D58-E58*32</f>
        <v>24</v>
      </c>
      <c r="H58" s="7" t="s">
        <v>15</v>
      </c>
      <c r="I58" s="8" t="s">
        <v>313</v>
      </c>
      <c r="J58" s="22" t="s">
        <v>14</v>
      </c>
    </row>
    <row r="59" spans="1:10" ht="66">
      <c r="A59" s="60" t="s">
        <v>324</v>
      </c>
      <c r="B59" s="7">
        <v>1</v>
      </c>
      <c r="C59" s="7">
        <f t="shared" ca="1" si="8"/>
        <v>672</v>
      </c>
      <c r="D59" s="7">
        <f t="shared" ca="1" si="4"/>
        <v>672</v>
      </c>
      <c r="E59" s="7">
        <f t="shared" ca="1" si="14"/>
        <v>21</v>
      </c>
      <c r="F59" s="7">
        <f t="shared" ca="1" si="12"/>
        <v>0</v>
      </c>
      <c r="G59" s="7">
        <f t="shared" ca="1" si="15"/>
        <v>0</v>
      </c>
      <c r="H59" s="7" t="s">
        <v>10</v>
      </c>
      <c r="I59" s="8" t="s">
        <v>323</v>
      </c>
      <c r="J59" s="22" t="s">
        <v>142</v>
      </c>
    </row>
    <row r="60" spans="1:10" ht="49.5">
      <c r="A60" s="60" t="s">
        <v>638</v>
      </c>
      <c r="B60" s="7">
        <v>1</v>
      </c>
      <c r="C60" s="7">
        <f t="shared" ca="1" si="8"/>
        <v>673</v>
      </c>
      <c r="D60" s="7">
        <f t="shared" ca="1" si="4"/>
        <v>673</v>
      </c>
      <c r="E60" s="7">
        <f ca="1">ROUNDDOWN(C60/32,0)</f>
        <v>21</v>
      </c>
      <c r="F60" s="7">
        <f t="shared" ca="1" si="12"/>
        <v>1</v>
      </c>
      <c r="G60" s="7">
        <f ca="1">D60-E60*32</f>
        <v>1</v>
      </c>
      <c r="H60" s="7" t="s">
        <v>10</v>
      </c>
      <c r="I60" s="8" t="s">
        <v>13</v>
      </c>
      <c r="J60" s="22" t="s">
        <v>639</v>
      </c>
    </row>
    <row r="61" spans="1:10" ht="49.5">
      <c r="A61" s="60" t="s">
        <v>307</v>
      </c>
      <c r="B61" s="7">
        <v>1</v>
      </c>
      <c r="C61" s="7">
        <f t="shared" ca="1" si="8"/>
        <v>674</v>
      </c>
      <c r="D61" s="7">
        <f t="shared" ca="1" si="4"/>
        <v>674</v>
      </c>
      <c r="E61" s="7">
        <f t="shared" ca="1" si="14"/>
        <v>21</v>
      </c>
      <c r="F61" s="7">
        <f t="shared" ca="1" si="12"/>
        <v>2</v>
      </c>
      <c r="G61" s="7">
        <f t="shared" ca="1" si="15"/>
        <v>2</v>
      </c>
      <c r="H61" s="7" t="s">
        <v>10</v>
      </c>
      <c r="I61" s="8" t="s">
        <v>13</v>
      </c>
      <c r="J61" s="22" t="s">
        <v>309</v>
      </c>
    </row>
    <row r="62" spans="1:10" ht="49.5">
      <c r="A62" s="60" t="s">
        <v>428</v>
      </c>
      <c r="B62" s="7">
        <v>1</v>
      </c>
      <c r="C62" s="7">
        <f t="shared" ca="1" si="8"/>
        <v>675</v>
      </c>
      <c r="D62" s="7">
        <f t="shared" ca="1" si="4"/>
        <v>675</v>
      </c>
      <c r="E62" s="7">
        <f ca="1">ROUNDDOWN(C62/32,0)</f>
        <v>21</v>
      </c>
      <c r="F62" s="7">
        <f t="shared" ca="1" si="12"/>
        <v>3</v>
      </c>
      <c r="G62" s="7">
        <f ca="1">D62-E62*32</f>
        <v>3</v>
      </c>
      <c r="H62" s="7" t="s">
        <v>10</v>
      </c>
      <c r="I62" s="8" t="s">
        <v>13</v>
      </c>
      <c r="J62" s="22" t="s">
        <v>452</v>
      </c>
    </row>
    <row r="63" spans="1:10" ht="49.5">
      <c r="A63" s="60" t="s">
        <v>424</v>
      </c>
      <c r="B63" s="7">
        <v>1</v>
      </c>
      <c r="C63" s="7">
        <f t="shared" ca="1" si="8"/>
        <v>676</v>
      </c>
      <c r="D63" s="7">
        <f t="shared" ca="1" si="4"/>
        <v>676</v>
      </c>
      <c r="E63" s="7">
        <f t="shared" ca="1" si="14"/>
        <v>21</v>
      </c>
      <c r="F63" s="7">
        <f t="shared" ca="1" si="12"/>
        <v>4</v>
      </c>
      <c r="G63" s="7">
        <f t="shared" ca="1" si="15"/>
        <v>4</v>
      </c>
      <c r="H63" s="7" t="s">
        <v>10</v>
      </c>
      <c r="I63" s="8" t="s">
        <v>13</v>
      </c>
      <c r="J63" s="22" t="s">
        <v>453</v>
      </c>
    </row>
    <row r="64" spans="1:10" ht="49.5">
      <c r="A64" s="60" t="s">
        <v>427</v>
      </c>
      <c r="B64" s="7">
        <v>1</v>
      </c>
      <c r="C64" s="7">
        <f t="shared" ca="1" si="8"/>
        <v>677</v>
      </c>
      <c r="D64" s="7">
        <f t="shared" ca="1" si="4"/>
        <v>677</v>
      </c>
      <c r="E64" s="7">
        <f t="shared" ref="E64:E98" ca="1" si="16">ROUNDDOWN(C64/32,0)</f>
        <v>21</v>
      </c>
      <c r="F64" s="7">
        <f t="shared" ca="1" si="12"/>
        <v>5</v>
      </c>
      <c r="G64" s="7">
        <f t="shared" ref="G64:G98" ca="1" si="17">D64-E64*32</f>
        <v>5</v>
      </c>
      <c r="H64" s="7" t="s">
        <v>10</v>
      </c>
      <c r="I64" s="8" t="s">
        <v>13</v>
      </c>
      <c r="J64" s="22" t="s">
        <v>454</v>
      </c>
    </row>
    <row r="65" spans="1:10" ht="49.5">
      <c r="A65" s="60" t="s">
        <v>502</v>
      </c>
      <c r="B65" s="7">
        <v>1</v>
      </c>
      <c r="C65" s="7">
        <f t="shared" ca="1" si="8"/>
        <v>678</v>
      </c>
      <c r="D65" s="7">
        <f t="shared" ca="1" si="4"/>
        <v>678</v>
      </c>
      <c r="E65" s="7">
        <f t="shared" ca="1" si="16"/>
        <v>21</v>
      </c>
      <c r="F65" s="7">
        <f t="shared" ca="1" si="12"/>
        <v>6</v>
      </c>
      <c r="G65" s="7">
        <f t="shared" ca="1" si="17"/>
        <v>6</v>
      </c>
      <c r="H65" s="7" t="s">
        <v>10</v>
      </c>
      <c r="I65" s="8" t="s">
        <v>13</v>
      </c>
      <c r="J65" s="22" t="s">
        <v>503</v>
      </c>
    </row>
    <row r="66" spans="1:10" ht="49.5">
      <c r="A66" s="60" t="s">
        <v>425</v>
      </c>
      <c r="B66" s="7">
        <v>1</v>
      </c>
      <c r="C66" s="7">
        <f t="shared" ref="C66:C68" ca="1" si="18">D66+B66-1</f>
        <v>679</v>
      </c>
      <c r="D66" s="7">
        <f t="shared" ca="1" si="4"/>
        <v>679</v>
      </c>
      <c r="E66" s="7">
        <f t="shared" ca="1" si="16"/>
        <v>21</v>
      </c>
      <c r="F66" s="7">
        <f t="shared" ca="1" si="12"/>
        <v>7</v>
      </c>
      <c r="G66" s="7">
        <f t="shared" ca="1" si="17"/>
        <v>7</v>
      </c>
      <c r="H66" s="7" t="s">
        <v>10</v>
      </c>
      <c r="I66" s="8" t="s">
        <v>13</v>
      </c>
      <c r="J66" s="22" t="s">
        <v>455</v>
      </c>
    </row>
    <row r="67" spans="1:10" ht="49.5">
      <c r="A67" s="60" t="s">
        <v>426</v>
      </c>
      <c r="B67" s="7">
        <v>1</v>
      </c>
      <c r="C67" s="7">
        <f t="shared" ca="1" si="18"/>
        <v>680</v>
      </c>
      <c r="D67" s="7">
        <f t="shared" ca="1" si="4"/>
        <v>680</v>
      </c>
      <c r="E67" s="7">
        <f t="shared" ca="1" si="16"/>
        <v>21</v>
      </c>
      <c r="F67" s="7">
        <f t="shared" ca="1" si="12"/>
        <v>8</v>
      </c>
      <c r="G67" s="7">
        <f t="shared" ca="1" si="17"/>
        <v>8</v>
      </c>
      <c r="H67" s="7" t="s">
        <v>10</v>
      </c>
      <c r="I67" s="8" t="s">
        <v>13</v>
      </c>
      <c r="J67" s="22" t="s">
        <v>456</v>
      </c>
    </row>
    <row r="68" spans="1:10" ht="49.5">
      <c r="A68" s="60" t="s">
        <v>287</v>
      </c>
      <c r="B68" s="7">
        <v>1</v>
      </c>
      <c r="C68" s="7">
        <f t="shared" ca="1" si="18"/>
        <v>681</v>
      </c>
      <c r="D68" s="7">
        <f t="shared" ca="1" si="4"/>
        <v>681</v>
      </c>
      <c r="E68" s="7">
        <f t="shared" ca="1" si="16"/>
        <v>21</v>
      </c>
      <c r="F68" s="7">
        <f t="shared" ca="1" si="12"/>
        <v>9</v>
      </c>
      <c r="G68" s="7">
        <f t="shared" ca="1" si="17"/>
        <v>9</v>
      </c>
      <c r="H68" s="7" t="s">
        <v>10</v>
      </c>
      <c r="I68" s="8" t="s">
        <v>13</v>
      </c>
      <c r="J68" s="22" t="s">
        <v>284</v>
      </c>
    </row>
    <row r="69" spans="1:10" ht="49.5">
      <c r="A69" s="60" t="s">
        <v>429</v>
      </c>
      <c r="B69" s="7">
        <v>1</v>
      </c>
      <c r="C69" s="7">
        <f t="shared" ref="C69:C79" ca="1" si="19">D69+B69-1</f>
        <v>682</v>
      </c>
      <c r="D69" s="7">
        <f t="shared" ca="1" si="4"/>
        <v>682</v>
      </c>
      <c r="E69" s="7">
        <f t="shared" ca="1" si="16"/>
        <v>21</v>
      </c>
      <c r="F69" s="7">
        <f t="shared" ca="1" si="12"/>
        <v>10</v>
      </c>
      <c r="G69" s="7">
        <f t="shared" ca="1" si="17"/>
        <v>10</v>
      </c>
      <c r="H69" s="7" t="s">
        <v>10</v>
      </c>
      <c r="I69" s="8" t="s">
        <v>13</v>
      </c>
      <c r="J69" s="22" t="s">
        <v>451</v>
      </c>
    </row>
    <row r="70" spans="1:10" ht="49.5">
      <c r="A70" s="60" t="s">
        <v>430</v>
      </c>
      <c r="B70" s="7">
        <v>1</v>
      </c>
      <c r="C70" s="7">
        <f t="shared" ca="1" si="19"/>
        <v>683</v>
      </c>
      <c r="D70" s="7">
        <f t="shared" ca="1" si="4"/>
        <v>683</v>
      </c>
      <c r="E70" s="7">
        <f t="shared" ca="1" si="16"/>
        <v>21</v>
      </c>
      <c r="F70" s="7">
        <f t="shared" ca="1" si="12"/>
        <v>11</v>
      </c>
      <c r="G70" s="7">
        <f t="shared" ca="1" si="17"/>
        <v>11</v>
      </c>
      <c r="H70" s="7" t="s">
        <v>10</v>
      </c>
      <c r="I70" s="8" t="s">
        <v>13</v>
      </c>
      <c r="J70" s="22" t="s">
        <v>450</v>
      </c>
    </row>
    <row r="71" spans="1:10" ht="49.5">
      <c r="A71" s="60" t="s">
        <v>431</v>
      </c>
      <c r="B71" s="7">
        <v>1</v>
      </c>
      <c r="C71" s="7">
        <f t="shared" ca="1" si="19"/>
        <v>684</v>
      </c>
      <c r="D71" s="7">
        <f t="shared" ca="1" si="4"/>
        <v>684</v>
      </c>
      <c r="E71" s="7">
        <f t="shared" ca="1" si="16"/>
        <v>21</v>
      </c>
      <c r="F71" s="7">
        <f t="shared" ca="1" si="12"/>
        <v>12</v>
      </c>
      <c r="G71" s="7">
        <f t="shared" ca="1" si="17"/>
        <v>12</v>
      </c>
      <c r="H71" s="7" t="s">
        <v>10</v>
      </c>
      <c r="I71" s="8" t="s">
        <v>13</v>
      </c>
      <c r="J71" s="22" t="s">
        <v>449</v>
      </c>
    </row>
    <row r="72" spans="1:10" ht="49.5">
      <c r="A72" s="60" t="s">
        <v>432</v>
      </c>
      <c r="B72" s="7">
        <v>1</v>
      </c>
      <c r="C72" s="7">
        <f t="shared" ca="1" si="19"/>
        <v>685</v>
      </c>
      <c r="D72" s="7">
        <f t="shared" ca="1" si="4"/>
        <v>685</v>
      </c>
      <c r="E72" s="7">
        <f t="shared" ca="1" si="16"/>
        <v>21</v>
      </c>
      <c r="F72" s="7">
        <f t="shared" ca="1" si="12"/>
        <v>13</v>
      </c>
      <c r="G72" s="7">
        <f t="shared" ca="1" si="17"/>
        <v>13</v>
      </c>
      <c r="H72" s="7" t="s">
        <v>10</v>
      </c>
      <c r="I72" s="8" t="s">
        <v>13</v>
      </c>
      <c r="J72" s="22" t="s">
        <v>448</v>
      </c>
    </row>
    <row r="73" spans="1:10" ht="49.5">
      <c r="A73" s="60" t="s">
        <v>433</v>
      </c>
      <c r="B73" s="7">
        <v>1</v>
      </c>
      <c r="C73" s="7">
        <f t="shared" ca="1" si="19"/>
        <v>686</v>
      </c>
      <c r="D73" s="7">
        <f t="shared" ca="1" si="4"/>
        <v>686</v>
      </c>
      <c r="E73" s="7">
        <f t="shared" ca="1" si="16"/>
        <v>21</v>
      </c>
      <c r="F73" s="7">
        <f t="shared" ca="1" si="12"/>
        <v>14</v>
      </c>
      <c r="G73" s="7">
        <f t="shared" ca="1" si="17"/>
        <v>14</v>
      </c>
      <c r="H73" s="7" t="s">
        <v>10</v>
      </c>
      <c r="I73" s="8" t="s">
        <v>13</v>
      </c>
      <c r="J73" s="22" t="s">
        <v>447</v>
      </c>
    </row>
    <row r="74" spans="1:10" ht="49.5">
      <c r="A74" s="60" t="s">
        <v>434</v>
      </c>
      <c r="B74" s="7">
        <v>1</v>
      </c>
      <c r="C74" s="7">
        <f t="shared" ca="1" si="19"/>
        <v>687</v>
      </c>
      <c r="D74" s="7">
        <f t="shared" ca="1" si="4"/>
        <v>687</v>
      </c>
      <c r="E74" s="7">
        <f t="shared" ca="1" si="16"/>
        <v>21</v>
      </c>
      <c r="F74" s="7">
        <f t="shared" ca="1" si="12"/>
        <v>15</v>
      </c>
      <c r="G74" s="7">
        <f t="shared" ca="1" si="17"/>
        <v>15</v>
      </c>
      <c r="H74" s="7" t="s">
        <v>10</v>
      </c>
      <c r="I74" s="8" t="s">
        <v>13</v>
      </c>
      <c r="J74" s="22" t="s">
        <v>446</v>
      </c>
    </row>
    <row r="75" spans="1:10" ht="49.5">
      <c r="A75" s="60" t="s">
        <v>435</v>
      </c>
      <c r="B75" s="7">
        <v>1</v>
      </c>
      <c r="C75" s="7">
        <f t="shared" ca="1" si="19"/>
        <v>688</v>
      </c>
      <c r="D75" s="7">
        <f t="shared" ca="1" si="4"/>
        <v>688</v>
      </c>
      <c r="E75" s="7">
        <f t="shared" ca="1" si="16"/>
        <v>21</v>
      </c>
      <c r="F75" s="7">
        <f t="shared" ca="1" si="12"/>
        <v>16</v>
      </c>
      <c r="G75" s="7">
        <f t="shared" ca="1" si="17"/>
        <v>16</v>
      </c>
      <c r="H75" s="7" t="s">
        <v>10</v>
      </c>
      <c r="I75" s="8" t="s">
        <v>13</v>
      </c>
      <c r="J75" s="22" t="s">
        <v>445</v>
      </c>
    </row>
    <row r="76" spans="1:10" ht="49.5">
      <c r="A76" s="60" t="s">
        <v>436</v>
      </c>
      <c r="B76" s="7">
        <v>1</v>
      </c>
      <c r="C76" s="7">
        <f t="shared" ca="1" si="19"/>
        <v>689</v>
      </c>
      <c r="D76" s="7">
        <f t="shared" ca="1" si="4"/>
        <v>689</v>
      </c>
      <c r="E76" s="7">
        <f t="shared" ca="1" si="16"/>
        <v>21</v>
      </c>
      <c r="F76" s="7">
        <f t="shared" ref="F76:F98" ca="1" si="20">C76-E76*32</f>
        <v>17</v>
      </c>
      <c r="G76" s="7">
        <f t="shared" ca="1" si="17"/>
        <v>17</v>
      </c>
      <c r="H76" s="7" t="s">
        <v>10</v>
      </c>
      <c r="I76" s="8" t="s">
        <v>13</v>
      </c>
      <c r="J76" s="22" t="s">
        <v>444</v>
      </c>
    </row>
    <row r="77" spans="1:10" ht="49.5">
      <c r="A77" s="60" t="s">
        <v>437</v>
      </c>
      <c r="B77" s="7">
        <v>1</v>
      </c>
      <c r="C77" s="7">
        <f t="shared" ca="1" si="19"/>
        <v>690</v>
      </c>
      <c r="D77" s="7">
        <f t="shared" ca="1" si="4"/>
        <v>690</v>
      </c>
      <c r="E77" s="7">
        <f t="shared" ca="1" si="16"/>
        <v>21</v>
      </c>
      <c r="F77" s="7">
        <f t="shared" ca="1" si="20"/>
        <v>18</v>
      </c>
      <c r="G77" s="7">
        <f t="shared" ca="1" si="17"/>
        <v>18</v>
      </c>
      <c r="H77" s="7" t="s">
        <v>10</v>
      </c>
      <c r="I77" s="8" t="s">
        <v>13</v>
      </c>
      <c r="J77" s="22" t="s">
        <v>443</v>
      </c>
    </row>
    <row r="78" spans="1:10" ht="49.5">
      <c r="A78" s="60" t="s">
        <v>438</v>
      </c>
      <c r="B78" s="7">
        <v>1</v>
      </c>
      <c r="C78" s="7">
        <f t="shared" ca="1" si="19"/>
        <v>691</v>
      </c>
      <c r="D78" s="7">
        <f t="shared" ca="1" si="4"/>
        <v>691</v>
      </c>
      <c r="E78" s="7">
        <f t="shared" ca="1" si="16"/>
        <v>21</v>
      </c>
      <c r="F78" s="7">
        <f t="shared" ca="1" si="20"/>
        <v>19</v>
      </c>
      <c r="G78" s="7">
        <f t="shared" ca="1" si="17"/>
        <v>19</v>
      </c>
      <c r="H78" s="7" t="s">
        <v>10</v>
      </c>
      <c r="I78" s="8" t="s">
        <v>13</v>
      </c>
      <c r="J78" s="22" t="s">
        <v>442</v>
      </c>
    </row>
    <row r="79" spans="1:10" ht="49.5">
      <c r="A79" s="60" t="s">
        <v>288</v>
      </c>
      <c r="B79" s="7">
        <v>1</v>
      </c>
      <c r="C79" s="7">
        <f t="shared" ca="1" si="19"/>
        <v>692</v>
      </c>
      <c r="D79" s="7">
        <f t="shared" ca="1" si="4"/>
        <v>692</v>
      </c>
      <c r="E79" s="7">
        <f t="shared" ca="1" si="16"/>
        <v>21</v>
      </c>
      <c r="F79" s="7">
        <f t="shared" ca="1" si="20"/>
        <v>20</v>
      </c>
      <c r="G79" s="7">
        <f t="shared" ca="1" si="17"/>
        <v>20</v>
      </c>
      <c r="H79" s="7" t="s">
        <v>10</v>
      </c>
      <c r="I79" s="8" t="s">
        <v>13</v>
      </c>
      <c r="J79" s="22" t="s">
        <v>292</v>
      </c>
    </row>
    <row r="80" spans="1:10" ht="49.5">
      <c r="A80" s="60" t="s">
        <v>440</v>
      </c>
      <c r="B80" s="7">
        <v>1</v>
      </c>
      <c r="C80" s="7">
        <f t="shared" ref="C80:C94" ca="1" si="21">D80+B80-1</f>
        <v>693</v>
      </c>
      <c r="D80" s="7">
        <f t="shared" ca="1" si="4"/>
        <v>693</v>
      </c>
      <c r="E80" s="7">
        <f t="shared" ca="1" si="16"/>
        <v>21</v>
      </c>
      <c r="F80" s="7">
        <f t="shared" ca="1" si="20"/>
        <v>21</v>
      </c>
      <c r="G80" s="7">
        <f t="shared" ca="1" si="17"/>
        <v>21</v>
      </c>
      <c r="H80" s="7" t="s">
        <v>10</v>
      </c>
      <c r="I80" s="8" t="s">
        <v>13</v>
      </c>
      <c r="J80" s="22" t="s">
        <v>291</v>
      </c>
    </row>
    <row r="81" spans="1:10" ht="49.5">
      <c r="A81" s="60" t="s">
        <v>439</v>
      </c>
      <c r="B81" s="7">
        <v>1</v>
      </c>
      <c r="C81" s="7">
        <f t="shared" ca="1" si="21"/>
        <v>694</v>
      </c>
      <c r="D81" s="7">
        <f t="shared" ca="1" si="4"/>
        <v>694</v>
      </c>
      <c r="E81" s="7">
        <f t="shared" ca="1" si="16"/>
        <v>21</v>
      </c>
      <c r="F81" s="7">
        <f t="shared" ca="1" si="20"/>
        <v>22</v>
      </c>
      <c r="G81" s="7">
        <f t="shared" ca="1" si="17"/>
        <v>22</v>
      </c>
      <c r="H81" s="7" t="s">
        <v>10</v>
      </c>
      <c r="I81" s="8" t="s">
        <v>13</v>
      </c>
      <c r="J81" s="22" t="s">
        <v>441</v>
      </c>
    </row>
    <row r="82" spans="1:10" ht="49.5">
      <c r="A82" s="60" t="s">
        <v>289</v>
      </c>
      <c r="B82" s="7">
        <v>1</v>
      </c>
      <c r="C82" s="7">
        <f t="shared" ca="1" si="21"/>
        <v>695</v>
      </c>
      <c r="D82" s="7">
        <f t="shared" ca="1" si="4"/>
        <v>695</v>
      </c>
      <c r="E82" s="7">
        <f t="shared" ca="1" si="16"/>
        <v>21</v>
      </c>
      <c r="F82" s="7">
        <f t="shared" ca="1" si="20"/>
        <v>23</v>
      </c>
      <c r="G82" s="7">
        <f t="shared" ca="1" si="17"/>
        <v>23</v>
      </c>
      <c r="H82" s="7" t="s">
        <v>10</v>
      </c>
      <c r="I82" s="8" t="s">
        <v>13</v>
      </c>
      <c r="J82" s="22" t="s">
        <v>293</v>
      </c>
    </row>
    <row r="83" spans="1:10" ht="49.5">
      <c r="A83" s="60" t="s">
        <v>290</v>
      </c>
      <c r="B83" s="7">
        <v>1</v>
      </c>
      <c r="C83" s="7">
        <f t="shared" ca="1" si="21"/>
        <v>696</v>
      </c>
      <c r="D83" s="7">
        <f t="shared" ca="1" si="4"/>
        <v>696</v>
      </c>
      <c r="E83" s="7">
        <f t="shared" ca="1" si="16"/>
        <v>21</v>
      </c>
      <c r="F83" s="7">
        <f t="shared" ca="1" si="20"/>
        <v>24</v>
      </c>
      <c r="G83" s="7">
        <f t="shared" ca="1" si="17"/>
        <v>24</v>
      </c>
      <c r="H83" s="7" t="s">
        <v>10</v>
      </c>
      <c r="I83" s="8" t="s">
        <v>13</v>
      </c>
      <c r="J83" s="22" t="s">
        <v>294</v>
      </c>
    </row>
    <row r="84" spans="1:10" s="129" customFormat="1">
      <c r="A84" s="60" t="s">
        <v>14</v>
      </c>
      <c r="B84" s="7">
        <v>7</v>
      </c>
      <c r="C84" s="7">
        <f t="shared" ca="1" si="21"/>
        <v>703</v>
      </c>
      <c r="D84" s="7">
        <f t="shared" ca="1" si="4"/>
        <v>697</v>
      </c>
      <c r="E84" s="7">
        <f t="shared" ca="1" si="16"/>
        <v>21</v>
      </c>
      <c r="F84" s="7">
        <f t="shared" ca="1" si="20"/>
        <v>31</v>
      </c>
      <c r="G84" s="7">
        <f t="shared" ca="1" si="17"/>
        <v>25</v>
      </c>
      <c r="H84" s="7" t="s">
        <v>15</v>
      </c>
      <c r="I84" s="8" t="s">
        <v>313</v>
      </c>
      <c r="J84" s="22" t="s">
        <v>14</v>
      </c>
    </row>
    <row r="85" spans="1:10" ht="49.5">
      <c r="A85" s="60" t="s">
        <v>407</v>
      </c>
      <c r="B85" s="7">
        <v>1</v>
      </c>
      <c r="C85" s="7">
        <f t="shared" ca="1" si="21"/>
        <v>704</v>
      </c>
      <c r="D85" s="7">
        <f t="shared" ca="1" si="4"/>
        <v>704</v>
      </c>
      <c r="E85" s="7">
        <f t="shared" ca="1" si="16"/>
        <v>22</v>
      </c>
      <c r="F85" s="7">
        <f t="shared" ca="1" si="20"/>
        <v>0</v>
      </c>
      <c r="G85" s="7">
        <f t="shared" ca="1" si="17"/>
        <v>0</v>
      </c>
      <c r="H85" s="7" t="s">
        <v>633</v>
      </c>
      <c r="I85" s="8" t="s">
        <v>13</v>
      </c>
      <c r="J85" s="22" t="s">
        <v>19</v>
      </c>
    </row>
    <row r="86" spans="1:10" ht="49.5">
      <c r="A86" s="60" t="s">
        <v>640</v>
      </c>
      <c r="B86" s="7">
        <v>1</v>
      </c>
      <c r="C86" s="7">
        <f t="shared" ca="1" si="21"/>
        <v>705</v>
      </c>
      <c r="D86" s="7">
        <f t="shared" ca="1" si="4"/>
        <v>705</v>
      </c>
      <c r="E86" s="7">
        <f t="shared" ca="1" si="16"/>
        <v>22</v>
      </c>
      <c r="F86" s="7">
        <f t="shared" ca="1" si="20"/>
        <v>1</v>
      </c>
      <c r="G86" s="7">
        <f t="shared" ca="1" si="17"/>
        <v>1</v>
      </c>
      <c r="H86" s="7" t="s">
        <v>633</v>
      </c>
      <c r="I86" s="8" t="s">
        <v>13</v>
      </c>
      <c r="J86" s="22" t="s">
        <v>19</v>
      </c>
    </row>
    <row r="87" spans="1:10" ht="49.5">
      <c r="A87" s="60" t="s">
        <v>308</v>
      </c>
      <c r="B87" s="7">
        <v>1</v>
      </c>
      <c r="C87" s="7">
        <f t="shared" ca="1" si="21"/>
        <v>706</v>
      </c>
      <c r="D87" s="7">
        <f t="shared" ca="1" si="4"/>
        <v>706</v>
      </c>
      <c r="E87" s="7">
        <f t="shared" ca="1" si="16"/>
        <v>22</v>
      </c>
      <c r="F87" s="7">
        <f t="shared" ca="1" si="20"/>
        <v>2</v>
      </c>
      <c r="G87" s="7">
        <f t="shared" ca="1" si="17"/>
        <v>2</v>
      </c>
      <c r="H87" s="7" t="s">
        <v>633</v>
      </c>
      <c r="I87" s="8" t="s">
        <v>13</v>
      </c>
      <c r="J87" s="22" t="s">
        <v>19</v>
      </c>
    </row>
    <row r="88" spans="1:10" ht="49.5">
      <c r="A88" s="60" t="s">
        <v>463</v>
      </c>
      <c r="B88" s="7">
        <v>1</v>
      </c>
      <c r="C88" s="7">
        <f t="shared" ca="1" si="21"/>
        <v>707</v>
      </c>
      <c r="D88" s="7">
        <f t="shared" ca="1" si="4"/>
        <v>707</v>
      </c>
      <c r="E88" s="7">
        <f t="shared" ca="1" si="16"/>
        <v>22</v>
      </c>
      <c r="F88" s="7">
        <f t="shared" ca="1" si="20"/>
        <v>3</v>
      </c>
      <c r="G88" s="7">
        <f t="shared" ca="1" si="17"/>
        <v>3</v>
      </c>
      <c r="H88" s="7" t="s">
        <v>633</v>
      </c>
      <c r="I88" s="8" t="s">
        <v>13</v>
      </c>
      <c r="J88" s="22" t="s">
        <v>19</v>
      </c>
    </row>
    <row r="89" spans="1:10" ht="49.5">
      <c r="A89" s="60" t="s">
        <v>464</v>
      </c>
      <c r="B89" s="7">
        <v>1</v>
      </c>
      <c r="C89" s="7">
        <f t="shared" ca="1" si="21"/>
        <v>708</v>
      </c>
      <c r="D89" s="7">
        <f t="shared" ca="1" si="4"/>
        <v>708</v>
      </c>
      <c r="E89" s="7">
        <f t="shared" ca="1" si="16"/>
        <v>22</v>
      </c>
      <c r="F89" s="7">
        <f t="shared" ca="1" si="20"/>
        <v>4</v>
      </c>
      <c r="G89" s="7">
        <f t="shared" ca="1" si="17"/>
        <v>4</v>
      </c>
      <c r="H89" s="7" t="s">
        <v>633</v>
      </c>
      <c r="I89" s="8" t="s">
        <v>13</v>
      </c>
      <c r="J89" s="22" t="s">
        <v>19</v>
      </c>
    </row>
    <row r="90" spans="1:10" ht="49.5">
      <c r="A90" s="60" t="s">
        <v>465</v>
      </c>
      <c r="B90" s="7">
        <v>1</v>
      </c>
      <c r="C90" s="7">
        <f t="shared" ca="1" si="21"/>
        <v>709</v>
      </c>
      <c r="D90" s="7">
        <f t="shared" ca="1" si="4"/>
        <v>709</v>
      </c>
      <c r="E90" s="7">
        <f t="shared" ca="1" si="16"/>
        <v>22</v>
      </c>
      <c r="F90" s="7">
        <f t="shared" ca="1" si="20"/>
        <v>5</v>
      </c>
      <c r="G90" s="7">
        <f t="shared" ca="1" si="17"/>
        <v>5</v>
      </c>
      <c r="H90" s="7" t="s">
        <v>633</v>
      </c>
      <c r="I90" s="8" t="s">
        <v>13</v>
      </c>
      <c r="J90" s="22" t="s">
        <v>500</v>
      </c>
    </row>
    <row r="91" spans="1:10" ht="49.5">
      <c r="A91" s="60" t="s">
        <v>501</v>
      </c>
      <c r="B91" s="7">
        <v>1</v>
      </c>
      <c r="C91" s="7">
        <f t="shared" ca="1" si="21"/>
        <v>710</v>
      </c>
      <c r="D91" s="7">
        <f t="shared" ca="1" si="4"/>
        <v>710</v>
      </c>
      <c r="E91" s="7">
        <f t="shared" ca="1" si="16"/>
        <v>22</v>
      </c>
      <c r="F91" s="7">
        <f t="shared" ca="1" si="20"/>
        <v>6</v>
      </c>
      <c r="G91" s="7">
        <f t="shared" ca="1" si="17"/>
        <v>6</v>
      </c>
      <c r="H91" s="7" t="s">
        <v>633</v>
      </c>
      <c r="I91" s="8" t="s">
        <v>13</v>
      </c>
      <c r="J91" s="22" t="s">
        <v>500</v>
      </c>
    </row>
    <row r="92" spans="1:10" ht="49.5">
      <c r="A92" s="60" t="s">
        <v>477</v>
      </c>
      <c r="B92" s="7">
        <v>1</v>
      </c>
      <c r="C92" s="7">
        <f t="shared" ca="1" si="21"/>
        <v>711</v>
      </c>
      <c r="D92" s="7">
        <f t="shared" ca="1" si="4"/>
        <v>711</v>
      </c>
      <c r="E92" s="7">
        <f t="shared" ca="1" si="16"/>
        <v>22</v>
      </c>
      <c r="F92" s="7">
        <f t="shared" ca="1" si="20"/>
        <v>7</v>
      </c>
      <c r="G92" s="7">
        <f t="shared" ca="1" si="17"/>
        <v>7</v>
      </c>
      <c r="H92" s="7" t="s">
        <v>633</v>
      </c>
      <c r="I92" s="8" t="s">
        <v>13</v>
      </c>
      <c r="J92" s="22" t="s">
        <v>19</v>
      </c>
    </row>
    <row r="93" spans="1:10" ht="49.5">
      <c r="A93" s="60" t="s">
        <v>476</v>
      </c>
      <c r="B93" s="7">
        <v>1</v>
      </c>
      <c r="C93" s="7">
        <f t="shared" ca="1" si="21"/>
        <v>712</v>
      </c>
      <c r="D93" s="7">
        <f t="shared" ca="1" si="4"/>
        <v>712</v>
      </c>
      <c r="E93" s="7">
        <f t="shared" ca="1" si="16"/>
        <v>22</v>
      </c>
      <c r="F93" s="7">
        <f t="shared" ca="1" si="20"/>
        <v>8</v>
      </c>
      <c r="G93" s="7">
        <f t="shared" ca="1" si="17"/>
        <v>8</v>
      </c>
      <c r="H93" s="7" t="s">
        <v>633</v>
      </c>
      <c r="I93" s="8" t="s">
        <v>13</v>
      </c>
      <c r="J93" s="22" t="s">
        <v>19</v>
      </c>
    </row>
    <row r="94" spans="1:10" ht="49.5">
      <c r="A94" s="60" t="s">
        <v>299</v>
      </c>
      <c r="B94" s="7">
        <v>1</v>
      </c>
      <c r="C94" s="7">
        <f t="shared" ca="1" si="21"/>
        <v>713</v>
      </c>
      <c r="D94" s="7">
        <f t="shared" ca="1" si="4"/>
        <v>713</v>
      </c>
      <c r="E94" s="7">
        <f t="shared" ca="1" si="16"/>
        <v>22</v>
      </c>
      <c r="F94" s="7">
        <f t="shared" ca="1" si="20"/>
        <v>9</v>
      </c>
      <c r="G94" s="7">
        <f t="shared" ca="1" si="17"/>
        <v>9</v>
      </c>
      <c r="H94" s="7" t="s">
        <v>633</v>
      </c>
      <c r="I94" s="8" t="s">
        <v>13</v>
      </c>
      <c r="J94" s="22" t="s">
        <v>19</v>
      </c>
    </row>
    <row r="95" spans="1:10" ht="49.5">
      <c r="A95" s="60" t="s">
        <v>475</v>
      </c>
      <c r="B95" s="7">
        <v>1</v>
      </c>
      <c r="C95" s="7">
        <f t="shared" ref="C95:C104" ca="1" si="22">D95+B95-1</f>
        <v>714</v>
      </c>
      <c r="D95" s="7">
        <f t="shared" ca="1" si="4"/>
        <v>714</v>
      </c>
      <c r="E95" s="7">
        <f t="shared" ca="1" si="16"/>
        <v>22</v>
      </c>
      <c r="F95" s="7">
        <f t="shared" ca="1" si="20"/>
        <v>10</v>
      </c>
      <c r="G95" s="7">
        <f t="shared" ca="1" si="17"/>
        <v>10</v>
      </c>
      <c r="H95" s="7" t="s">
        <v>633</v>
      </c>
      <c r="I95" s="8" t="s">
        <v>13</v>
      </c>
      <c r="J95" s="22" t="s">
        <v>19</v>
      </c>
    </row>
    <row r="96" spans="1:10" ht="49.5">
      <c r="A96" s="60" t="s">
        <v>474</v>
      </c>
      <c r="B96" s="7">
        <v>1</v>
      </c>
      <c r="C96" s="7">
        <f t="shared" ca="1" si="22"/>
        <v>715</v>
      </c>
      <c r="D96" s="7">
        <f t="shared" ca="1" si="4"/>
        <v>715</v>
      </c>
      <c r="E96" s="7">
        <f t="shared" ca="1" si="16"/>
        <v>22</v>
      </c>
      <c r="F96" s="7">
        <f t="shared" ca="1" si="20"/>
        <v>11</v>
      </c>
      <c r="G96" s="7">
        <f t="shared" ca="1" si="17"/>
        <v>11</v>
      </c>
      <c r="H96" s="7" t="s">
        <v>633</v>
      </c>
      <c r="I96" s="8" t="s">
        <v>13</v>
      </c>
      <c r="J96" s="22" t="s">
        <v>19</v>
      </c>
    </row>
    <row r="97" spans="1:10" ht="49.5">
      <c r="A97" s="60" t="s">
        <v>473</v>
      </c>
      <c r="B97" s="7">
        <v>1</v>
      </c>
      <c r="C97" s="7">
        <f t="shared" ca="1" si="22"/>
        <v>716</v>
      </c>
      <c r="D97" s="7">
        <f t="shared" ca="1" si="4"/>
        <v>716</v>
      </c>
      <c r="E97" s="7">
        <f t="shared" ca="1" si="16"/>
        <v>22</v>
      </c>
      <c r="F97" s="7">
        <f t="shared" ca="1" si="20"/>
        <v>12</v>
      </c>
      <c r="G97" s="7">
        <f t="shared" ca="1" si="17"/>
        <v>12</v>
      </c>
      <c r="H97" s="7" t="s">
        <v>633</v>
      </c>
      <c r="I97" s="8" t="s">
        <v>13</v>
      </c>
      <c r="J97" s="22" t="s">
        <v>19</v>
      </c>
    </row>
    <row r="98" spans="1:10" ht="49.5">
      <c r="A98" s="60" t="s">
        <v>472</v>
      </c>
      <c r="B98" s="7">
        <v>1</v>
      </c>
      <c r="C98" s="7">
        <f t="shared" ca="1" si="22"/>
        <v>717</v>
      </c>
      <c r="D98" s="7">
        <f t="shared" ca="1" si="4"/>
        <v>717</v>
      </c>
      <c r="E98" s="7">
        <f t="shared" ca="1" si="16"/>
        <v>22</v>
      </c>
      <c r="F98" s="7">
        <f t="shared" ca="1" si="20"/>
        <v>13</v>
      </c>
      <c r="G98" s="7">
        <f t="shared" ca="1" si="17"/>
        <v>13</v>
      </c>
      <c r="H98" s="7" t="s">
        <v>633</v>
      </c>
      <c r="I98" s="8" t="s">
        <v>13</v>
      </c>
      <c r="J98" s="22" t="s">
        <v>19</v>
      </c>
    </row>
    <row r="99" spans="1:10" ht="49.5">
      <c r="A99" s="60" t="s">
        <v>471</v>
      </c>
      <c r="B99" s="7">
        <v>1</v>
      </c>
      <c r="C99" s="7">
        <f t="shared" ca="1" si="22"/>
        <v>718</v>
      </c>
      <c r="D99" s="7">
        <f t="shared" ca="1" si="4"/>
        <v>718</v>
      </c>
      <c r="E99" s="7">
        <f t="shared" ref="E99:E104" ca="1" si="23">ROUNDDOWN(C99/32,0)</f>
        <v>22</v>
      </c>
      <c r="F99" s="7">
        <f t="shared" ref="F99:F104" ca="1" si="24">C99-E99*32</f>
        <v>14</v>
      </c>
      <c r="G99" s="7">
        <f t="shared" ref="G99:G104" ca="1" si="25">D99-E99*32</f>
        <v>14</v>
      </c>
      <c r="H99" s="7" t="s">
        <v>633</v>
      </c>
      <c r="I99" s="8" t="s">
        <v>13</v>
      </c>
      <c r="J99" s="22" t="s">
        <v>19</v>
      </c>
    </row>
    <row r="100" spans="1:10" ht="49.5">
      <c r="A100" s="60" t="s">
        <v>641</v>
      </c>
      <c r="B100" s="7">
        <v>1</v>
      </c>
      <c r="C100" s="7">
        <f t="shared" ca="1" si="22"/>
        <v>719</v>
      </c>
      <c r="D100" s="7">
        <f t="shared" ca="1" si="4"/>
        <v>719</v>
      </c>
      <c r="E100" s="7">
        <f t="shared" ca="1" si="23"/>
        <v>22</v>
      </c>
      <c r="F100" s="7">
        <f t="shared" ca="1" si="24"/>
        <v>15</v>
      </c>
      <c r="G100" s="7">
        <f t="shared" ca="1" si="25"/>
        <v>15</v>
      </c>
      <c r="H100" s="7" t="s">
        <v>633</v>
      </c>
      <c r="I100" s="8" t="s">
        <v>13</v>
      </c>
      <c r="J100" s="22" t="s">
        <v>19</v>
      </c>
    </row>
    <row r="101" spans="1:10" ht="49.5">
      <c r="A101" s="60" t="s">
        <v>468</v>
      </c>
      <c r="B101" s="7">
        <v>1</v>
      </c>
      <c r="C101" s="7">
        <f t="shared" ca="1" si="22"/>
        <v>720</v>
      </c>
      <c r="D101" s="7">
        <f t="shared" ca="1" si="4"/>
        <v>720</v>
      </c>
      <c r="E101" s="7">
        <f t="shared" ca="1" si="23"/>
        <v>22</v>
      </c>
      <c r="F101" s="7">
        <f t="shared" ca="1" si="24"/>
        <v>16</v>
      </c>
      <c r="G101" s="7">
        <f t="shared" ca="1" si="25"/>
        <v>16</v>
      </c>
      <c r="H101" s="7" t="s">
        <v>633</v>
      </c>
      <c r="I101" s="8" t="s">
        <v>13</v>
      </c>
      <c r="J101" s="22" t="s">
        <v>19</v>
      </c>
    </row>
    <row r="102" spans="1:10" ht="49.5">
      <c r="A102" s="60" t="s">
        <v>469</v>
      </c>
      <c r="B102" s="7">
        <v>1</v>
      </c>
      <c r="C102" s="7">
        <f t="shared" ca="1" si="22"/>
        <v>721</v>
      </c>
      <c r="D102" s="7">
        <f t="shared" ca="1" si="4"/>
        <v>721</v>
      </c>
      <c r="E102" s="7">
        <f t="shared" ca="1" si="23"/>
        <v>22</v>
      </c>
      <c r="F102" s="7">
        <f t="shared" ca="1" si="24"/>
        <v>17</v>
      </c>
      <c r="G102" s="7">
        <f t="shared" ca="1" si="25"/>
        <v>17</v>
      </c>
      <c r="H102" s="7" t="s">
        <v>633</v>
      </c>
      <c r="I102" s="8" t="s">
        <v>13</v>
      </c>
      <c r="J102" s="22" t="s">
        <v>19</v>
      </c>
    </row>
    <row r="103" spans="1:10" ht="49.5">
      <c r="A103" s="60" t="s">
        <v>467</v>
      </c>
      <c r="B103" s="7">
        <v>1</v>
      </c>
      <c r="C103" s="7">
        <f t="shared" ca="1" si="22"/>
        <v>722</v>
      </c>
      <c r="D103" s="7">
        <f t="shared" ca="1" si="4"/>
        <v>722</v>
      </c>
      <c r="E103" s="7">
        <f t="shared" ca="1" si="23"/>
        <v>22</v>
      </c>
      <c r="F103" s="7">
        <f t="shared" ca="1" si="24"/>
        <v>18</v>
      </c>
      <c r="G103" s="7">
        <f t="shared" ca="1" si="25"/>
        <v>18</v>
      </c>
      <c r="H103" s="7" t="s">
        <v>633</v>
      </c>
      <c r="I103" s="8" t="s">
        <v>13</v>
      </c>
      <c r="J103" s="22" t="s">
        <v>19</v>
      </c>
    </row>
    <row r="104" spans="1:10" ht="49.5">
      <c r="A104" s="60" t="s">
        <v>470</v>
      </c>
      <c r="B104" s="7">
        <v>1</v>
      </c>
      <c r="C104" s="7">
        <f t="shared" ca="1" si="22"/>
        <v>723</v>
      </c>
      <c r="D104" s="7">
        <f t="shared" ca="1" si="4"/>
        <v>723</v>
      </c>
      <c r="E104" s="7">
        <f t="shared" ca="1" si="23"/>
        <v>22</v>
      </c>
      <c r="F104" s="7">
        <f t="shared" ca="1" si="24"/>
        <v>19</v>
      </c>
      <c r="G104" s="7">
        <f t="shared" ca="1" si="25"/>
        <v>19</v>
      </c>
      <c r="H104" s="7" t="s">
        <v>633</v>
      </c>
      <c r="I104" s="8" t="s">
        <v>13</v>
      </c>
      <c r="J104" s="22" t="s">
        <v>19</v>
      </c>
    </row>
    <row r="105" spans="1:10" ht="49.5">
      <c r="A105" s="60" t="s">
        <v>300</v>
      </c>
      <c r="B105" s="7">
        <v>1</v>
      </c>
      <c r="C105" s="7">
        <f t="shared" ref="C105:C118" ca="1" si="26">D105+B105-1</f>
        <v>724</v>
      </c>
      <c r="D105" s="7">
        <f t="shared" ca="1" si="4"/>
        <v>724</v>
      </c>
      <c r="E105" s="7">
        <f t="shared" ref="E105:E118" ca="1" si="27">ROUNDDOWN(C105/32,0)</f>
        <v>22</v>
      </c>
      <c r="F105" s="7">
        <f t="shared" ref="F105:F118" ca="1" si="28">C105-E105*32</f>
        <v>20</v>
      </c>
      <c r="G105" s="7">
        <f t="shared" ref="G105:G118" ca="1" si="29">D105-E105*32</f>
        <v>20</v>
      </c>
      <c r="H105" s="7" t="s">
        <v>10</v>
      </c>
      <c r="I105" s="8" t="s">
        <v>13</v>
      </c>
      <c r="J105" s="22" t="s">
        <v>325</v>
      </c>
    </row>
    <row r="106" spans="1:10" ht="49.5">
      <c r="A106" s="60" t="s">
        <v>301</v>
      </c>
      <c r="B106" s="7">
        <v>1</v>
      </c>
      <c r="C106" s="7">
        <f t="shared" ca="1" si="26"/>
        <v>725</v>
      </c>
      <c r="D106" s="7">
        <f t="shared" ca="1" si="4"/>
        <v>725</v>
      </c>
      <c r="E106" s="7">
        <f t="shared" ca="1" si="27"/>
        <v>22</v>
      </c>
      <c r="F106" s="7">
        <f t="shared" ca="1" si="28"/>
        <v>21</v>
      </c>
      <c r="G106" s="7">
        <f t="shared" ca="1" si="29"/>
        <v>21</v>
      </c>
      <c r="H106" s="7" t="s">
        <v>10</v>
      </c>
      <c r="I106" s="8" t="s">
        <v>13</v>
      </c>
      <c r="J106" s="22" t="s">
        <v>295</v>
      </c>
    </row>
    <row r="107" spans="1:10" ht="49.5">
      <c r="A107" s="60" t="s">
        <v>466</v>
      </c>
      <c r="B107" s="7">
        <v>1</v>
      </c>
      <c r="C107" s="7">
        <f t="shared" ca="1" si="26"/>
        <v>726</v>
      </c>
      <c r="D107" s="7">
        <f t="shared" ca="1" si="4"/>
        <v>726</v>
      </c>
      <c r="E107" s="7">
        <f t="shared" ca="1" si="27"/>
        <v>22</v>
      </c>
      <c r="F107" s="7">
        <f t="shared" ca="1" si="28"/>
        <v>22</v>
      </c>
      <c r="G107" s="7">
        <f t="shared" ca="1" si="29"/>
        <v>22</v>
      </c>
      <c r="H107" s="7" t="s">
        <v>633</v>
      </c>
      <c r="I107" s="8" t="s">
        <v>13</v>
      </c>
      <c r="J107" s="22" t="s">
        <v>296</v>
      </c>
    </row>
    <row r="108" spans="1:10" ht="49.5">
      <c r="A108" s="60" t="s">
        <v>302</v>
      </c>
      <c r="B108" s="7">
        <v>1</v>
      </c>
      <c r="C108" s="7">
        <f t="shared" ca="1" si="26"/>
        <v>727</v>
      </c>
      <c r="D108" s="7">
        <f t="shared" ca="1" si="4"/>
        <v>727</v>
      </c>
      <c r="E108" s="7">
        <f t="shared" ca="1" si="27"/>
        <v>22</v>
      </c>
      <c r="F108" s="7">
        <f t="shared" ca="1" si="28"/>
        <v>23</v>
      </c>
      <c r="G108" s="7">
        <f t="shared" ca="1" si="29"/>
        <v>23</v>
      </c>
      <c r="H108" s="7" t="s">
        <v>10</v>
      </c>
      <c r="I108" s="8" t="s">
        <v>13</v>
      </c>
      <c r="J108" s="22" t="s">
        <v>297</v>
      </c>
    </row>
    <row r="109" spans="1:10" s="29" customFormat="1" ht="49.5">
      <c r="A109" s="60" t="s">
        <v>303</v>
      </c>
      <c r="B109" s="7">
        <v>1</v>
      </c>
      <c r="C109" s="7">
        <f t="shared" ca="1" si="26"/>
        <v>728</v>
      </c>
      <c r="D109" s="7">
        <f t="shared" ca="1" si="4"/>
        <v>728</v>
      </c>
      <c r="E109" s="7">
        <f t="shared" ca="1" si="27"/>
        <v>22</v>
      </c>
      <c r="F109" s="7">
        <f t="shared" ca="1" si="28"/>
        <v>24</v>
      </c>
      <c r="G109" s="7">
        <f t="shared" ca="1" si="29"/>
        <v>24</v>
      </c>
      <c r="H109" s="7" t="s">
        <v>10</v>
      </c>
      <c r="I109" s="8" t="s">
        <v>13</v>
      </c>
      <c r="J109" s="22" t="s">
        <v>298</v>
      </c>
    </row>
    <row r="110" spans="1:10">
      <c r="A110" s="60" t="s">
        <v>206</v>
      </c>
      <c r="B110" s="7">
        <v>7</v>
      </c>
      <c r="C110" s="7">
        <f t="shared" ca="1" si="26"/>
        <v>735</v>
      </c>
      <c r="D110" s="7">
        <f t="shared" ca="1" si="4"/>
        <v>729</v>
      </c>
      <c r="E110" s="7">
        <f t="shared" ca="1" si="27"/>
        <v>22</v>
      </c>
      <c r="F110" s="7">
        <f t="shared" ca="1" si="28"/>
        <v>31</v>
      </c>
      <c r="G110" s="7">
        <f t="shared" ca="1" si="29"/>
        <v>25</v>
      </c>
      <c r="H110" s="122" t="s">
        <v>246</v>
      </c>
      <c r="I110" s="8" t="s">
        <v>354</v>
      </c>
      <c r="J110" s="22" t="s">
        <v>206</v>
      </c>
    </row>
    <row r="111" spans="1:10" s="29" customFormat="1">
      <c r="A111" s="124" t="s">
        <v>337</v>
      </c>
      <c r="B111" s="7">
        <v>32</v>
      </c>
      <c r="C111" s="7">
        <f t="shared" ca="1" si="26"/>
        <v>767</v>
      </c>
      <c r="D111" s="7">
        <f t="shared" ca="1" si="4"/>
        <v>736</v>
      </c>
      <c r="E111" s="7">
        <f t="shared" ca="1" si="27"/>
        <v>23</v>
      </c>
      <c r="F111" s="7">
        <f t="shared" ca="1" si="28"/>
        <v>31</v>
      </c>
      <c r="G111" s="7">
        <f t="shared" ca="1" si="29"/>
        <v>0</v>
      </c>
      <c r="H111" s="7" t="s">
        <v>10</v>
      </c>
      <c r="I111" s="125" t="s">
        <v>327</v>
      </c>
      <c r="J111" s="123" t="s">
        <v>345</v>
      </c>
    </row>
    <row r="112" spans="1:10" s="29" customFormat="1">
      <c r="A112" s="124" t="s">
        <v>338</v>
      </c>
      <c r="B112" s="7">
        <v>32</v>
      </c>
      <c r="C112" s="7">
        <f t="shared" ca="1" si="26"/>
        <v>799</v>
      </c>
      <c r="D112" s="7">
        <f t="shared" ca="1" si="4"/>
        <v>768</v>
      </c>
      <c r="E112" s="7">
        <f t="shared" ca="1" si="27"/>
        <v>24</v>
      </c>
      <c r="F112" s="7">
        <f t="shared" ca="1" si="28"/>
        <v>31</v>
      </c>
      <c r="G112" s="7">
        <f t="shared" ca="1" si="29"/>
        <v>0</v>
      </c>
      <c r="H112" s="7" t="s">
        <v>10</v>
      </c>
      <c r="I112" s="125" t="s">
        <v>327</v>
      </c>
      <c r="J112" s="123" t="s">
        <v>346</v>
      </c>
    </row>
    <row r="113" spans="1:10" s="29" customFormat="1">
      <c r="A113" s="124" t="s">
        <v>339</v>
      </c>
      <c r="B113" s="7">
        <v>32</v>
      </c>
      <c r="C113" s="7">
        <f t="shared" ca="1" si="26"/>
        <v>831</v>
      </c>
      <c r="D113" s="7">
        <f t="shared" ca="1" si="4"/>
        <v>800</v>
      </c>
      <c r="E113" s="7">
        <f t="shared" ca="1" si="27"/>
        <v>25</v>
      </c>
      <c r="F113" s="7">
        <f t="shared" ca="1" si="28"/>
        <v>31</v>
      </c>
      <c r="G113" s="7">
        <f t="shared" ca="1" si="29"/>
        <v>0</v>
      </c>
      <c r="H113" s="7" t="s">
        <v>10</v>
      </c>
      <c r="I113" s="125" t="s">
        <v>70</v>
      </c>
      <c r="J113" s="123" t="s">
        <v>347</v>
      </c>
    </row>
    <row r="114" spans="1:10" s="29" customFormat="1">
      <c r="A114" s="124" t="s">
        <v>340</v>
      </c>
      <c r="B114" s="7">
        <v>32</v>
      </c>
      <c r="C114" s="7">
        <f t="shared" ca="1" si="26"/>
        <v>863</v>
      </c>
      <c r="D114" s="7">
        <f t="shared" ca="1" si="4"/>
        <v>832</v>
      </c>
      <c r="E114" s="7">
        <f t="shared" ca="1" si="27"/>
        <v>26</v>
      </c>
      <c r="F114" s="7">
        <f t="shared" ca="1" si="28"/>
        <v>31</v>
      </c>
      <c r="G114" s="7">
        <f t="shared" ca="1" si="29"/>
        <v>0</v>
      </c>
      <c r="H114" s="7" t="s">
        <v>10</v>
      </c>
      <c r="I114" s="125" t="s">
        <v>70</v>
      </c>
      <c r="J114" s="123" t="s">
        <v>348</v>
      </c>
    </row>
    <row r="115" spans="1:10" s="29" customFormat="1">
      <c r="A115" s="124" t="s">
        <v>341</v>
      </c>
      <c r="B115" s="7">
        <v>32</v>
      </c>
      <c r="C115" s="7">
        <f t="shared" ca="1" si="26"/>
        <v>895</v>
      </c>
      <c r="D115" s="7">
        <f t="shared" ca="1" si="4"/>
        <v>864</v>
      </c>
      <c r="E115" s="7">
        <f t="shared" ca="1" si="27"/>
        <v>27</v>
      </c>
      <c r="F115" s="7">
        <f t="shared" ca="1" si="28"/>
        <v>31</v>
      </c>
      <c r="G115" s="7">
        <f t="shared" ca="1" si="29"/>
        <v>0</v>
      </c>
      <c r="H115" s="7" t="s">
        <v>10</v>
      </c>
      <c r="I115" s="125" t="s">
        <v>70</v>
      </c>
      <c r="J115" s="123" t="s">
        <v>349</v>
      </c>
    </row>
    <row r="116" spans="1:10" s="29" customFormat="1">
      <c r="A116" s="124" t="s">
        <v>342</v>
      </c>
      <c r="B116" s="7">
        <v>32</v>
      </c>
      <c r="C116" s="7">
        <f t="shared" ca="1" si="26"/>
        <v>927</v>
      </c>
      <c r="D116" s="7">
        <f t="shared" ca="1" si="4"/>
        <v>896</v>
      </c>
      <c r="E116" s="7">
        <f t="shared" ca="1" si="27"/>
        <v>28</v>
      </c>
      <c r="F116" s="7">
        <f t="shared" ca="1" si="28"/>
        <v>31</v>
      </c>
      <c r="G116" s="7">
        <f t="shared" ca="1" si="29"/>
        <v>0</v>
      </c>
      <c r="H116" s="7" t="s">
        <v>10</v>
      </c>
      <c r="I116" s="125" t="s">
        <v>70</v>
      </c>
      <c r="J116" s="123" t="s">
        <v>350</v>
      </c>
    </row>
    <row r="117" spans="1:10" s="29" customFormat="1">
      <c r="A117" s="124" t="s">
        <v>343</v>
      </c>
      <c r="B117" s="7">
        <v>32</v>
      </c>
      <c r="C117" s="7">
        <f t="shared" ca="1" si="26"/>
        <v>959</v>
      </c>
      <c r="D117" s="7">
        <f t="shared" ca="1" si="4"/>
        <v>928</v>
      </c>
      <c r="E117" s="7">
        <f t="shared" ca="1" si="27"/>
        <v>29</v>
      </c>
      <c r="F117" s="7">
        <f t="shared" ca="1" si="28"/>
        <v>31</v>
      </c>
      <c r="G117" s="7">
        <f t="shared" ca="1" si="29"/>
        <v>0</v>
      </c>
      <c r="H117" s="7" t="s">
        <v>10</v>
      </c>
      <c r="I117" s="125" t="s">
        <v>70</v>
      </c>
      <c r="J117" s="123" t="s">
        <v>351</v>
      </c>
    </row>
    <row r="118" spans="1:10" s="29" customFormat="1">
      <c r="A118" s="124" t="s">
        <v>344</v>
      </c>
      <c r="B118" s="7">
        <v>32</v>
      </c>
      <c r="C118" s="7">
        <f t="shared" ca="1" si="26"/>
        <v>991</v>
      </c>
      <c r="D118" s="7">
        <f t="shared" ca="1" si="4"/>
        <v>960</v>
      </c>
      <c r="E118" s="7">
        <f t="shared" ca="1" si="27"/>
        <v>30</v>
      </c>
      <c r="F118" s="7">
        <f t="shared" ca="1" si="28"/>
        <v>31</v>
      </c>
      <c r="G118" s="7">
        <f t="shared" ca="1" si="29"/>
        <v>0</v>
      </c>
      <c r="H118" s="7" t="s">
        <v>10</v>
      </c>
      <c r="I118" s="125" t="s">
        <v>70</v>
      </c>
      <c r="J118" s="123" t="s">
        <v>352</v>
      </c>
    </row>
    <row r="119" spans="1:10" s="29" customFormat="1">
      <c r="A119" s="124" t="s">
        <v>572</v>
      </c>
      <c r="B119" s="7">
        <v>32</v>
      </c>
      <c r="C119" s="7">
        <f t="shared" ref="C119:C126" ca="1" si="30">D119+B119-1</f>
        <v>1023</v>
      </c>
      <c r="D119" s="7">
        <f t="shared" ca="1" si="4"/>
        <v>992</v>
      </c>
      <c r="E119" s="7">
        <f t="shared" ref="E119:E126" ca="1" si="31">ROUNDDOWN(C119/32,0)</f>
        <v>31</v>
      </c>
      <c r="F119" s="7">
        <f t="shared" ref="F119:F126" ca="1" si="32">C119-E119*32</f>
        <v>31</v>
      </c>
      <c r="G119" s="7">
        <f t="shared" ref="G119:G126" ca="1" si="33">D119-E119*32</f>
        <v>0</v>
      </c>
      <c r="H119" s="7" t="s">
        <v>10</v>
      </c>
      <c r="I119" s="125" t="s">
        <v>327</v>
      </c>
      <c r="J119" s="123" t="s">
        <v>596</v>
      </c>
    </row>
    <row r="120" spans="1:10" s="29" customFormat="1">
      <c r="A120" s="124" t="s">
        <v>573</v>
      </c>
      <c r="B120" s="7">
        <v>32</v>
      </c>
      <c r="C120" s="7">
        <f t="shared" ca="1" si="30"/>
        <v>1055</v>
      </c>
      <c r="D120" s="7">
        <f t="shared" ca="1" si="4"/>
        <v>1024</v>
      </c>
      <c r="E120" s="7">
        <f t="shared" ca="1" si="31"/>
        <v>32</v>
      </c>
      <c r="F120" s="7">
        <f t="shared" ca="1" si="32"/>
        <v>31</v>
      </c>
      <c r="G120" s="7">
        <f t="shared" ca="1" si="33"/>
        <v>0</v>
      </c>
      <c r="H120" s="7" t="s">
        <v>10</v>
      </c>
      <c r="I120" s="125" t="s">
        <v>327</v>
      </c>
      <c r="J120" s="123" t="s">
        <v>597</v>
      </c>
    </row>
    <row r="121" spans="1:10" s="29" customFormat="1">
      <c r="A121" s="124" t="s">
        <v>574</v>
      </c>
      <c r="B121" s="7">
        <v>32</v>
      </c>
      <c r="C121" s="7">
        <f t="shared" ca="1" si="30"/>
        <v>1087</v>
      </c>
      <c r="D121" s="7">
        <f t="shared" ca="1" si="4"/>
        <v>1056</v>
      </c>
      <c r="E121" s="7">
        <f t="shared" ca="1" si="31"/>
        <v>33</v>
      </c>
      <c r="F121" s="7">
        <f t="shared" ca="1" si="32"/>
        <v>31</v>
      </c>
      <c r="G121" s="7">
        <f t="shared" ca="1" si="33"/>
        <v>0</v>
      </c>
      <c r="H121" s="7" t="s">
        <v>10</v>
      </c>
      <c r="I121" s="125" t="s">
        <v>70</v>
      </c>
      <c r="J121" s="123" t="s">
        <v>598</v>
      </c>
    </row>
    <row r="122" spans="1:10" s="29" customFormat="1">
      <c r="A122" s="124" t="s">
        <v>575</v>
      </c>
      <c r="B122" s="7">
        <v>32</v>
      </c>
      <c r="C122" s="7">
        <f t="shared" ca="1" si="30"/>
        <v>1119</v>
      </c>
      <c r="D122" s="7">
        <f t="shared" ca="1" si="4"/>
        <v>1088</v>
      </c>
      <c r="E122" s="7">
        <f t="shared" ca="1" si="31"/>
        <v>34</v>
      </c>
      <c r="F122" s="7">
        <f t="shared" ca="1" si="32"/>
        <v>31</v>
      </c>
      <c r="G122" s="7">
        <f t="shared" ca="1" si="33"/>
        <v>0</v>
      </c>
      <c r="H122" s="7" t="s">
        <v>10</v>
      </c>
      <c r="I122" s="125" t="s">
        <v>70</v>
      </c>
      <c r="J122" s="123" t="s">
        <v>599</v>
      </c>
    </row>
    <row r="123" spans="1:10" s="29" customFormat="1">
      <c r="A123" s="124" t="s">
        <v>576</v>
      </c>
      <c r="B123" s="7">
        <v>32</v>
      </c>
      <c r="C123" s="7">
        <f t="shared" ca="1" si="30"/>
        <v>1151</v>
      </c>
      <c r="D123" s="7">
        <f t="shared" ca="1" si="4"/>
        <v>1120</v>
      </c>
      <c r="E123" s="7">
        <f t="shared" ca="1" si="31"/>
        <v>35</v>
      </c>
      <c r="F123" s="7">
        <f t="shared" ca="1" si="32"/>
        <v>31</v>
      </c>
      <c r="G123" s="7">
        <f t="shared" ca="1" si="33"/>
        <v>0</v>
      </c>
      <c r="H123" s="7" t="s">
        <v>10</v>
      </c>
      <c r="I123" s="125" t="s">
        <v>70</v>
      </c>
      <c r="J123" s="123" t="s">
        <v>600</v>
      </c>
    </row>
    <row r="124" spans="1:10" s="29" customFormat="1">
      <c r="A124" s="124" t="s">
        <v>577</v>
      </c>
      <c r="B124" s="7">
        <v>32</v>
      </c>
      <c r="C124" s="7">
        <f t="shared" ca="1" si="30"/>
        <v>1183</v>
      </c>
      <c r="D124" s="7">
        <f t="shared" ca="1" si="4"/>
        <v>1152</v>
      </c>
      <c r="E124" s="7">
        <f t="shared" ca="1" si="31"/>
        <v>36</v>
      </c>
      <c r="F124" s="7">
        <f t="shared" ca="1" si="32"/>
        <v>31</v>
      </c>
      <c r="G124" s="7">
        <f t="shared" ca="1" si="33"/>
        <v>0</v>
      </c>
      <c r="H124" s="7" t="s">
        <v>10</v>
      </c>
      <c r="I124" s="125" t="s">
        <v>70</v>
      </c>
      <c r="J124" s="123" t="s">
        <v>601</v>
      </c>
    </row>
    <row r="125" spans="1:10" s="29" customFormat="1">
      <c r="A125" s="124" t="s">
        <v>578</v>
      </c>
      <c r="B125" s="7">
        <v>32</v>
      </c>
      <c r="C125" s="7">
        <f t="shared" ca="1" si="30"/>
        <v>1215</v>
      </c>
      <c r="D125" s="7">
        <f t="shared" ca="1" si="4"/>
        <v>1184</v>
      </c>
      <c r="E125" s="7">
        <f t="shared" ca="1" si="31"/>
        <v>37</v>
      </c>
      <c r="F125" s="7">
        <f t="shared" ca="1" si="32"/>
        <v>31</v>
      </c>
      <c r="G125" s="7">
        <f t="shared" ca="1" si="33"/>
        <v>0</v>
      </c>
      <c r="H125" s="7" t="s">
        <v>10</v>
      </c>
      <c r="I125" s="125" t="s">
        <v>70</v>
      </c>
      <c r="J125" s="123" t="s">
        <v>602</v>
      </c>
    </row>
    <row r="126" spans="1:10" s="29" customFormat="1">
      <c r="A126" s="124" t="s">
        <v>579</v>
      </c>
      <c r="B126" s="7">
        <v>32</v>
      </c>
      <c r="C126" s="7">
        <f t="shared" ca="1" si="30"/>
        <v>1247</v>
      </c>
      <c r="D126" s="7">
        <f t="shared" ca="1" si="4"/>
        <v>1216</v>
      </c>
      <c r="E126" s="7">
        <f t="shared" ca="1" si="31"/>
        <v>38</v>
      </c>
      <c r="F126" s="7">
        <f t="shared" ca="1" si="32"/>
        <v>31</v>
      </c>
      <c r="G126" s="7">
        <f t="shared" ca="1" si="33"/>
        <v>0</v>
      </c>
      <c r="H126" s="7" t="s">
        <v>10</v>
      </c>
      <c r="I126" s="125" t="s">
        <v>70</v>
      </c>
      <c r="J126" s="123" t="s">
        <v>603</v>
      </c>
    </row>
    <row r="127" spans="1:10" s="29" customFormat="1">
      <c r="A127" s="124" t="s">
        <v>580</v>
      </c>
      <c r="B127" s="7">
        <v>32</v>
      </c>
      <c r="C127" s="7">
        <f t="shared" ref="C127:C142" ca="1" si="34">D127+B127-1</f>
        <v>1279</v>
      </c>
      <c r="D127" s="7">
        <f t="shared" ca="1" si="4"/>
        <v>1248</v>
      </c>
      <c r="E127" s="7">
        <f t="shared" ref="E127:E142" ca="1" si="35">ROUNDDOWN(C127/32,0)</f>
        <v>39</v>
      </c>
      <c r="F127" s="7">
        <f t="shared" ref="F127:F142" ca="1" si="36">C127-E127*32</f>
        <v>31</v>
      </c>
      <c r="G127" s="7">
        <f t="shared" ref="G127:G142" ca="1" si="37">D127-E127*32</f>
        <v>0</v>
      </c>
      <c r="H127" s="7" t="s">
        <v>10</v>
      </c>
      <c r="I127" s="125" t="s">
        <v>327</v>
      </c>
      <c r="J127" s="123" t="s">
        <v>604</v>
      </c>
    </row>
    <row r="128" spans="1:10" s="29" customFormat="1">
      <c r="A128" s="124" t="s">
        <v>581</v>
      </c>
      <c r="B128" s="7">
        <v>32</v>
      </c>
      <c r="C128" s="7">
        <f t="shared" ca="1" si="34"/>
        <v>1311</v>
      </c>
      <c r="D128" s="7">
        <f t="shared" ca="1" si="4"/>
        <v>1280</v>
      </c>
      <c r="E128" s="7">
        <f t="shared" ca="1" si="35"/>
        <v>40</v>
      </c>
      <c r="F128" s="7">
        <f t="shared" ca="1" si="36"/>
        <v>31</v>
      </c>
      <c r="G128" s="7">
        <f t="shared" ca="1" si="37"/>
        <v>0</v>
      </c>
      <c r="H128" s="7" t="s">
        <v>10</v>
      </c>
      <c r="I128" s="125" t="s">
        <v>327</v>
      </c>
      <c r="J128" s="123" t="s">
        <v>605</v>
      </c>
    </row>
    <row r="129" spans="1:10" s="29" customFormat="1">
      <c r="A129" s="124" t="s">
        <v>582</v>
      </c>
      <c r="B129" s="7">
        <v>32</v>
      </c>
      <c r="C129" s="7">
        <f t="shared" ca="1" si="34"/>
        <v>1343</v>
      </c>
      <c r="D129" s="7">
        <f t="shared" ca="1" si="4"/>
        <v>1312</v>
      </c>
      <c r="E129" s="7">
        <f t="shared" ca="1" si="35"/>
        <v>41</v>
      </c>
      <c r="F129" s="7">
        <f t="shared" ca="1" si="36"/>
        <v>31</v>
      </c>
      <c r="G129" s="7">
        <f t="shared" ca="1" si="37"/>
        <v>0</v>
      </c>
      <c r="H129" s="7" t="s">
        <v>10</v>
      </c>
      <c r="I129" s="125" t="s">
        <v>70</v>
      </c>
      <c r="J129" s="123" t="s">
        <v>606</v>
      </c>
    </row>
    <row r="130" spans="1:10" s="29" customFormat="1">
      <c r="A130" s="124" t="s">
        <v>583</v>
      </c>
      <c r="B130" s="7">
        <v>32</v>
      </c>
      <c r="C130" s="7">
        <f t="shared" ca="1" si="34"/>
        <v>1375</v>
      </c>
      <c r="D130" s="7">
        <f t="shared" ca="1" si="4"/>
        <v>1344</v>
      </c>
      <c r="E130" s="7">
        <f t="shared" ca="1" si="35"/>
        <v>42</v>
      </c>
      <c r="F130" s="7">
        <f t="shared" ca="1" si="36"/>
        <v>31</v>
      </c>
      <c r="G130" s="7">
        <f t="shared" ca="1" si="37"/>
        <v>0</v>
      </c>
      <c r="H130" s="7" t="s">
        <v>10</v>
      </c>
      <c r="I130" s="125" t="s">
        <v>70</v>
      </c>
      <c r="J130" s="123" t="s">
        <v>607</v>
      </c>
    </row>
    <row r="131" spans="1:10" s="29" customFormat="1">
      <c r="A131" s="124" t="s">
        <v>584</v>
      </c>
      <c r="B131" s="7">
        <v>32</v>
      </c>
      <c r="C131" s="7">
        <f t="shared" ca="1" si="34"/>
        <v>1407</v>
      </c>
      <c r="D131" s="7">
        <f t="shared" ca="1" si="4"/>
        <v>1376</v>
      </c>
      <c r="E131" s="7">
        <f t="shared" ca="1" si="35"/>
        <v>43</v>
      </c>
      <c r="F131" s="7">
        <f t="shared" ca="1" si="36"/>
        <v>31</v>
      </c>
      <c r="G131" s="7">
        <f t="shared" ca="1" si="37"/>
        <v>0</v>
      </c>
      <c r="H131" s="7" t="s">
        <v>10</v>
      </c>
      <c r="I131" s="125" t="s">
        <v>70</v>
      </c>
      <c r="J131" s="123" t="s">
        <v>608</v>
      </c>
    </row>
    <row r="132" spans="1:10" s="29" customFormat="1">
      <c r="A132" s="124" t="s">
        <v>585</v>
      </c>
      <c r="B132" s="7">
        <v>32</v>
      </c>
      <c r="C132" s="7">
        <f t="shared" ca="1" si="34"/>
        <v>1439</v>
      </c>
      <c r="D132" s="7">
        <f t="shared" ca="1" si="4"/>
        <v>1408</v>
      </c>
      <c r="E132" s="7">
        <f t="shared" ca="1" si="35"/>
        <v>44</v>
      </c>
      <c r="F132" s="7">
        <f t="shared" ca="1" si="36"/>
        <v>31</v>
      </c>
      <c r="G132" s="7">
        <f t="shared" ca="1" si="37"/>
        <v>0</v>
      </c>
      <c r="H132" s="7" t="s">
        <v>10</v>
      </c>
      <c r="I132" s="125" t="s">
        <v>70</v>
      </c>
      <c r="J132" s="123" t="s">
        <v>609</v>
      </c>
    </row>
    <row r="133" spans="1:10" s="29" customFormat="1">
      <c r="A133" s="124" t="s">
        <v>586</v>
      </c>
      <c r="B133" s="7">
        <v>32</v>
      </c>
      <c r="C133" s="7">
        <f t="shared" ca="1" si="34"/>
        <v>1471</v>
      </c>
      <c r="D133" s="7">
        <f t="shared" ca="1" si="4"/>
        <v>1440</v>
      </c>
      <c r="E133" s="7">
        <f t="shared" ca="1" si="35"/>
        <v>45</v>
      </c>
      <c r="F133" s="7">
        <f t="shared" ca="1" si="36"/>
        <v>31</v>
      </c>
      <c r="G133" s="7">
        <f t="shared" ca="1" si="37"/>
        <v>0</v>
      </c>
      <c r="H133" s="7" t="s">
        <v>10</v>
      </c>
      <c r="I133" s="125" t="s">
        <v>70</v>
      </c>
      <c r="J133" s="123" t="s">
        <v>610</v>
      </c>
    </row>
    <row r="134" spans="1:10" s="29" customFormat="1">
      <c r="A134" s="124" t="s">
        <v>587</v>
      </c>
      <c r="B134" s="7">
        <v>32</v>
      </c>
      <c r="C134" s="7">
        <f t="shared" ca="1" si="34"/>
        <v>1503</v>
      </c>
      <c r="D134" s="7">
        <f t="shared" ca="1" si="4"/>
        <v>1472</v>
      </c>
      <c r="E134" s="7">
        <f t="shared" ca="1" si="35"/>
        <v>46</v>
      </c>
      <c r="F134" s="7">
        <f t="shared" ca="1" si="36"/>
        <v>31</v>
      </c>
      <c r="G134" s="7">
        <f t="shared" ca="1" si="37"/>
        <v>0</v>
      </c>
      <c r="H134" s="7" t="s">
        <v>10</v>
      </c>
      <c r="I134" s="125" t="s">
        <v>70</v>
      </c>
      <c r="J134" s="123" t="s">
        <v>611</v>
      </c>
    </row>
    <row r="135" spans="1:10" s="29" customFormat="1">
      <c r="A135" s="124" t="s">
        <v>588</v>
      </c>
      <c r="B135" s="7">
        <v>32</v>
      </c>
      <c r="C135" s="7">
        <f t="shared" ca="1" si="34"/>
        <v>1535</v>
      </c>
      <c r="D135" s="7">
        <f t="shared" ca="1" si="4"/>
        <v>1504</v>
      </c>
      <c r="E135" s="7">
        <f t="shared" ca="1" si="35"/>
        <v>47</v>
      </c>
      <c r="F135" s="7">
        <f t="shared" ca="1" si="36"/>
        <v>31</v>
      </c>
      <c r="G135" s="7">
        <f t="shared" ca="1" si="37"/>
        <v>0</v>
      </c>
      <c r="H135" s="7" t="s">
        <v>10</v>
      </c>
      <c r="I135" s="125" t="s">
        <v>327</v>
      </c>
      <c r="J135" s="123" t="s">
        <v>612</v>
      </c>
    </row>
    <row r="136" spans="1:10" s="29" customFormat="1">
      <c r="A136" s="124" t="s">
        <v>589</v>
      </c>
      <c r="B136" s="7">
        <v>32</v>
      </c>
      <c r="C136" s="7">
        <f t="shared" ca="1" si="34"/>
        <v>1567</v>
      </c>
      <c r="D136" s="7">
        <f t="shared" ca="1" si="4"/>
        <v>1536</v>
      </c>
      <c r="E136" s="7">
        <f t="shared" ca="1" si="35"/>
        <v>48</v>
      </c>
      <c r="F136" s="7">
        <f t="shared" ca="1" si="36"/>
        <v>31</v>
      </c>
      <c r="G136" s="7">
        <f t="shared" ca="1" si="37"/>
        <v>0</v>
      </c>
      <c r="H136" s="7" t="s">
        <v>10</v>
      </c>
      <c r="I136" s="125" t="s">
        <v>327</v>
      </c>
      <c r="J136" s="123" t="s">
        <v>613</v>
      </c>
    </row>
    <row r="137" spans="1:10" s="29" customFormat="1">
      <c r="A137" s="124" t="s">
        <v>590</v>
      </c>
      <c r="B137" s="7">
        <v>32</v>
      </c>
      <c r="C137" s="7">
        <f t="shared" ca="1" si="34"/>
        <v>1599</v>
      </c>
      <c r="D137" s="7">
        <f t="shared" ca="1" si="4"/>
        <v>1568</v>
      </c>
      <c r="E137" s="7">
        <f t="shared" ca="1" si="35"/>
        <v>49</v>
      </c>
      <c r="F137" s="7">
        <f t="shared" ca="1" si="36"/>
        <v>31</v>
      </c>
      <c r="G137" s="7">
        <f t="shared" ca="1" si="37"/>
        <v>0</v>
      </c>
      <c r="H137" s="7" t="s">
        <v>10</v>
      </c>
      <c r="I137" s="125" t="s">
        <v>70</v>
      </c>
      <c r="J137" s="123" t="s">
        <v>614</v>
      </c>
    </row>
    <row r="138" spans="1:10" s="29" customFormat="1">
      <c r="A138" s="124" t="s">
        <v>591</v>
      </c>
      <c r="B138" s="7">
        <v>32</v>
      </c>
      <c r="C138" s="7">
        <f t="shared" ca="1" si="34"/>
        <v>1631</v>
      </c>
      <c r="D138" s="7">
        <f t="shared" ca="1" si="4"/>
        <v>1600</v>
      </c>
      <c r="E138" s="7">
        <f t="shared" ca="1" si="35"/>
        <v>50</v>
      </c>
      <c r="F138" s="7">
        <f t="shared" ca="1" si="36"/>
        <v>31</v>
      </c>
      <c r="G138" s="7">
        <f t="shared" ca="1" si="37"/>
        <v>0</v>
      </c>
      <c r="H138" s="7" t="s">
        <v>10</v>
      </c>
      <c r="I138" s="125" t="s">
        <v>70</v>
      </c>
      <c r="J138" s="123" t="s">
        <v>615</v>
      </c>
    </row>
    <row r="139" spans="1:10" s="29" customFormat="1">
      <c r="A139" s="124" t="s">
        <v>592</v>
      </c>
      <c r="B139" s="7">
        <v>32</v>
      </c>
      <c r="C139" s="7">
        <f t="shared" ca="1" si="34"/>
        <v>1663</v>
      </c>
      <c r="D139" s="7">
        <f t="shared" ca="1" si="4"/>
        <v>1632</v>
      </c>
      <c r="E139" s="7">
        <f t="shared" ca="1" si="35"/>
        <v>51</v>
      </c>
      <c r="F139" s="7">
        <f t="shared" ca="1" si="36"/>
        <v>31</v>
      </c>
      <c r="G139" s="7">
        <f t="shared" ca="1" si="37"/>
        <v>0</v>
      </c>
      <c r="H139" s="7" t="s">
        <v>10</v>
      </c>
      <c r="I139" s="125" t="s">
        <v>70</v>
      </c>
      <c r="J139" s="123" t="s">
        <v>616</v>
      </c>
    </row>
    <row r="140" spans="1:10" s="29" customFormat="1">
      <c r="A140" s="124" t="s">
        <v>593</v>
      </c>
      <c r="B140" s="7">
        <v>32</v>
      </c>
      <c r="C140" s="7">
        <f t="shared" ca="1" si="34"/>
        <v>1695</v>
      </c>
      <c r="D140" s="7">
        <f t="shared" ca="1" si="4"/>
        <v>1664</v>
      </c>
      <c r="E140" s="7">
        <f t="shared" ca="1" si="35"/>
        <v>52</v>
      </c>
      <c r="F140" s="7">
        <f t="shared" ca="1" si="36"/>
        <v>31</v>
      </c>
      <c r="G140" s="7">
        <f t="shared" ca="1" si="37"/>
        <v>0</v>
      </c>
      <c r="H140" s="7" t="s">
        <v>10</v>
      </c>
      <c r="I140" s="125" t="s">
        <v>70</v>
      </c>
      <c r="J140" s="123" t="s">
        <v>617</v>
      </c>
    </row>
    <row r="141" spans="1:10" s="29" customFormat="1">
      <c r="A141" s="124" t="s">
        <v>594</v>
      </c>
      <c r="B141" s="7">
        <v>32</v>
      </c>
      <c r="C141" s="7">
        <f t="shared" ca="1" si="34"/>
        <v>1727</v>
      </c>
      <c r="D141" s="7">
        <f t="shared" ca="1" si="4"/>
        <v>1696</v>
      </c>
      <c r="E141" s="7">
        <f t="shared" ca="1" si="35"/>
        <v>53</v>
      </c>
      <c r="F141" s="7">
        <f t="shared" ca="1" si="36"/>
        <v>31</v>
      </c>
      <c r="G141" s="7">
        <f t="shared" ca="1" si="37"/>
        <v>0</v>
      </c>
      <c r="H141" s="7" t="s">
        <v>10</v>
      </c>
      <c r="I141" s="125" t="s">
        <v>70</v>
      </c>
      <c r="J141" s="123" t="s">
        <v>618</v>
      </c>
    </row>
    <row r="142" spans="1:10" s="29" customFormat="1">
      <c r="A142" s="124" t="s">
        <v>595</v>
      </c>
      <c r="B142" s="7">
        <v>32</v>
      </c>
      <c r="C142" s="7">
        <f t="shared" ca="1" si="34"/>
        <v>1759</v>
      </c>
      <c r="D142" s="7">
        <f t="shared" ca="1" si="4"/>
        <v>1728</v>
      </c>
      <c r="E142" s="7">
        <f t="shared" ca="1" si="35"/>
        <v>54</v>
      </c>
      <c r="F142" s="7">
        <f t="shared" ca="1" si="36"/>
        <v>31</v>
      </c>
      <c r="G142" s="7">
        <f t="shared" ca="1" si="37"/>
        <v>0</v>
      </c>
      <c r="H142" s="7" t="s">
        <v>10</v>
      </c>
      <c r="I142" s="125" t="s">
        <v>70</v>
      </c>
      <c r="J142" s="123" t="s">
        <v>619</v>
      </c>
    </row>
    <row r="143" spans="1:10" s="29" customFormat="1">
      <c r="A143" s="124" t="s">
        <v>509</v>
      </c>
      <c r="B143" s="7">
        <v>4</v>
      </c>
      <c r="C143" s="7">
        <f t="shared" ref="C143:C168" ca="1" si="38">D143+B143-1</f>
        <v>1763</v>
      </c>
      <c r="D143" s="7">
        <f t="shared" ca="1" si="4"/>
        <v>1760</v>
      </c>
      <c r="E143" s="7">
        <f t="shared" ref="E143:E168" ca="1" si="39">ROUNDDOWN(C143/32,0)</f>
        <v>55</v>
      </c>
      <c r="F143" s="7">
        <f t="shared" ref="F143:F168" ca="1" si="40">C143-E143*32</f>
        <v>3</v>
      </c>
      <c r="G143" s="7">
        <f t="shared" ref="G143:G168" ca="1" si="41">D143-E143*32</f>
        <v>0</v>
      </c>
      <c r="H143" s="7" t="s">
        <v>10</v>
      </c>
      <c r="I143" s="125" t="s">
        <v>353</v>
      </c>
      <c r="J143" s="123" t="s">
        <v>355</v>
      </c>
    </row>
    <row r="144" spans="1:10" s="29" customFormat="1">
      <c r="A144" s="124" t="s">
        <v>510</v>
      </c>
      <c r="B144" s="7">
        <v>4</v>
      </c>
      <c r="C144" s="7">
        <f t="shared" ca="1" si="38"/>
        <v>1767</v>
      </c>
      <c r="D144" s="7">
        <f t="shared" ca="1" si="4"/>
        <v>1764</v>
      </c>
      <c r="E144" s="7">
        <f t="shared" ca="1" si="39"/>
        <v>55</v>
      </c>
      <c r="F144" s="7">
        <f t="shared" ca="1" si="40"/>
        <v>7</v>
      </c>
      <c r="G144" s="7">
        <f t="shared" ca="1" si="41"/>
        <v>4</v>
      </c>
      <c r="H144" s="7" t="s">
        <v>10</v>
      </c>
      <c r="I144" s="125" t="s">
        <v>353</v>
      </c>
      <c r="J144" s="123" t="s">
        <v>356</v>
      </c>
    </row>
    <row r="145" spans="1:10" s="29" customFormat="1">
      <c r="A145" s="124" t="s">
        <v>515</v>
      </c>
      <c r="B145" s="7">
        <v>4</v>
      </c>
      <c r="C145" s="7">
        <f t="shared" ca="1" si="38"/>
        <v>1771</v>
      </c>
      <c r="D145" s="7">
        <f t="shared" ca="1" si="4"/>
        <v>1768</v>
      </c>
      <c r="E145" s="7">
        <f t="shared" ca="1" si="39"/>
        <v>55</v>
      </c>
      <c r="F145" s="7">
        <f t="shared" ca="1" si="40"/>
        <v>11</v>
      </c>
      <c r="G145" s="7">
        <f t="shared" ca="1" si="41"/>
        <v>8</v>
      </c>
      <c r="H145" s="7" t="s">
        <v>10</v>
      </c>
      <c r="I145" s="125" t="s">
        <v>353</v>
      </c>
      <c r="J145" s="123" t="s">
        <v>517</v>
      </c>
    </row>
    <row r="146" spans="1:10" s="29" customFormat="1">
      <c r="A146" s="124" t="s">
        <v>516</v>
      </c>
      <c r="B146" s="7">
        <v>4</v>
      </c>
      <c r="C146" s="7">
        <f t="shared" ca="1" si="38"/>
        <v>1775</v>
      </c>
      <c r="D146" s="7">
        <f t="shared" ca="1" si="4"/>
        <v>1772</v>
      </c>
      <c r="E146" s="7">
        <f t="shared" ca="1" si="39"/>
        <v>55</v>
      </c>
      <c r="F146" s="7">
        <f t="shared" ca="1" si="40"/>
        <v>15</v>
      </c>
      <c r="G146" s="7">
        <f t="shared" ca="1" si="41"/>
        <v>12</v>
      </c>
      <c r="H146" s="7" t="s">
        <v>10</v>
      </c>
      <c r="I146" s="125" t="s">
        <v>353</v>
      </c>
      <c r="J146" s="123" t="s">
        <v>517</v>
      </c>
    </row>
    <row r="147" spans="1:10" s="29" customFormat="1">
      <c r="A147" s="124" t="s">
        <v>511</v>
      </c>
      <c r="B147" s="7">
        <v>4</v>
      </c>
      <c r="C147" s="7">
        <f t="shared" ca="1" si="38"/>
        <v>1779</v>
      </c>
      <c r="D147" s="7">
        <f t="shared" ca="1" si="4"/>
        <v>1776</v>
      </c>
      <c r="E147" s="7">
        <f t="shared" ca="1" si="39"/>
        <v>55</v>
      </c>
      <c r="F147" s="7">
        <f t="shared" ca="1" si="40"/>
        <v>19</v>
      </c>
      <c r="G147" s="7">
        <f t="shared" ca="1" si="41"/>
        <v>16</v>
      </c>
      <c r="H147" s="7" t="s">
        <v>10</v>
      </c>
      <c r="I147" s="125" t="s">
        <v>353</v>
      </c>
      <c r="J147" s="123" t="s">
        <v>519</v>
      </c>
    </row>
    <row r="148" spans="1:10" s="29" customFormat="1">
      <c r="A148" s="124" t="s">
        <v>512</v>
      </c>
      <c r="B148" s="7">
        <v>4</v>
      </c>
      <c r="C148" s="7">
        <f t="shared" ca="1" si="38"/>
        <v>1783</v>
      </c>
      <c r="D148" s="7">
        <f t="shared" ca="1" si="4"/>
        <v>1780</v>
      </c>
      <c r="E148" s="7">
        <f t="shared" ca="1" si="39"/>
        <v>55</v>
      </c>
      <c r="F148" s="7">
        <f t="shared" ca="1" si="40"/>
        <v>23</v>
      </c>
      <c r="G148" s="7">
        <f t="shared" ca="1" si="41"/>
        <v>20</v>
      </c>
      <c r="H148" s="7" t="s">
        <v>10</v>
      </c>
      <c r="I148" s="125" t="s">
        <v>353</v>
      </c>
      <c r="J148" s="123" t="s">
        <v>518</v>
      </c>
    </row>
    <row r="149" spans="1:10" s="29" customFormat="1">
      <c r="A149" s="124" t="s">
        <v>513</v>
      </c>
      <c r="B149" s="7">
        <v>4</v>
      </c>
      <c r="C149" s="7">
        <f t="shared" ca="1" si="38"/>
        <v>1787</v>
      </c>
      <c r="D149" s="7">
        <f t="shared" ca="1" si="4"/>
        <v>1784</v>
      </c>
      <c r="E149" s="7">
        <f t="shared" ca="1" si="39"/>
        <v>55</v>
      </c>
      <c r="F149" s="7">
        <f t="shared" ca="1" si="40"/>
        <v>27</v>
      </c>
      <c r="G149" s="7">
        <f t="shared" ca="1" si="41"/>
        <v>24</v>
      </c>
      <c r="H149" s="7" t="s">
        <v>10</v>
      </c>
      <c r="I149" s="125" t="s">
        <v>353</v>
      </c>
      <c r="J149" s="123" t="s">
        <v>520</v>
      </c>
    </row>
    <row r="150" spans="1:10" s="29" customFormat="1">
      <c r="A150" s="124" t="s">
        <v>514</v>
      </c>
      <c r="B150" s="7">
        <v>4</v>
      </c>
      <c r="C150" s="7">
        <f t="shared" ca="1" si="38"/>
        <v>1791</v>
      </c>
      <c r="D150" s="7">
        <f t="shared" ca="1" si="4"/>
        <v>1788</v>
      </c>
      <c r="E150" s="7">
        <f t="shared" ca="1" si="39"/>
        <v>55</v>
      </c>
      <c r="F150" s="7">
        <f t="shared" ca="1" si="40"/>
        <v>31</v>
      </c>
      <c r="G150" s="7">
        <f t="shared" ca="1" si="41"/>
        <v>28</v>
      </c>
      <c r="H150" s="7" t="s">
        <v>10</v>
      </c>
      <c r="I150" s="125" t="s">
        <v>353</v>
      </c>
      <c r="J150" s="123" t="s">
        <v>521</v>
      </c>
    </row>
    <row r="151" spans="1:10" s="29" customFormat="1">
      <c r="A151" s="124" t="s">
        <v>545</v>
      </c>
      <c r="B151" s="7">
        <v>4</v>
      </c>
      <c r="C151" s="7">
        <f t="shared" ca="1" si="38"/>
        <v>1795</v>
      </c>
      <c r="D151" s="7">
        <f t="shared" ca="1" si="4"/>
        <v>1792</v>
      </c>
      <c r="E151" s="7">
        <f t="shared" ca="1" si="39"/>
        <v>56</v>
      </c>
      <c r="F151" s="7">
        <f t="shared" ca="1" si="40"/>
        <v>3</v>
      </c>
      <c r="G151" s="7">
        <f t="shared" ca="1" si="41"/>
        <v>0</v>
      </c>
      <c r="H151" s="7" t="s">
        <v>10</v>
      </c>
      <c r="I151" s="125" t="s">
        <v>353</v>
      </c>
      <c r="J151" s="123" t="s">
        <v>545</v>
      </c>
    </row>
    <row r="152" spans="1:10" s="29" customFormat="1">
      <c r="A152" s="124" t="s">
        <v>546</v>
      </c>
      <c r="B152" s="7">
        <v>4</v>
      </c>
      <c r="C152" s="7">
        <f t="shared" ca="1" si="38"/>
        <v>1799</v>
      </c>
      <c r="D152" s="7">
        <f t="shared" ca="1" si="4"/>
        <v>1796</v>
      </c>
      <c r="E152" s="7">
        <f t="shared" ca="1" si="39"/>
        <v>56</v>
      </c>
      <c r="F152" s="7">
        <f t="shared" ca="1" si="40"/>
        <v>7</v>
      </c>
      <c r="G152" s="7">
        <f t="shared" ca="1" si="41"/>
        <v>4</v>
      </c>
      <c r="H152" s="7" t="s">
        <v>10</v>
      </c>
      <c r="I152" s="125" t="s">
        <v>353</v>
      </c>
      <c r="J152" s="123" t="s">
        <v>546</v>
      </c>
    </row>
    <row r="153" spans="1:10">
      <c r="A153" s="60" t="s">
        <v>206</v>
      </c>
      <c r="B153" s="7">
        <v>24</v>
      </c>
      <c r="C153" s="7">
        <f t="shared" ca="1" si="38"/>
        <v>1823</v>
      </c>
      <c r="D153" s="7">
        <f t="shared" ca="1" si="4"/>
        <v>1800</v>
      </c>
      <c r="E153" s="7">
        <f t="shared" ca="1" si="39"/>
        <v>56</v>
      </c>
      <c r="F153" s="7">
        <f t="shared" ca="1" si="40"/>
        <v>31</v>
      </c>
      <c r="G153" s="7">
        <f t="shared" ca="1" si="41"/>
        <v>8</v>
      </c>
      <c r="H153" s="122" t="s">
        <v>246</v>
      </c>
      <c r="I153" s="8" t="s">
        <v>373</v>
      </c>
      <c r="J153" s="22" t="s">
        <v>206</v>
      </c>
    </row>
    <row r="154" spans="1:10">
      <c r="A154" s="60" t="s">
        <v>478</v>
      </c>
      <c r="B154" s="7">
        <v>1</v>
      </c>
      <c r="C154" s="7">
        <f t="shared" ca="1" si="38"/>
        <v>1824</v>
      </c>
      <c r="D154" s="7">
        <f t="shared" ca="1" si="4"/>
        <v>1824</v>
      </c>
      <c r="E154" s="7">
        <f t="shared" ca="1" si="39"/>
        <v>57</v>
      </c>
      <c r="F154" s="7">
        <f t="shared" ca="1" si="40"/>
        <v>0</v>
      </c>
      <c r="G154" s="7">
        <f t="shared" ca="1" si="41"/>
        <v>0</v>
      </c>
      <c r="H154" s="7" t="s">
        <v>10</v>
      </c>
      <c r="I154" s="125" t="s">
        <v>482</v>
      </c>
      <c r="J154" s="123" t="s">
        <v>483</v>
      </c>
    </row>
    <row r="155" spans="1:10">
      <c r="A155" s="60" t="s">
        <v>479</v>
      </c>
      <c r="B155" s="7">
        <v>1</v>
      </c>
      <c r="C155" s="7">
        <f t="shared" ca="1" si="38"/>
        <v>1825</v>
      </c>
      <c r="D155" s="7">
        <f t="shared" ca="1" si="4"/>
        <v>1825</v>
      </c>
      <c r="E155" s="7">
        <f t="shared" ca="1" si="39"/>
        <v>57</v>
      </c>
      <c r="F155" s="7">
        <f t="shared" ca="1" si="40"/>
        <v>1</v>
      </c>
      <c r="G155" s="7">
        <f t="shared" ca="1" si="41"/>
        <v>1</v>
      </c>
      <c r="H155" s="7" t="s">
        <v>10</v>
      </c>
      <c r="I155" s="125" t="s">
        <v>482</v>
      </c>
      <c r="J155" s="123" t="s">
        <v>484</v>
      </c>
    </row>
    <row r="156" spans="1:10">
      <c r="A156" s="60" t="s">
        <v>480</v>
      </c>
      <c r="B156" s="7">
        <v>1</v>
      </c>
      <c r="C156" s="7">
        <f t="shared" ca="1" si="38"/>
        <v>1826</v>
      </c>
      <c r="D156" s="7">
        <f t="shared" ca="1" si="4"/>
        <v>1826</v>
      </c>
      <c r="E156" s="7">
        <f t="shared" ca="1" si="39"/>
        <v>57</v>
      </c>
      <c r="F156" s="7">
        <f t="shared" ca="1" si="40"/>
        <v>2</v>
      </c>
      <c r="G156" s="7">
        <f t="shared" ca="1" si="41"/>
        <v>2</v>
      </c>
      <c r="H156" s="7" t="s">
        <v>10</v>
      </c>
      <c r="I156" s="125" t="s">
        <v>482</v>
      </c>
      <c r="J156" s="123" t="s">
        <v>485</v>
      </c>
    </row>
    <row r="157" spans="1:10">
      <c r="A157" s="60" t="s">
        <v>481</v>
      </c>
      <c r="B157" s="7">
        <v>1</v>
      </c>
      <c r="C157" s="7">
        <f t="shared" ca="1" si="38"/>
        <v>1827</v>
      </c>
      <c r="D157" s="7">
        <f t="shared" ca="1" si="4"/>
        <v>1827</v>
      </c>
      <c r="E157" s="7">
        <f t="shared" ca="1" si="39"/>
        <v>57</v>
      </c>
      <c r="F157" s="7">
        <f t="shared" ca="1" si="40"/>
        <v>3</v>
      </c>
      <c r="G157" s="7">
        <f t="shared" ca="1" si="41"/>
        <v>3</v>
      </c>
      <c r="H157" s="7" t="s">
        <v>10</v>
      </c>
      <c r="I157" s="125" t="s">
        <v>482</v>
      </c>
      <c r="J157" s="123" t="s">
        <v>485</v>
      </c>
    </row>
    <row r="158" spans="1:10">
      <c r="A158" s="60" t="s">
        <v>206</v>
      </c>
      <c r="B158" s="7">
        <v>28</v>
      </c>
      <c r="C158" s="7">
        <f t="shared" ca="1" si="38"/>
        <v>1855</v>
      </c>
      <c r="D158" s="7">
        <f t="shared" ca="1" si="4"/>
        <v>1828</v>
      </c>
      <c r="E158" s="7">
        <f t="shared" ca="1" si="39"/>
        <v>57</v>
      </c>
      <c r="F158" s="7">
        <f t="shared" ca="1" si="40"/>
        <v>31</v>
      </c>
      <c r="G158" s="7">
        <f t="shared" ca="1" si="41"/>
        <v>4</v>
      </c>
      <c r="H158" s="122" t="s">
        <v>246</v>
      </c>
      <c r="I158" s="8" t="s">
        <v>373</v>
      </c>
      <c r="J158" s="22" t="s">
        <v>206</v>
      </c>
    </row>
    <row r="159" spans="1:10">
      <c r="A159" s="60" t="s">
        <v>488</v>
      </c>
      <c r="B159" s="7">
        <v>10</v>
      </c>
      <c r="C159" s="7">
        <f t="shared" ca="1" si="38"/>
        <v>1865</v>
      </c>
      <c r="D159" s="7">
        <f t="shared" ca="1" si="4"/>
        <v>1856</v>
      </c>
      <c r="E159" s="7">
        <f t="shared" ca="1" si="39"/>
        <v>58</v>
      </c>
      <c r="F159" s="7">
        <f t="shared" ca="1" si="40"/>
        <v>9</v>
      </c>
      <c r="G159" s="7">
        <f t="shared" ca="1" si="41"/>
        <v>0</v>
      </c>
      <c r="H159" s="7" t="s">
        <v>10</v>
      </c>
      <c r="I159" s="125" t="s">
        <v>482</v>
      </c>
      <c r="J159" s="123" t="s">
        <v>490</v>
      </c>
    </row>
    <row r="160" spans="1:10">
      <c r="A160" s="60" t="s">
        <v>489</v>
      </c>
      <c r="B160" s="7">
        <v>10</v>
      </c>
      <c r="C160" s="7">
        <f t="shared" ca="1" si="38"/>
        <v>1875</v>
      </c>
      <c r="D160" s="7">
        <f t="shared" ca="1" si="4"/>
        <v>1866</v>
      </c>
      <c r="E160" s="7">
        <f t="shared" ca="1" si="39"/>
        <v>58</v>
      </c>
      <c r="F160" s="7">
        <f t="shared" ca="1" si="40"/>
        <v>19</v>
      </c>
      <c r="G160" s="7">
        <f t="shared" ca="1" si="41"/>
        <v>10</v>
      </c>
      <c r="H160" s="7" t="s">
        <v>10</v>
      </c>
      <c r="I160" s="125" t="s">
        <v>482</v>
      </c>
      <c r="J160" s="123" t="s">
        <v>491</v>
      </c>
    </row>
    <row r="161" spans="1:10">
      <c r="A161" s="60" t="s">
        <v>206</v>
      </c>
      <c r="B161" s="7">
        <v>12</v>
      </c>
      <c r="C161" s="7">
        <f t="shared" ca="1" si="38"/>
        <v>1887</v>
      </c>
      <c r="D161" s="7">
        <f t="shared" ca="1" si="4"/>
        <v>1876</v>
      </c>
      <c r="E161" s="7">
        <f t="shared" ca="1" si="39"/>
        <v>58</v>
      </c>
      <c r="F161" s="7">
        <f t="shared" ca="1" si="40"/>
        <v>31</v>
      </c>
      <c r="G161" s="7">
        <f t="shared" ca="1" si="41"/>
        <v>20</v>
      </c>
      <c r="H161" s="122" t="s">
        <v>246</v>
      </c>
      <c r="I161" s="8" t="s">
        <v>373</v>
      </c>
      <c r="J161" s="22" t="s">
        <v>206</v>
      </c>
    </row>
    <row r="162" spans="1:10">
      <c r="A162" s="60" t="s">
        <v>486</v>
      </c>
      <c r="B162" s="7">
        <v>10</v>
      </c>
      <c r="C162" s="7">
        <f t="shared" ca="1" si="38"/>
        <v>1897</v>
      </c>
      <c r="D162" s="7">
        <f t="shared" ca="1" si="4"/>
        <v>1888</v>
      </c>
      <c r="E162" s="7">
        <f t="shared" ca="1" si="39"/>
        <v>59</v>
      </c>
      <c r="F162" s="7">
        <f t="shared" ca="1" si="40"/>
        <v>9</v>
      </c>
      <c r="G162" s="7">
        <f t="shared" ca="1" si="41"/>
        <v>0</v>
      </c>
      <c r="H162" s="7" t="s">
        <v>10</v>
      </c>
      <c r="I162" s="125" t="s">
        <v>482</v>
      </c>
      <c r="J162" s="123" t="s">
        <v>490</v>
      </c>
    </row>
    <row r="163" spans="1:10">
      <c r="A163" s="60" t="s">
        <v>487</v>
      </c>
      <c r="B163" s="7">
        <v>10</v>
      </c>
      <c r="C163" s="7">
        <f t="shared" ca="1" si="38"/>
        <v>1907</v>
      </c>
      <c r="D163" s="7">
        <f t="shared" ca="1" si="4"/>
        <v>1898</v>
      </c>
      <c r="E163" s="7">
        <f t="shared" ca="1" si="39"/>
        <v>59</v>
      </c>
      <c r="F163" s="7">
        <f t="shared" ca="1" si="40"/>
        <v>19</v>
      </c>
      <c r="G163" s="7">
        <f t="shared" ca="1" si="41"/>
        <v>10</v>
      </c>
      <c r="H163" s="7" t="s">
        <v>10</v>
      </c>
      <c r="I163" s="125" t="s">
        <v>482</v>
      </c>
      <c r="J163" s="123" t="s">
        <v>491</v>
      </c>
    </row>
    <row r="164" spans="1:10">
      <c r="A164" s="60" t="s">
        <v>206</v>
      </c>
      <c r="B164" s="7">
        <v>12</v>
      </c>
      <c r="C164" s="7">
        <f t="shared" ca="1" si="38"/>
        <v>1919</v>
      </c>
      <c r="D164" s="7">
        <f t="shared" ca="1" si="4"/>
        <v>1908</v>
      </c>
      <c r="E164" s="7">
        <f t="shared" ca="1" si="39"/>
        <v>59</v>
      </c>
      <c r="F164" s="7">
        <f t="shared" ca="1" si="40"/>
        <v>31</v>
      </c>
      <c r="G164" s="7">
        <f t="shared" ca="1" si="41"/>
        <v>20</v>
      </c>
      <c r="H164" s="122" t="s">
        <v>246</v>
      </c>
      <c r="I164" s="8" t="s">
        <v>373</v>
      </c>
      <c r="J164" s="22" t="s">
        <v>206</v>
      </c>
    </row>
    <row r="165" spans="1:10" s="29" customFormat="1">
      <c r="A165" s="124" t="s">
        <v>358</v>
      </c>
      <c r="B165" s="7">
        <v>1</v>
      </c>
      <c r="C165" s="7">
        <f t="shared" ca="1" si="38"/>
        <v>1920</v>
      </c>
      <c r="D165" s="7">
        <f t="shared" ca="1" si="4"/>
        <v>1920</v>
      </c>
      <c r="E165" s="7">
        <f t="shared" ca="1" si="39"/>
        <v>60</v>
      </c>
      <c r="F165" s="7">
        <f t="shared" ca="1" si="40"/>
        <v>0</v>
      </c>
      <c r="G165" s="7">
        <f t="shared" ca="1" si="41"/>
        <v>0</v>
      </c>
      <c r="H165" s="7" t="s">
        <v>10</v>
      </c>
      <c r="I165" s="125" t="s">
        <v>319</v>
      </c>
      <c r="J165" s="123" t="s">
        <v>372</v>
      </c>
    </row>
    <row r="166" spans="1:10" s="29" customFormat="1">
      <c r="A166" s="124" t="s">
        <v>359</v>
      </c>
      <c r="B166" s="7">
        <v>1</v>
      </c>
      <c r="C166" s="7">
        <f t="shared" ca="1" si="38"/>
        <v>1921</v>
      </c>
      <c r="D166" s="7">
        <f t="shared" ref="D166:D187" ca="1" si="42">INDIRECT(ADDRESS(ROW()-1,COLUMN()-1))+1</f>
        <v>1921</v>
      </c>
      <c r="E166" s="7">
        <f t="shared" ca="1" si="39"/>
        <v>60</v>
      </c>
      <c r="F166" s="7">
        <f t="shared" ca="1" si="40"/>
        <v>1</v>
      </c>
      <c r="G166" s="7">
        <f t="shared" ca="1" si="41"/>
        <v>1</v>
      </c>
      <c r="H166" s="7" t="s">
        <v>632</v>
      </c>
      <c r="I166" s="125" t="s">
        <v>319</v>
      </c>
      <c r="J166" s="123" t="s">
        <v>371</v>
      </c>
    </row>
    <row r="167" spans="1:10" s="29" customFormat="1">
      <c r="A167" s="124" t="s">
        <v>206</v>
      </c>
      <c r="B167" s="7">
        <v>30</v>
      </c>
      <c r="C167" s="7">
        <f t="shared" ca="1" si="38"/>
        <v>1951</v>
      </c>
      <c r="D167" s="7">
        <f t="shared" ca="1" si="42"/>
        <v>1922</v>
      </c>
      <c r="E167" s="7">
        <f t="shared" ca="1" si="39"/>
        <v>60</v>
      </c>
      <c r="F167" s="7">
        <f t="shared" ca="1" si="40"/>
        <v>31</v>
      </c>
      <c r="G167" s="7">
        <f t="shared" ca="1" si="41"/>
        <v>2</v>
      </c>
      <c r="H167" s="7" t="s">
        <v>246</v>
      </c>
      <c r="I167" s="125" t="s">
        <v>366</v>
      </c>
      <c r="J167" s="123" t="s">
        <v>206</v>
      </c>
    </row>
    <row r="168" spans="1:10" s="29" customFormat="1">
      <c r="A168" s="124" t="s">
        <v>360</v>
      </c>
      <c r="B168" s="7">
        <v>32</v>
      </c>
      <c r="C168" s="7">
        <f t="shared" ca="1" si="38"/>
        <v>1983</v>
      </c>
      <c r="D168" s="7">
        <f t="shared" ca="1" si="42"/>
        <v>1952</v>
      </c>
      <c r="E168" s="7">
        <f t="shared" ca="1" si="39"/>
        <v>61</v>
      </c>
      <c r="F168" s="7">
        <f t="shared" ca="1" si="40"/>
        <v>31</v>
      </c>
      <c r="G168" s="7">
        <f t="shared" ca="1" si="41"/>
        <v>0</v>
      </c>
      <c r="H168" s="7" t="s">
        <v>246</v>
      </c>
      <c r="I168" s="125" t="s">
        <v>327</v>
      </c>
      <c r="J168" s="123" t="s">
        <v>370</v>
      </c>
    </row>
    <row r="169" spans="1:10" s="29" customFormat="1">
      <c r="A169" s="124" t="s">
        <v>361</v>
      </c>
      <c r="B169" s="7">
        <v>24</v>
      </c>
      <c r="C169" s="7">
        <f t="shared" ref="C169:C176" ca="1" si="43">D169+B169-1</f>
        <v>2007</v>
      </c>
      <c r="D169" s="7">
        <f t="shared" ca="1" si="42"/>
        <v>1984</v>
      </c>
      <c r="E169" s="7">
        <f t="shared" ref="E169:E176" ca="1" si="44">ROUNDDOWN(C169/32,0)</f>
        <v>62</v>
      </c>
      <c r="F169" s="7">
        <f t="shared" ref="F169:F176" ca="1" si="45">C169-E169*32</f>
        <v>23</v>
      </c>
      <c r="G169" s="7">
        <f t="shared" ref="G169:G176" ca="1" si="46">D169-E169*32</f>
        <v>0</v>
      </c>
      <c r="H169" s="7" t="s">
        <v>246</v>
      </c>
      <c r="I169" s="125" t="s">
        <v>367</v>
      </c>
      <c r="J169" s="123" t="s">
        <v>357</v>
      </c>
    </row>
    <row r="170" spans="1:10" s="29" customFormat="1">
      <c r="A170" s="124" t="s">
        <v>206</v>
      </c>
      <c r="B170" s="7">
        <v>8</v>
      </c>
      <c r="C170" s="7">
        <f t="shared" ca="1" si="43"/>
        <v>2015</v>
      </c>
      <c r="D170" s="7">
        <f t="shared" ca="1" si="42"/>
        <v>2008</v>
      </c>
      <c r="E170" s="7">
        <f t="shared" ca="1" si="44"/>
        <v>62</v>
      </c>
      <c r="F170" s="7">
        <f t="shared" ca="1" si="45"/>
        <v>31</v>
      </c>
      <c r="G170" s="7">
        <f t="shared" ca="1" si="46"/>
        <v>24</v>
      </c>
      <c r="H170" s="7" t="s">
        <v>246</v>
      </c>
      <c r="I170" s="125" t="s">
        <v>354</v>
      </c>
      <c r="J170" s="123" t="s">
        <v>206</v>
      </c>
    </row>
    <row r="171" spans="1:10" s="29" customFormat="1">
      <c r="A171" s="124" t="s">
        <v>362</v>
      </c>
      <c r="B171" s="7">
        <v>32</v>
      </c>
      <c r="C171" s="7">
        <f t="shared" ca="1" si="43"/>
        <v>2047</v>
      </c>
      <c r="D171" s="7">
        <f t="shared" ca="1" si="42"/>
        <v>2016</v>
      </c>
      <c r="E171" s="7">
        <f t="shared" ca="1" si="44"/>
        <v>63</v>
      </c>
      <c r="F171" s="7">
        <f t="shared" ca="1" si="45"/>
        <v>31</v>
      </c>
      <c r="G171" s="7">
        <f t="shared" ca="1" si="46"/>
        <v>0</v>
      </c>
      <c r="H171" s="7" t="s">
        <v>246</v>
      </c>
      <c r="I171" s="125" t="s">
        <v>327</v>
      </c>
      <c r="J171" s="123" t="s">
        <v>368</v>
      </c>
    </row>
    <row r="172" spans="1:10" s="29" customFormat="1">
      <c r="A172" s="124" t="s">
        <v>363</v>
      </c>
      <c r="B172" s="7">
        <v>24</v>
      </c>
      <c r="C172" s="7">
        <f ca="1">D172+B172-1</f>
        <v>2071</v>
      </c>
      <c r="D172" s="7">
        <f t="shared" ca="1" si="42"/>
        <v>2048</v>
      </c>
      <c r="E172" s="7">
        <f ca="1">ROUNDDOWN(C172/32,0)</f>
        <v>64</v>
      </c>
      <c r="F172" s="7">
        <f ca="1">C172-E172*32</f>
        <v>23</v>
      </c>
      <c r="G172" s="7">
        <f ca="1">D172-E172*32</f>
        <v>0</v>
      </c>
      <c r="H172" s="7" t="s">
        <v>246</v>
      </c>
      <c r="I172" s="125" t="s">
        <v>367</v>
      </c>
      <c r="J172" s="123" t="s">
        <v>368</v>
      </c>
    </row>
    <row r="173" spans="1:10" s="29" customFormat="1">
      <c r="A173" s="124" t="s">
        <v>206</v>
      </c>
      <c r="B173" s="7">
        <v>8</v>
      </c>
      <c r="C173" s="7">
        <f t="shared" ca="1" si="43"/>
        <v>2079</v>
      </c>
      <c r="D173" s="7">
        <f t="shared" ca="1" si="42"/>
        <v>2072</v>
      </c>
      <c r="E173" s="7">
        <f t="shared" ca="1" si="44"/>
        <v>64</v>
      </c>
      <c r="F173" s="7">
        <f t="shared" ca="1" si="45"/>
        <v>31</v>
      </c>
      <c r="G173" s="7">
        <f t="shared" ca="1" si="46"/>
        <v>24</v>
      </c>
      <c r="H173" s="7" t="s">
        <v>246</v>
      </c>
      <c r="I173" s="125" t="s">
        <v>354</v>
      </c>
      <c r="J173" s="123" t="s">
        <v>206</v>
      </c>
    </row>
    <row r="174" spans="1:10" s="29" customFormat="1">
      <c r="A174" s="124" t="s">
        <v>364</v>
      </c>
      <c r="B174" s="7">
        <v>32</v>
      </c>
      <c r="C174" s="7">
        <f ca="1">D174+B174-1</f>
        <v>2111</v>
      </c>
      <c r="D174" s="7">
        <f t="shared" ca="1" si="42"/>
        <v>2080</v>
      </c>
      <c r="E174" s="7">
        <f ca="1">ROUNDDOWN(C174/32,0)</f>
        <v>65</v>
      </c>
      <c r="F174" s="7">
        <f ca="1">C174-E174*32</f>
        <v>31</v>
      </c>
      <c r="G174" s="7">
        <f ca="1">D174-E174*32</f>
        <v>0</v>
      </c>
      <c r="H174" s="7" t="s">
        <v>246</v>
      </c>
      <c r="I174" s="125" t="s">
        <v>327</v>
      </c>
      <c r="J174" s="123" t="s">
        <v>369</v>
      </c>
    </row>
    <row r="175" spans="1:10" s="29" customFormat="1">
      <c r="A175" s="124" t="s">
        <v>365</v>
      </c>
      <c r="B175" s="7">
        <v>24</v>
      </c>
      <c r="C175" s="7">
        <f t="shared" ca="1" si="43"/>
        <v>2135</v>
      </c>
      <c r="D175" s="7">
        <f t="shared" ca="1" si="42"/>
        <v>2112</v>
      </c>
      <c r="E175" s="7">
        <f t="shared" ca="1" si="44"/>
        <v>66</v>
      </c>
      <c r="F175" s="7">
        <f t="shared" ca="1" si="45"/>
        <v>23</v>
      </c>
      <c r="G175" s="7">
        <f t="shared" ca="1" si="46"/>
        <v>0</v>
      </c>
      <c r="H175" s="7" t="s">
        <v>246</v>
      </c>
      <c r="I175" s="125" t="s">
        <v>367</v>
      </c>
      <c r="J175" s="123" t="s">
        <v>369</v>
      </c>
    </row>
    <row r="176" spans="1:10" s="29" customFormat="1">
      <c r="A176" s="124" t="s">
        <v>206</v>
      </c>
      <c r="B176" s="7">
        <v>8</v>
      </c>
      <c r="C176" s="7">
        <f t="shared" ca="1" si="43"/>
        <v>2143</v>
      </c>
      <c r="D176" s="7">
        <f t="shared" ca="1" si="42"/>
        <v>2136</v>
      </c>
      <c r="E176" s="7">
        <f t="shared" ca="1" si="44"/>
        <v>66</v>
      </c>
      <c r="F176" s="7">
        <f t="shared" ca="1" si="45"/>
        <v>31</v>
      </c>
      <c r="G176" s="7">
        <f t="shared" ca="1" si="46"/>
        <v>24</v>
      </c>
      <c r="H176" s="7" t="s">
        <v>246</v>
      </c>
      <c r="I176" s="125" t="s">
        <v>354</v>
      </c>
      <c r="J176" s="123" t="s">
        <v>206</v>
      </c>
    </row>
    <row r="177" spans="1:10" s="29" customFormat="1">
      <c r="A177" s="124" t="s">
        <v>380</v>
      </c>
      <c r="B177" s="7">
        <v>1</v>
      </c>
      <c r="C177" s="7">
        <f t="shared" ref="C177:C187" ca="1" si="47">D177+B177-1</f>
        <v>2144</v>
      </c>
      <c r="D177" s="7">
        <f ca="1">INDIRECT(ADDRESS(ROW()-1,COLUMN()-1))+1</f>
        <v>2144</v>
      </c>
      <c r="E177" s="7">
        <f t="shared" ref="E177:E187" ca="1" si="48">ROUNDDOWN(C177/32,0)</f>
        <v>67</v>
      </c>
      <c r="F177" s="7">
        <f t="shared" ref="F177:F187" ca="1" si="49">C177-E177*32</f>
        <v>0</v>
      </c>
      <c r="G177" s="7">
        <f t="shared" ref="G177:G187" ca="1" si="50">D177-E177*32</f>
        <v>0</v>
      </c>
      <c r="H177" s="7" t="s">
        <v>251</v>
      </c>
      <c r="I177" s="125" t="s">
        <v>319</v>
      </c>
      <c r="J177" s="123" t="s">
        <v>378</v>
      </c>
    </row>
    <row r="178" spans="1:10" s="29" customFormat="1">
      <c r="A178" s="124" t="s">
        <v>206</v>
      </c>
      <c r="B178" s="7">
        <v>9</v>
      </c>
      <c r="C178" s="7">
        <f t="shared" ca="1" si="47"/>
        <v>2153</v>
      </c>
      <c r="D178" s="7">
        <f t="shared" ca="1" si="42"/>
        <v>2145</v>
      </c>
      <c r="E178" s="7">
        <f t="shared" ca="1" si="48"/>
        <v>67</v>
      </c>
      <c r="F178" s="7">
        <f t="shared" ca="1" si="49"/>
        <v>9</v>
      </c>
      <c r="G178" s="7">
        <f t="shared" ca="1" si="50"/>
        <v>1</v>
      </c>
      <c r="H178" s="7" t="s">
        <v>246</v>
      </c>
      <c r="I178" s="125" t="s">
        <v>376</v>
      </c>
      <c r="J178" s="123" t="s">
        <v>206</v>
      </c>
    </row>
    <row r="179" spans="1:10" s="29" customFormat="1" ht="82.5">
      <c r="A179" s="124" t="s">
        <v>381</v>
      </c>
      <c r="B179" s="7">
        <v>4</v>
      </c>
      <c r="C179" s="7">
        <f t="shared" ca="1" si="47"/>
        <v>2157</v>
      </c>
      <c r="D179" s="7">
        <f t="shared" ca="1" si="42"/>
        <v>2154</v>
      </c>
      <c r="E179" s="7">
        <f t="shared" ca="1" si="48"/>
        <v>67</v>
      </c>
      <c r="F179" s="7">
        <f t="shared" ca="1" si="49"/>
        <v>13</v>
      </c>
      <c r="G179" s="7">
        <f t="shared" ca="1" si="50"/>
        <v>10</v>
      </c>
      <c r="H179" s="7" t="s">
        <v>251</v>
      </c>
      <c r="I179" s="125" t="s">
        <v>322</v>
      </c>
      <c r="J179" s="123" t="s">
        <v>383</v>
      </c>
    </row>
    <row r="180" spans="1:10" s="29" customFormat="1" ht="82.5">
      <c r="A180" s="124" t="s">
        <v>382</v>
      </c>
      <c r="B180" s="7">
        <v>4</v>
      </c>
      <c r="C180" s="7">
        <f t="shared" ca="1" si="47"/>
        <v>2161</v>
      </c>
      <c r="D180" s="7">
        <f t="shared" ca="1" si="42"/>
        <v>2158</v>
      </c>
      <c r="E180" s="7">
        <f t="shared" ca="1" si="48"/>
        <v>67</v>
      </c>
      <c r="F180" s="7">
        <f t="shared" ca="1" si="49"/>
        <v>17</v>
      </c>
      <c r="G180" s="7">
        <f t="shared" ca="1" si="50"/>
        <v>14</v>
      </c>
      <c r="H180" s="7" t="s">
        <v>246</v>
      </c>
      <c r="I180" s="125" t="s">
        <v>322</v>
      </c>
      <c r="J180" s="123" t="s">
        <v>379</v>
      </c>
    </row>
    <row r="181" spans="1:10">
      <c r="A181" s="124" t="s">
        <v>206</v>
      </c>
      <c r="B181" s="7">
        <v>14</v>
      </c>
      <c r="C181" s="7">
        <f t="shared" ca="1" si="47"/>
        <v>2175</v>
      </c>
      <c r="D181" s="7">
        <f t="shared" ca="1" si="42"/>
        <v>2162</v>
      </c>
      <c r="E181" s="7">
        <f t="shared" ca="1" si="48"/>
        <v>67</v>
      </c>
      <c r="F181" s="7">
        <f t="shared" ca="1" si="49"/>
        <v>31</v>
      </c>
      <c r="G181" s="7">
        <f t="shared" ca="1" si="50"/>
        <v>18</v>
      </c>
      <c r="H181" s="7" t="s">
        <v>246</v>
      </c>
      <c r="I181" s="125" t="s">
        <v>377</v>
      </c>
      <c r="J181" s="123" t="s">
        <v>206</v>
      </c>
    </row>
    <row r="182" spans="1:10">
      <c r="A182" s="63" t="s">
        <v>620</v>
      </c>
      <c r="B182" s="7">
        <v>32</v>
      </c>
      <c r="C182" s="7">
        <f t="shared" ca="1" si="47"/>
        <v>2207</v>
      </c>
      <c r="D182" s="7">
        <f t="shared" ca="1" si="42"/>
        <v>2176</v>
      </c>
      <c r="E182" s="7">
        <f t="shared" ca="1" si="48"/>
        <v>68</v>
      </c>
      <c r="F182" s="7">
        <f t="shared" ca="1" si="49"/>
        <v>31</v>
      </c>
      <c r="G182" s="7">
        <f t="shared" ca="1" si="50"/>
        <v>0</v>
      </c>
      <c r="H182" s="7" t="s">
        <v>246</v>
      </c>
      <c r="I182" s="125" t="s">
        <v>373</v>
      </c>
      <c r="J182" s="69" t="s">
        <v>622</v>
      </c>
    </row>
    <row r="183" spans="1:10">
      <c r="A183" s="63" t="s">
        <v>621</v>
      </c>
      <c r="B183" s="7">
        <v>1</v>
      </c>
      <c r="C183" s="7">
        <f t="shared" ca="1" si="47"/>
        <v>2208</v>
      </c>
      <c r="D183" s="7">
        <f t="shared" ca="1" si="42"/>
        <v>2208</v>
      </c>
      <c r="E183" s="7">
        <f t="shared" ca="1" si="48"/>
        <v>69</v>
      </c>
      <c r="F183" s="7">
        <f t="shared" ca="1" si="49"/>
        <v>0</v>
      </c>
      <c r="G183" s="7">
        <f t="shared" ca="1" si="50"/>
        <v>0</v>
      </c>
      <c r="H183" s="7" t="s">
        <v>246</v>
      </c>
      <c r="I183" s="125" t="s">
        <v>373</v>
      </c>
      <c r="J183" s="69" t="s">
        <v>623</v>
      </c>
    </row>
    <row r="184" spans="1:10">
      <c r="A184" s="124" t="s">
        <v>206</v>
      </c>
      <c r="B184" s="7">
        <v>31</v>
      </c>
      <c r="C184" s="7">
        <f t="shared" ca="1" si="47"/>
        <v>2239</v>
      </c>
      <c r="D184" s="7">
        <f t="shared" ca="1" si="42"/>
        <v>2209</v>
      </c>
      <c r="E184" s="7">
        <f t="shared" ca="1" si="48"/>
        <v>69</v>
      </c>
      <c r="F184" s="7">
        <f t="shared" ca="1" si="49"/>
        <v>31</v>
      </c>
      <c r="G184" s="7">
        <f t="shared" ca="1" si="50"/>
        <v>1</v>
      </c>
      <c r="H184" s="7" t="s">
        <v>246</v>
      </c>
      <c r="I184" s="125" t="s">
        <v>374</v>
      </c>
      <c r="J184" s="123" t="s">
        <v>206</v>
      </c>
    </row>
    <row r="185" spans="1:10">
      <c r="A185" s="63" t="s">
        <v>540</v>
      </c>
      <c r="B185" s="7">
        <v>1</v>
      </c>
      <c r="C185" s="7">
        <f t="shared" ca="1" si="47"/>
        <v>2240</v>
      </c>
      <c r="D185" s="7">
        <f t="shared" ca="1" si="42"/>
        <v>2240</v>
      </c>
      <c r="E185" s="7">
        <f t="shared" ca="1" si="48"/>
        <v>70</v>
      </c>
      <c r="F185" s="7">
        <f t="shared" ca="1" si="49"/>
        <v>0</v>
      </c>
      <c r="G185" s="7">
        <f t="shared" ca="1" si="50"/>
        <v>0</v>
      </c>
      <c r="H185" s="7" t="s">
        <v>251</v>
      </c>
      <c r="I185" s="125" t="s">
        <v>319</v>
      </c>
      <c r="J185" s="69" t="s">
        <v>544</v>
      </c>
    </row>
    <row r="186" spans="1:10" ht="116.1" customHeight="1">
      <c r="A186" s="124" t="s">
        <v>541</v>
      </c>
      <c r="B186" s="7">
        <v>2</v>
      </c>
      <c r="C186" s="7">
        <f t="shared" ca="1" si="47"/>
        <v>2242</v>
      </c>
      <c r="D186" s="7">
        <f t="shared" ca="1" si="42"/>
        <v>2241</v>
      </c>
      <c r="E186" s="7">
        <f t="shared" ca="1" si="48"/>
        <v>70</v>
      </c>
      <c r="F186" s="7">
        <f t="shared" ca="1" si="49"/>
        <v>2</v>
      </c>
      <c r="G186" s="7">
        <f t="shared" ca="1" si="50"/>
        <v>1</v>
      </c>
      <c r="H186" s="7" t="s">
        <v>251</v>
      </c>
      <c r="I186" s="125" t="s">
        <v>543</v>
      </c>
      <c r="J186" s="69" t="s">
        <v>542</v>
      </c>
    </row>
    <row r="187" spans="1:10">
      <c r="A187" s="124" t="s">
        <v>206</v>
      </c>
      <c r="B187" s="7">
        <v>29</v>
      </c>
      <c r="C187" s="7">
        <f t="shared" ca="1" si="47"/>
        <v>2271</v>
      </c>
      <c r="D187" s="7">
        <f t="shared" ca="1" si="42"/>
        <v>2243</v>
      </c>
      <c r="E187" s="7">
        <f t="shared" ca="1" si="48"/>
        <v>70</v>
      </c>
      <c r="F187" s="7">
        <f t="shared" ca="1" si="49"/>
        <v>31</v>
      </c>
      <c r="G187" s="7">
        <f t="shared" ca="1" si="50"/>
        <v>3</v>
      </c>
      <c r="H187" s="7" t="s">
        <v>246</v>
      </c>
      <c r="I187" s="125" t="s">
        <v>374</v>
      </c>
      <c r="J187" s="123" t="s">
        <v>206</v>
      </c>
    </row>
    <row r="188" spans="1:10">
      <c r="A188" s="28" t="s">
        <v>122</v>
      </c>
    </row>
    <row r="189" spans="1:10">
      <c r="A189" s="28" t="s">
        <v>123</v>
      </c>
    </row>
    <row r="190" spans="1:10">
      <c r="A190" s="28" t="s">
        <v>124</v>
      </c>
    </row>
    <row r="191" spans="1:10">
      <c r="A191" s="28" t="s">
        <v>125</v>
      </c>
    </row>
    <row r="192" spans="1:10">
      <c r="A192" s="28" t="s">
        <v>126</v>
      </c>
    </row>
    <row r="193" spans="1:1">
      <c r="A193" s="28" t="s">
        <v>637</v>
      </c>
    </row>
    <row r="194" spans="1:1">
      <c r="A194" s="28" t="s">
        <v>636</v>
      </c>
    </row>
  </sheetData>
  <phoneticPr fontId="24" type="noConversion"/>
  <pageMargins left="0.25" right="0.25" top="0.75" bottom="0.75" header="0.3" footer="0.3"/>
  <pageSetup paperSize="9" scale="5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8"/>
  <sheetViews>
    <sheetView zoomScale="115" zoomScaleNormal="115" workbookViewId="0">
      <pane ySplit="1" topLeftCell="A2" activePane="bottomLeft" state="frozen"/>
      <selection pane="bottomLeft" activeCell="A12" sqref="A12:XFD12"/>
    </sheetView>
  </sheetViews>
  <sheetFormatPr defaultColWidth="15.5" defaultRowHeight="16.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29" customWidth="1"/>
    <col min="9" max="9" width="9.375" style="30" customWidth="1"/>
    <col min="10" max="10" width="132.125" style="31" customWidth="1"/>
    <col min="11" max="12" width="15.5" style="1"/>
    <col min="13" max="13" width="15.5" style="1" customWidth="1"/>
    <col min="14" max="16384" width="15.5" style="1"/>
  </cols>
  <sheetData>
    <row r="1" spans="1:10">
      <c r="A1" s="3" t="s">
        <v>3</v>
      </c>
      <c r="B1" s="4" t="s">
        <v>4</v>
      </c>
      <c r="C1" s="4" t="s">
        <v>5</v>
      </c>
      <c r="D1" s="4" t="s">
        <v>6</v>
      </c>
      <c r="E1" s="4" t="s">
        <v>7</v>
      </c>
      <c r="F1" s="4" t="s">
        <v>8</v>
      </c>
      <c r="G1" s="4" t="s">
        <v>9</v>
      </c>
      <c r="H1" s="4" t="s">
        <v>10</v>
      </c>
      <c r="I1" s="5" t="s">
        <v>11</v>
      </c>
      <c r="J1" s="19" t="s">
        <v>12</v>
      </c>
    </row>
    <row r="2" spans="1:10">
      <c r="A2" s="60" t="s">
        <v>224</v>
      </c>
      <c r="B2" s="7">
        <v>32</v>
      </c>
      <c r="C2" s="7">
        <f t="shared" ref="C2:C13" si="0">D2+B2-1</f>
        <v>31</v>
      </c>
      <c r="D2" s="7">
        <v>0</v>
      </c>
      <c r="E2" s="7">
        <f t="shared" ref="E2:E13" si="1">ROUNDDOWN(C2/32,0)</f>
        <v>0</v>
      </c>
      <c r="F2" s="7">
        <f t="shared" ref="F2:F13" si="2">C2-E2*32</f>
        <v>31</v>
      </c>
      <c r="G2" s="7">
        <f t="shared" ref="G2:G13" si="3">D2-E2*32</f>
        <v>0</v>
      </c>
      <c r="H2" s="7" t="s">
        <v>251</v>
      </c>
      <c r="I2" s="128" t="s">
        <v>410</v>
      </c>
      <c r="J2" s="22" t="s">
        <v>409</v>
      </c>
    </row>
    <row r="3" spans="1:10">
      <c r="A3" s="60" t="s">
        <v>254</v>
      </c>
      <c r="B3" s="7">
        <v>32</v>
      </c>
      <c r="C3" s="7">
        <f t="shared" ca="1" si="0"/>
        <v>63</v>
      </c>
      <c r="D3" s="7">
        <f t="shared" ref="D3:D13" ca="1" si="4">INDIRECT(ADDRESS(ROW()-1,COLUMN()-1))+1</f>
        <v>32</v>
      </c>
      <c r="E3" s="7">
        <f t="shared" ca="1" si="1"/>
        <v>1</v>
      </c>
      <c r="F3" s="7">
        <f t="shared" ca="1" si="2"/>
        <v>31</v>
      </c>
      <c r="G3" s="7">
        <f t="shared" ca="1" si="3"/>
        <v>0</v>
      </c>
      <c r="H3" s="7" t="s">
        <v>251</v>
      </c>
      <c r="I3" s="128" t="s">
        <v>410</v>
      </c>
      <c r="J3" s="22" t="s">
        <v>413</v>
      </c>
    </row>
    <row r="4" spans="1:10" s="59" customFormat="1">
      <c r="A4" s="60" t="s">
        <v>209</v>
      </c>
      <c r="B4" s="7">
        <v>32</v>
      </c>
      <c r="C4" s="7">
        <f t="shared" ca="1" si="0"/>
        <v>95</v>
      </c>
      <c r="D4" s="7">
        <f t="shared" ca="1" si="4"/>
        <v>64</v>
      </c>
      <c r="E4" s="7">
        <f t="shared" ca="1" si="1"/>
        <v>2</v>
      </c>
      <c r="F4" s="7">
        <f t="shared" ca="1" si="2"/>
        <v>31</v>
      </c>
      <c r="G4" s="7">
        <f t="shared" ca="1" si="3"/>
        <v>0</v>
      </c>
      <c r="H4" s="7" t="s">
        <v>251</v>
      </c>
      <c r="I4" s="128" t="s">
        <v>410</v>
      </c>
      <c r="J4" s="22" t="s">
        <v>414</v>
      </c>
    </row>
    <row r="5" spans="1:10" s="59" customFormat="1">
      <c r="A5" s="60" t="s">
        <v>411</v>
      </c>
      <c r="B5" s="61">
        <v>16</v>
      </c>
      <c r="C5" s="7">
        <f t="shared" ca="1" si="0"/>
        <v>111</v>
      </c>
      <c r="D5" s="7">
        <f t="shared" ca="1" si="4"/>
        <v>96</v>
      </c>
      <c r="E5" s="7">
        <f t="shared" ca="1" si="1"/>
        <v>3</v>
      </c>
      <c r="F5" s="7">
        <f t="shared" ca="1" si="2"/>
        <v>15</v>
      </c>
      <c r="G5" s="7">
        <f t="shared" ca="1" si="3"/>
        <v>0</v>
      </c>
      <c r="H5" s="7" t="s">
        <v>251</v>
      </c>
      <c r="I5" s="66" t="s">
        <v>412</v>
      </c>
      <c r="J5" s="22" t="s">
        <v>415</v>
      </c>
    </row>
    <row r="6" spans="1:10" s="59" customFormat="1">
      <c r="A6" s="60" t="s">
        <v>256</v>
      </c>
      <c r="B6" s="61">
        <v>16</v>
      </c>
      <c r="C6" s="7">
        <f t="shared" ca="1" si="0"/>
        <v>127</v>
      </c>
      <c r="D6" s="7">
        <f t="shared" ca="1" si="4"/>
        <v>112</v>
      </c>
      <c r="E6" s="7">
        <f t="shared" ca="1" si="1"/>
        <v>3</v>
      </c>
      <c r="F6" s="7">
        <f t="shared" ca="1" si="2"/>
        <v>31</v>
      </c>
      <c r="G6" s="7">
        <f t="shared" ca="1" si="3"/>
        <v>16</v>
      </c>
      <c r="H6" s="7" t="s">
        <v>251</v>
      </c>
      <c r="I6" s="66" t="s">
        <v>412</v>
      </c>
      <c r="J6" s="22" t="s">
        <v>416</v>
      </c>
    </row>
    <row r="7" spans="1:10" s="59" customFormat="1">
      <c r="A7" s="60" t="s">
        <v>210</v>
      </c>
      <c r="B7" s="61">
        <v>32</v>
      </c>
      <c r="C7" s="7">
        <f t="shared" ca="1" si="0"/>
        <v>159</v>
      </c>
      <c r="D7" s="7">
        <f t="shared" ca="1" si="4"/>
        <v>128</v>
      </c>
      <c r="E7" s="7">
        <f t="shared" ca="1" si="1"/>
        <v>4</v>
      </c>
      <c r="F7" s="7">
        <f t="shared" ca="1" si="2"/>
        <v>31</v>
      </c>
      <c r="G7" s="7">
        <f t="shared" ca="1" si="3"/>
        <v>0</v>
      </c>
      <c r="H7" s="7" t="s">
        <v>251</v>
      </c>
      <c r="I7" s="66" t="s">
        <v>410</v>
      </c>
      <c r="J7" s="22" t="s">
        <v>417</v>
      </c>
    </row>
    <row r="8" spans="1:10" s="2" customFormat="1">
      <c r="A8" s="60" t="s">
        <v>257</v>
      </c>
      <c r="B8" s="61">
        <v>32</v>
      </c>
      <c r="C8" s="7">
        <f t="shared" ca="1" si="0"/>
        <v>191</v>
      </c>
      <c r="D8" s="7">
        <f t="shared" ca="1" si="4"/>
        <v>160</v>
      </c>
      <c r="E8" s="7">
        <f t="shared" ca="1" si="1"/>
        <v>5</v>
      </c>
      <c r="F8" s="7">
        <f t="shared" ca="1" si="2"/>
        <v>31</v>
      </c>
      <c r="G8" s="7">
        <f t="shared" ca="1" si="3"/>
        <v>0</v>
      </c>
      <c r="H8" s="7" t="s">
        <v>251</v>
      </c>
      <c r="I8" s="66" t="s">
        <v>410</v>
      </c>
      <c r="J8" s="22" t="s">
        <v>418</v>
      </c>
    </row>
    <row r="9" spans="1:10">
      <c r="A9" s="60" t="s">
        <v>249</v>
      </c>
      <c r="B9" s="7">
        <v>32</v>
      </c>
      <c r="C9" s="7">
        <f t="shared" ca="1" si="0"/>
        <v>223</v>
      </c>
      <c r="D9" s="7">
        <f t="shared" ca="1" si="4"/>
        <v>192</v>
      </c>
      <c r="E9" s="7">
        <f t="shared" ca="1" si="1"/>
        <v>6</v>
      </c>
      <c r="F9" s="7">
        <f t="shared" ca="1" si="2"/>
        <v>31</v>
      </c>
      <c r="G9" s="7">
        <f t="shared" ca="1" si="3"/>
        <v>0</v>
      </c>
      <c r="H9" s="7" t="s">
        <v>251</v>
      </c>
      <c r="I9" s="66" t="s">
        <v>410</v>
      </c>
      <c r="J9" s="22" t="s">
        <v>419</v>
      </c>
    </row>
    <row r="10" spans="1:10">
      <c r="A10" s="60" t="s">
        <v>561</v>
      </c>
      <c r="B10" s="7">
        <v>13</v>
      </c>
      <c r="C10" s="7">
        <f t="shared" ca="1" si="0"/>
        <v>236</v>
      </c>
      <c r="D10" s="7">
        <f t="shared" ca="1" si="4"/>
        <v>224</v>
      </c>
      <c r="E10" s="7">
        <f t="shared" ca="1" si="1"/>
        <v>7</v>
      </c>
      <c r="F10" s="7">
        <f t="shared" ca="1" si="2"/>
        <v>12</v>
      </c>
      <c r="G10" s="7">
        <f t="shared" ca="1" si="3"/>
        <v>0</v>
      </c>
      <c r="H10" s="7" t="s">
        <v>251</v>
      </c>
      <c r="I10" s="66" t="s">
        <v>562</v>
      </c>
      <c r="J10" s="9" t="s">
        <v>2384</v>
      </c>
    </row>
    <row r="11" spans="1:10" s="2" customFormat="1" ht="99">
      <c r="A11" s="60" t="s">
        <v>553</v>
      </c>
      <c r="B11" s="7">
        <v>3</v>
      </c>
      <c r="C11" s="7">
        <f t="shared" ca="1" si="0"/>
        <v>239</v>
      </c>
      <c r="D11" s="7">
        <f t="shared" ca="1" si="4"/>
        <v>237</v>
      </c>
      <c r="E11" s="7">
        <f t="shared" ca="1" si="1"/>
        <v>7</v>
      </c>
      <c r="F11" s="7">
        <f t="shared" ca="1" si="2"/>
        <v>15</v>
      </c>
      <c r="G11" s="7">
        <f t="shared" ca="1" si="3"/>
        <v>13</v>
      </c>
      <c r="H11" s="7" t="s">
        <v>251</v>
      </c>
      <c r="I11" s="9" t="s">
        <v>554</v>
      </c>
      <c r="J11" s="130" t="s">
        <v>1591</v>
      </c>
    </row>
    <row r="12" spans="1:10">
      <c r="A12" s="60" t="s">
        <v>2376</v>
      </c>
      <c r="B12" s="7">
        <v>10</v>
      </c>
      <c r="C12" s="7">
        <f t="shared" ref="C12" ca="1" si="5">D12+B12-1</f>
        <v>249</v>
      </c>
      <c r="D12" s="7">
        <f t="shared" ca="1" si="4"/>
        <v>240</v>
      </c>
      <c r="E12" s="7">
        <f t="shared" ref="E12" ca="1" si="6">ROUNDDOWN(C12/32,0)</f>
        <v>7</v>
      </c>
      <c r="F12" s="7">
        <f t="shared" ref="F12" ca="1" si="7">C12-E12*32</f>
        <v>25</v>
      </c>
      <c r="G12" s="7">
        <f t="shared" ref="G12" ca="1" si="8">D12-E12*32</f>
        <v>16</v>
      </c>
      <c r="H12" s="7" t="s">
        <v>251</v>
      </c>
      <c r="I12" s="66" t="s">
        <v>2385</v>
      </c>
      <c r="J12" s="9" t="s">
        <v>2383</v>
      </c>
    </row>
    <row r="13" spans="1:10" s="2" customFormat="1">
      <c r="A13" s="60" t="s">
        <v>206</v>
      </c>
      <c r="B13" s="7">
        <v>6</v>
      </c>
      <c r="C13" s="7">
        <f t="shared" ca="1" si="0"/>
        <v>255</v>
      </c>
      <c r="D13" s="7">
        <f t="shared" ca="1" si="4"/>
        <v>250</v>
      </c>
      <c r="E13" s="7">
        <f t="shared" ca="1" si="1"/>
        <v>7</v>
      </c>
      <c r="F13" s="7">
        <f t="shared" ca="1" si="2"/>
        <v>31</v>
      </c>
      <c r="G13" s="7">
        <f t="shared" ca="1" si="3"/>
        <v>26</v>
      </c>
      <c r="H13" s="7" t="s">
        <v>246</v>
      </c>
      <c r="I13" s="9" t="s">
        <v>2386</v>
      </c>
      <c r="J13" s="130" t="s">
        <v>206</v>
      </c>
    </row>
    <row r="14" spans="1:10" s="59" customFormat="1">
      <c r="A14" s="117"/>
      <c r="B14" s="61"/>
      <c r="C14" s="7"/>
      <c r="D14" s="7"/>
      <c r="E14" s="7"/>
      <c r="F14" s="7"/>
      <c r="G14" s="61"/>
      <c r="H14" s="61"/>
      <c r="I14" s="68"/>
      <c r="J14" s="118"/>
    </row>
    <row r="15" spans="1:10" s="59" customFormat="1">
      <c r="A15" s="63"/>
      <c r="B15" s="61"/>
      <c r="C15" s="7"/>
      <c r="D15" s="7"/>
      <c r="E15" s="61"/>
      <c r="F15" s="61"/>
      <c r="G15" s="61"/>
      <c r="H15" s="61"/>
      <c r="I15" s="68"/>
      <c r="J15" s="69"/>
    </row>
    <row r="16" spans="1:10" s="59" customFormat="1">
      <c r="A16" s="117"/>
      <c r="B16" s="61"/>
      <c r="C16" s="7"/>
      <c r="D16" s="7"/>
      <c r="E16" s="7"/>
      <c r="F16" s="7"/>
      <c r="G16" s="61"/>
      <c r="H16" s="61"/>
      <c r="I16" s="68"/>
      <c r="J16" s="118"/>
    </row>
    <row r="17" spans="1:10">
      <c r="A17" s="63"/>
      <c r="B17" s="61"/>
      <c r="C17" s="7"/>
      <c r="D17" s="7"/>
      <c r="E17" s="64"/>
      <c r="F17" s="61"/>
      <c r="G17" s="61"/>
      <c r="H17" s="61"/>
      <c r="I17" s="68"/>
      <c r="J17" s="69"/>
    </row>
    <row r="18" spans="1:10" s="59" customFormat="1">
      <c r="A18" s="117"/>
      <c r="B18" s="61"/>
      <c r="C18" s="7"/>
      <c r="D18" s="7"/>
      <c r="E18" s="7"/>
      <c r="F18" s="7"/>
      <c r="G18" s="61"/>
      <c r="H18" s="61"/>
      <c r="I18" s="68"/>
      <c r="J18" s="118"/>
    </row>
    <row r="19" spans="1:10" s="2" customFormat="1">
      <c r="A19" s="60"/>
      <c r="B19" s="7"/>
      <c r="C19" s="7"/>
      <c r="D19" s="7"/>
      <c r="E19" s="7"/>
      <c r="F19" s="7"/>
      <c r="G19" s="7"/>
      <c r="H19" s="7"/>
      <c r="I19" s="8"/>
      <c r="J19" s="22"/>
    </row>
    <row r="20" spans="1:10" s="59" customFormat="1">
      <c r="A20" s="62"/>
      <c r="B20" s="12"/>
      <c r="C20" s="12"/>
      <c r="D20" s="12"/>
      <c r="E20" s="12"/>
      <c r="F20" s="12"/>
      <c r="G20" s="12"/>
      <c r="H20" s="12"/>
      <c r="I20" s="13"/>
      <c r="J20" s="23"/>
    </row>
    <row r="21" spans="1:10">
      <c r="A21" s="65"/>
      <c r="B21" s="64"/>
      <c r="C21" s="7"/>
      <c r="D21" s="7"/>
      <c r="E21" s="61"/>
      <c r="F21" s="61"/>
      <c r="G21" s="61"/>
      <c r="H21" s="64"/>
      <c r="I21" s="68"/>
      <c r="J21" s="70"/>
    </row>
    <row r="22" spans="1:10">
      <c r="A22" s="60"/>
      <c r="B22" s="7"/>
      <c r="C22" s="7"/>
      <c r="D22" s="7"/>
      <c r="E22" s="7"/>
      <c r="F22" s="7"/>
      <c r="G22" s="7"/>
      <c r="H22" s="7"/>
      <c r="I22" s="8"/>
      <c r="J22" s="22"/>
    </row>
    <row r="23" spans="1:10">
      <c r="A23" s="60"/>
      <c r="B23" s="7"/>
      <c r="C23" s="7"/>
      <c r="D23" s="7"/>
      <c r="E23" s="7"/>
      <c r="F23" s="7"/>
      <c r="G23" s="7"/>
      <c r="H23" s="7"/>
      <c r="I23" s="8"/>
      <c r="J23" s="22"/>
    </row>
    <row r="24" spans="1:10">
      <c r="A24" s="60"/>
      <c r="B24" s="7"/>
      <c r="C24" s="7"/>
      <c r="D24" s="7"/>
      <c r="E24" s="7"/>
      <c r="F24" s="7"/>
      <c r="G24" s="7"/>
      <c r="H24" s="7"/>
      <c r="I24" s="8"/>
      <c r="J24" s="22"/>
    </row>
    <row r="25" spans="1:10" s="2" customFormat="1">
      <c r="A25" s="60"/>
      <c r="B25" s="7"/>
      <c r="C25" s="7"/>
      <c r="D25" s="7"/>
      <c r="E25" s="7"/>
      <c r="F25" s="7"/>
      <c r="G25" s="7"/>
      <c r="H25" s="7"/>
      <c r="I25" s="8"/>
      <c r="J25" s="22"/>
    </row>
    <row r="26" spans="1:10">
      <c r="A26" s="62"/>
      <c r="B26" s="12"/>
      <c r="C26" s="12"/>
      <c r="D26" s="12"/>
      <c r="E26" s="12"/>
      <c r="F26" s="12"/>
      <c r="G26" s="12"/>
      <c r="H26" s="12"/>
      <c r="I26" s="13"/>
      <c r="J26" s="23"/>
    </row>
    <row r="27" spans="1:10">
      <c r="A27" s="60"/>
      <c r="B27" s="7"/>
      <c r="C27" s="7"/>
      <c r="D27" s="7"/>
      <c r="E27" s="7"/>
      <c r="F27" s="7"/>
      <c r="G27" s="7"/>
      <c r="H27" s="7"/>
      <c r="I27" s="8"/>
      <c r="J27" s="22"/>
    </row>
    <row r="28" spans="1:10">
      <c r="A28" s="60"/>
      <c r="B28" s="7"/>
      <c r="C28" s="7"/>
      <c r="D28" s="7"/>
      <c r="E28" s="7"/>
      <c r="F28" s="7"/>
      <c r="G28" s="7"/>
      <c r="H28" s="7"/>
      <c r="I28" s="8"/>
      <c r="J28" s="22"/>
    </row>
    <row r="29" spans="1:10">
      <c r="A29" s="60"/>
      <c r="B29" s="7"/>
      <c r="C29" s="7"/>
      <c r="D29" s="7"/>
      <c r="E29" s="7"/>
      <c r="F29" s="7"/>
      <c r="G29" s="7"/>
      <c r="H29" s="7"/>
      <c r="I29" s="8"/>
      <c r="J29" s="22"/>
    </row>
    <row r="30" spans="1:10">
      <c r="A30" s="60"/>
      <c r="B30" s="7"/>
      <c r="C30" s="7"/>
      <c r="D30" s="7"/>
      <c r="E30" s="7"/>
      <c r="F30" s="7"/>
      <c r="G30" s="7"/>
      <c r="H30" s="7"/>
      <c r="I30" s="8"/>
      <c r="J30" s="22"/>
    </row>
    <row r="31" spans="1:10">
      <c r="A31" s="60"/>
      <c r="B31" s="7"/>
      <c r="C31" s="7"/>
      <c r="D31" s="7"/>
      <c r="E31" s="7"/>
      <c r="F31" s="7"/>
      <c r="G31" s="7"/>
      <c r="H31" s="7"/>
      <c r="I31" s="8"/>
      <c r="J31" s="22"/>
    </row>
    <row r="32" spans="1:10">
      <c r="A32" s="60"/>
      <c r="B32" s="7"/>
      <c r="C32" s="7"/>
      <c r="D32" s="7"/>
      <c r="E32" s="7"/>
      <c r="F32" s="7"/>
      <c r="G32" s="7"/>
      <c r="H32" s="7"/>
      <c r="I32" s="8"/>
      <c r="J32" s="22"/>
    </row>
    <row r="33" spans="1:10">
      <c r="A33" s="60"/>
      <c r="B33" s="7"/>
      <c r="C33" s="7"/>
      <c r="D33" s="7"/>
      <c r="E33" s="7"/>
      <c r="F33" s="7"/>
      <c r="G33" s="7"/>
      <c r="H33" s="7"/>
      <c r="I33" s="8"/>
      <c r="J33" s="22"/>
    </row>
    <row r="34" spans="1:10">
      <c r="A34" s="60"/>
      <c r="B34" s="7"/>
      <c r="C34" s="7"/>
      <c r="D34" s="7"/>
      <c r="E34" s="7"/>
      <c r="F34" s="7"/>
      <c r="G34" s="7"/>
      <c r="H34" s="7"/>
      <c r="I34" s="8"/>
      <c r="J34" s="22"/>
    </row>
    <row r="35" spans="1:10">
      <c r="A35" s="60"/>
      <c r="B35" s="7"/>
      <c r="C35" s="7"/>
      <c r="D35" s="7"/>
      <c r="E35" s="7"/>
      <c r="F35" s="7"/>
      <c r="G35" s="7"/>
      <c r="H35" s="7"/>
      <c r="I35" s="8"/>
      <c r="J35" s="22"/>
    </row>
    <row r="36" spans="1:10">
      <c r="A36" s="60"/>
      <c r="B36" s="7"/>
      <c r="C36" s="7"/>
      <c r="D36" s="7"/>
      <c r="E36" s="7"/>
      <c r="F36" s="7"/>
      <c r="G36" s="7"/>
      <c r="H36" s="7"/>
      <c r="I36" s="8"/>
      <c r="J36" s="22"/>
    </row>
    <row r="37" spans="1:10">
      <c r="A37" s="60"/>
      <c r="B37" s="7"/>
      <c r="C37" s="7"/>
      <c r="D37" s="7"/>
      <c r="E37" s="7"/>
      <c r="F37" s="7"/>
      <c r="G37" s="7"/>
      <c r="H37" s="7"/>
      <c r="I37" s="8"/>
      <c r="J37" s="22"/>
    </row>
    <row r="38" spans="1:10">
      <c r="A38" s="60"/>
      <c r="B38" s="7"/>
      <c r="C38" s="7"/>
      <c r="D38" s="7"/>
      <c r="E38" s="7"/>
      <c r="F38" s="7"/>
      <c r="G38" s="7"/>
      <c r="H38" s="7"/>
      <c r="I38" s="8"/>
      <c r="J38" s="22"/>
    </row>
    <row r="39" spans="1:10">
      <c r="A39" s="60"/>
      <c r="B39" s="7"/>
      <c r="C39" s="7"/>
      <c r="D39" s="7"/>
      <c r="E39" s="7"/>
      <c r="F39" s="7"/>
      <c r="G39" s="7"/>
      <c r="H39" s="7"/>
      <c r="I39" s="8"/>
      <c r="J39" s="22"/>
    </row>
    <row r="40" spans="1:10">
      <c r="A40" s="60"/>
      <c r="B40" s="7"/>
      <c r="C40" s="7"/>
      <c r="D40" s="7"/>
      <c r="E40" s="7"/>
      <c r="F40" s="7"/>
      <c r="G40" s="7"/>
      <c r="H40" s="7"/>
      <c r="I40" s="8"/>
      <c r="J40" s="22"/>
    </row>
    <row r="41" spans="1:10">
      <c r="A41" s="60"/>
      <c r="B41" s="7"/>
      <c r="C41" s="7"/>
      <c r="D41" s="7"/>
      <c r="E41" s="7"/>
      <c r="F41" s="7"/>
      <c r="G41" s="7"/>
      <c r="H41" s="7"/>
      <c r="I41" s="8"/>
      <c r="J41" s="22"/>
    </row>
    <row r="42" spans="1:10">
      <c r="A42" s="60"/>
      <c r="B42" s="7"/>
      <c r="C42" s="7"/>
      <c r="D42" s="7"/>
      <c r="E42" s="7"/>
      <c r="F42" s="7"/>
      <c r="G42" s="7"/>
      <c r="H42" s="7"/>
      <c r="I42" s="8"/>
      <c r="J42" s="22"/>
    </row>
    <row r="43" spans="1:10">
      <c r="A43" s="60"/>
      <c r="B43" s="7"/>
      <c r="C43" s="7"/>
      <c r="D43" s="7"/>
      <c r="E43" s="7"/>
      <c r="F43" s="7"/>
      <c r="G43" s="7"/>
      <c r="H43" s="7"/>
      <c r="I43" s="8"/>
      <c r="J43" s="22"/>
    </row>
    <row r="44" spans="1:10">
      <c r="A44" s="60"/>
      <c r="B44" s="7"/>
      <c r="C44" s="7"/>
      <c r="D44" s="7"/>
      <c r="E44" s="7"/>
      <c r="F44" s="7"/>
      <c r="G44" s="7"/>
      <c r="H44" s="7"/>
      <c r="I44" s="8"/>
      <c r="J44" s="22"/>
    </row>
    <row r="45" spans="1:10">
      <c r="A45" s="60"/>
      <c r="B45" s="7"/>
      <c r="C45" s="7"/>
      <c r="D45" s="7"/>
      <c r="E45" s="7"/>
      <c r="F45" s="7"/>
      <c r="G45" s="7"/>
      <c r="H45" s="7"/>
      <c r="I45" s="8"/>
      <c r="J45" s="22"/>
    </row>
    <row r="46" spans="1:10">
      <c r="A46" s="60"/>
      <c r="B46" s="7"/>
      <c r="C46" s="7"/>
      <c r="D46" s="7"/>
      <c r="E46" s="7"/>
      <c r="F46" s="7"/>
      <c r="G46" s="7"/>
      <c r="H46" s="7"/>
      <c r="I46" s="8"/>
      <c r="J46" s="22"/>
    </row>
    <row r="47" spans="1:10">
      <c r="A47" s="60"/>
      <c r="B47" s="7"/>
      <c r="C47" s="7"/>
      <c r="D47" s="7"/>
      <c r="E47" s="7"/>
      <c r="F47" s="7"/>
      <c r="G47" s="7"/>
      <c r="H47" s="7"/>
      <c r="I47" s="8"/>
      <c r="J47" s="22"/>
    </row>
    <row r="48" spans="1:10">
      <c r="A48" s="60"/>
      <c r="B48" s="7"/>
      <c r="C48" s="7"/>
      <c r="D48" s="7"/>
      <c r="E48" s="7"/>
      <c r="F48" s="7"/>
      <c r="G48" s="7"/>
      <c r="H48" s="7"/>
      <c r="I48" s="8"/>
      <c r="J48" s="22"/>
    </row>
    <row r="49" spans="1:10">
      <c r="A49" s="60"/>
      <c r="B49" s="7"/>
      <c r="C49" s="7"/>
      <c r="D49" s="7"/>
      <c r="E49" s="7"/>
      <c r="F49" s="7"/>
      <c r="G49" s="7"/>
      <c r="H49" s="7"/>
      <c r="I49" s="8"/>
      <c r="J49" s="22"/>
    </row>
    <row r="50" spans="1:10">
      <c r="A50" s="60"/>
      <c r="B50" s="7"/>
      <c r="C50" s="7"/>
      <c r="D50" s="7"/>
      <c r="E50" s="7"/>
      <c r="F50" s="7"/>
      <c r="G50" s="7"/>
      <c r="H50" s="7"/>
      <c r="I50" s="8"/>
      <c r="J50" s="22"/>
    </row>
    <row r="51" spans="1:10">
      <c r="A51" s="60"/>
      <c r="B51" s="7"/>
      <c r="C51" s="7"/>
      <c r="D51" s="7"/>
      <c r="E51" s="7"/>
      <c r="F51" s="7"/>
      <c r="G51" s="7"/>
      <c r="H51" s="7"/>
      <c r="I51" s="8"/>
      <c r="J51" s="22"/>
    </row>
    <row r="52" spans="1:10">
      <c r="A52" s="60"/>
      <c r="B52" s="7"/>
      <c r="C52" s="7"/>
      <c r="D52" s="7"/>
      <c r="E52" s="7"/>
      <c r="F52" s="7"/>
      <c r="G52" s="7"/>
      <c r="H52" s="7"/>
      <c r="I52" s="8"/>
      <c r="J52" s="22"/>
    </row>
    <row r="53" spans="1:10">
      <c r="A53" s="60"/>
      <c r="B53" s="7"/>
      <c r="C53" s="7"/>
      <c r="D53" s="7"/>
      <c r="E53" s="7"/>
      <c r="F53" s="7"/>
      <c r="G53" s="7"/>
      <c r="H53" s="7"/>
      <c r="I53" s="8"/>
      <c r="J53" s="22"/>
    </row>
    <row r="54" spans="1:10">
      <c r="A54" s="60"/>
      <c r="B54" s="7"/>
      <c r="C54" s="7"/>
      <c r="D54" s="7"/>
      <c r="E54" s="7"/>
      <c r="F54" s="7"/>
      <c r="G54" s="7"/>
      <c r="H54" s="7"/>
      <c r="I54" s="8"/>
      <c r="J54" s="22"/>
    </row>
    <row r="55" spans="1:10">
      <c r="A55" s="60"/>
      <c r="B55" s="7"/>
      <c r="C55" s="7"/>
      <c r="D55" s="7"/>
      <c r="E55" s="7"/>
      <c r="F55" s="7"/>
      <c r="G55" s="7"/>
      <c r="H55" s="7"/>
      <c r="I55" s="8"/>
      <c r="J55" s="22"/>
    </row>
    <row r="56" spans="1:10">
      <c r="A56" s="60"/>
      <c r="B56" s="7"/>
      <c r="C56" s="7"/>
      <c r="D56" s="7"/>
      <c r="E56" s="7"/>
      <c r="F56" s="7"/>
      <c r="G56" s="7"/>
      <c r="H56" s="7"/>
      <c r="I56" s="8"/>
      <c r="J56" s="22"/>
    </row>
    <row r="57" spans="1:10">
      <c r="A57" s="60"/>
      <c r="B57" s="7"/>
      <c r="C57" s="7"/>
      <c r="D57" s="7"/>
      <c r="E57" s="7"/>
      <c r="F57" s="7"/>
      <c r="G57" s="7"/>
      <c r="H57" s="7"/>
      <c r="I57" s="8"/>
      <c r="J57" s="22"/>
    </row>
    <row r="58" spans="1:10" s="29" customFormat="1">
      <c r="A58" s="60"/>
      <c r="B58" s="7"/>
      <c r="C58" s="7"/>
      <c r="D58" s="7"/>
      <c r="E58" s="7"/>
      <c r="F58" s="7"/>
      <c r="G58" s="7"/>
      <c r="H58" s="7"/>
      <c r="I58" s="8"/>
      <c r="J58" s="22"/>
    </row>
    <row r="59" spans="1:10" s="29" customFormat="1">
      <c r="A59" s="124"/>
      <c r="B59" s="7"/>
      <c r="C59" s="7"/>
      <c r="D59" s="7"/>
      <c r="E59" s="7"/>
      <c r="F59" s="7"/>
      <c r="G59" s="7"/>
      <c r="H59" s="7"/>
      <c r="I59" s="125"/>
      <c r="J59" s="123"/>
    </row>
    <row r="60" spans="1:10" s="29" customFormat="1">
      <c r="A60" s="124"/>
      <c r="B60" s="7"/>
      <c r="C60" s="7"/>
      <c r="D60" s="7"/>
      <c r="E60" s="7"/>
      <c r="F60" s="7"/>
      <c r="G60" s="7"/>
      <c r="H60" s="7"/>
      <c r="I60" s="125"/>
      <c r="J60" s="123"/>
    </row>
    <row r="61" spans="1:10" s="29" customFormat="1">
      <c r="A61" s="124"/>
      <c r="B61" s="7"/>
      <c r="C61" s="7"/>
      <c r="D61" s="7"/>
      <c r="E61" s="7"/>
      <c r="F61" s="7"/>
      <c r="G61" s="7"/>
      <c r="H61" s="7"/>
      <c r="I61" s="125"/>
      <c r="J61" s="123"/>
    </row>
    <row r="62" spans="1:10" s="29" customFormat="1">
      <c r="A62" s="124"/>
      <c r="B62" s="7"/>
      <c r="C62" s="7"/>
      <c r="D62" s="7"/>
      <c r="E62" s="7"/>
      <c r="F62" s="7"/>
      <c r="G62" s="7"/>
      <c r="H62" s="7"/>
      <c r="I62" s="125"/>
      <c r="J62" s="123"/>
    </row>
    <row r="63" spans="1:10" s="29" customFormat="1">
      <c r="A63" s="124"/>
      <c r="B63" s="7"/>
      <c r="C63" s="7"/>
      <c r="D63" s="7"/>
      <c r="E63" s="7"/>
      <c r="F63" s="7"/>
      <c r="G63" s="7"/>
      <c r="H63" s="7"/>
      <c r="I63" s="125"/>
      <c r="J63" s="123"/>
    </row>
    <row r="64" spans="1:10" s="29" customFormat="1">
      <c r="A64" s="124"/>
      <c r="B64" s="7"/>
      <c r="C64" s="7"/>
      <c r="D64" s="7"/>
      <c r="E64" s="7"/>
      <c r="F64" s="7"/>
      <c r="G64" s="7"/>
      <c r="H64" s="7"/>
      <c r="I64" s="125"/>
      <c r="J64" s="123"/>
    </row>
    <row r="65" spans="1:10" s="29" customFormat="1">
      <c r="A65" s="124"/>
      <c r="B65" s="7"/>
      <c r="C65" s="7"/>
      <c r="D65" s="7"/>
      <c r="E65" s="7"/>
      <c r="F65" s="7"/>
      <c r="G65" s="7"/>
      <c r="H65" s="7"/>
      <c r="I65" s="125"/>
      <c r="J65" s="123"/>
    </row>
    <row r="66" spans="1:10" s="29" customFormat="1">
      <c r="A66" s="124"/>
      <c r="B66" s="7"/>
      <c r="C66" s="7"/>
      <c r="D66" s="7"/>
      <c r="E66" s="7"/>
      <c r="F66" s="7"/>
      <c r="G66" s="7"/>
      <c r="H66" s="7"/>
      <c r="I66" s="125"/>
      <c r="J66" s="123"/>
    </row>
    <row r="67" spans="1:10" s="29" customFormat="1">
      <c r="A67" s="124"/>
      <c r="B67" s="7"/>
      <c r="C67" s="7"/>
      <c r="D67" s="7"/>
      <c r="E67" s="7"/>
      <c r="F67" s="7"/>
      <c r="G67" s="7"/>
      <c r="H67" s="7"/>
      <c r="I67" s="125"/>
      <c r="J67" s="123"/>
    </row>
    <row r="68" spans="1:10" s="29" customFormat="1">
      <c r="A68" s="124"/>
      <c r="B68" s="7"/>
      <c r="C68" s="7"/>
      <c r="D68" s="7"/>
      <c r="E68" s="7"/>
      <c r="F68" s="7"/>
      <c r="G68" s="7"/>
      <c r="H68" s="7"/>
      <c r="I68" s="125"/>
      <c r="J68" s="123"/>
    </row>
    <row r="69" spans="1:10" s="29" customFormat="1">
      <c r="A69" s="124"/>
      <c r="B69" s="7"/>
      <c r="C69" s="7"/>
      <c r="D69" s="7"/>
      <c r="E69" s="7"/>
      <c r="F69" s="7"/>
      <c r="G69" s="7"/>
      <c r="H69" s="7"/>
      <c r="I69" s="125"/>
      <c r="J69" s="123"/>
    </row>
    <row r="70" spans="1:10" s="29" customFormat="1">
      <c r="A70" s="124"/>
      <c r="B70" s="7"/>
      <c r="C70" s="7"/>
      <c r="D70" s="7"/>
      <c r="E70" s="7"/>
      <c r="F70" s="7"/>
      <c r="G70" s="7"/>
      <c r="H70" s="7"/>
      <c r="I70" s="125"/>
      <c r="J70" s="123"/>
    </row>
    <row r="71" spans="1:10" s="29" customFormat="1">
      <c r="A71" s="124"/>
      <c r="B71" s="7"/>
      <c r="C71" s="7"/>
      <c r="D71" s="7"/>
      <c r="E71" s="7"/>
      <c r="F71" s="7"/>
      <c r="G71" s="7"/>
      <c r="H71" s="7"/>
      <c r="I71" s="125"/>
      <c r="J71" s="123"/>
    </row>
    <row r="72" spans="1:10" s="29" customFormat="1">
      <c r="A72" s="124"/>
      <c r="B72" s="7"/>
      <c r="C72" s="7"/>
      <c r="D72" s="7"/>
      <c r="E72" s="7"/>
      <c r="F72" s="7"/>
      <c r="G72" s="7"/>
      <c r="H72" s="7"/>
      <c r="I72" s="125"/>
      <c r="J72" s="123"/>
    </row>
    <row r="73" spans="1:10">
      <c r="A73" s="60"/>
      <c r="B73" s="7"/>
      <c r="C73" s="7"/>
      <c r="D73" s="7"/>
      <c r="E73" s="7"/>
      <c r="F73" s="7"/>
      <c r="G73" s="7"/>
      <c r="H73" s="122"/>
      <c r="I73" s="8"/>
      <c r="J73" s="22"/>
    </row>
    <row r="74" spans="1:10" s="29" customFormat="1">
      <c r="A74" s="124"/>
      <c r="B74" s="7"/>
      <c r="C74" s="7"/>
      <c r="D74" s="7"/>
      <c r="E74" s="7"/>
      <c r="F74" s="7"/>
      <c r="G74" s="7"/>
      <c r="H74" s="7"/>
      <c r="I74" s="125"/>
      <c r="J74" s="123"/>
    </row>
    <row r="75" spans="1:10" s="29" customFormat="1">
      <c r="A75" s="124"/>
      <c r="B75" s="7"/>
      <c r="C75" s="7"/>
      <c r="D75" s="7"/>
      <c r="E75" s="7"/>
      <c r="F75" s="7"/>
      <c r="G75" s="7"/>
      <c r="H75" s="7"/>
      <c r="I75" s="125"/>
      <c r="J75" s="123"/>
    </row>
    <row r="76" spans="1:10" s="29" customFormat="1">
      <c r="A76" s="124"/>
      <c r="B76" s="7"/>
      <c r="C76" s="7"/>
      <c r="D76" s="7"/>
      <c r="E76" s="7"/>
      <c r="F76" s="7"/>
      <c r="G76" s="7"/>
      <c r="H76" s="7"/>
      <c r="I76" s="125"/>
      <c r="J76" s="123"/>
    </row>
    <row r="77" spans="1:10" s="29" customFormat="1">
      <c r="A77" s="124"/>
      <c r="B77" s="7"/>
      <c r="C77" s="7"/>
      <c r="D77" s="7"/>
      <c r="E77" s="7"/>
      <c r="F77" s="7"/>
      <c r="G77" s="7"/>
      <c r="H77" s="7"/>
      <c r="I77" s="125"/>
      <c r="J77" s="123"/>
    </row>
    <row r="78" spans="1:10" s="29" customFormat="1">
      <c r="A78" s="124"/>
      <c r="B78" s="7"/>
      <c r="C78" s="7"/>
      <c r="D78" s="7"/>
      <c r="E78" s="7"/>
      <c r="F78" s="7"/>
      <c r="G78" s="7"/>
      <c r="H78" s="7"/>
      <c r="I78" s="125"/>
      <c r="J78" s="123"/>
    </row>
    <row r="79" spans="1:10" s="29" customFormat="1">
      <c r="A79" s="124"/>
      <c r="B79" s="7"/>
      <c r="C79" s="7"/>
      <c r="D79" s="7"/>
      <c r="E79" s="7"/>
      <c r="F79" s="7"/>
      <c r="G79" s="7"/>
      <c r="H79" s="7"/>
      <c r="I79" s="125"/>
      <c r="J79" s="123"/>
    </row>
    <row r="80" spans="1:10" s="29" customFormat="1">
      <c r="A80" s="124"/>
      <c r="B80" s="7"/>
      <c r="C80" s="7"/>
      <c r="D80" s="7"/>
      <c r="E80" s="7"/>
      <c r="F80" s="7"/>
      <c r="G80" s="7"/>
      <c r="H80" s="7"/>
      <c r="I80" s="125"/>
      <c r="J80" s="123"/>
    </row>
    <row r="81" spans="1:13" s="29" customFormat="1">
      <c r="A81" s="124"/>
      <c r="B81" s="7"/>
      <c r="C81" s="7"/>
      <c r="D81" s="7"/>
      <c r="E81" s="7"/>
      <c r="F81" s="7"/>
      <c r="G81" s="7"/>
      <c r="H81" s="7"/>
      <c r="I81" s="125"/>
      <c r="J81" s="123"/>
    </row>
    <row r="82" spans="1:13" s="29" customFormat="1">
      <c r="A82" s="124"/>
      <c r="B82" s="7"/>
      <c r="C82" s="7"/>
      <c r="D82" s="7"/>
      <c r="E82" s="7"/>
      <c r="F82" s="7"/>
      <c r="G82" s="7"/>
      <c r="H82" s="7"/>
      <c r="I82" s="125"/>
      <c r="J82" s="123"/>
    </row>
    <row r="83" spans="1:13" s="29" customFormat="1">
      <c r="A83" s="124"/>
      <c r="B83" s="7"/>
      <c r="C83" s="7"/>
      <c r="D83" s="7"/>
      <c r="E83" s="7"/>
      <c r="F83" s="7"/>
      <c r="G83" s="7"/>
      <c r="H83" s="7"/>
      <c r="I83" s="125"/>
      <c r="J83" s="123"/>
    </row>
    <row r="84" spans="1:13" s="29" customFormat="1">
      <c r="A84" s="124"/>
      <c r="B84" s="7"/>
      <c r="C84" s="7"/>
      <c r="D84" s="7"/>
      <c r="E84" s="7"/>
      <c r="F84" s="7"/>
      <c r="G84" s="7"/>
      <c r="H84" s="7"/>
      <c r="I84" s="125"/>
      <c r="J84" s="123"/>
    </row>
    <row r="85" spans="1:13" s="29" customFormat="1">
      <c r="A85" s="124"/>
      <c r="B85" s="7"/>
      <c r="C85" s="7"/>
      <c r="D85" s="7"/>
      <c r="E85" s="7"/>
      <c r="F85" s="7"/>
      <c r="G85" s="7"/>
      <c r="H85" s="7"/>
      <c r="I85" s="125"/>
      <c r="J85" s="123"/>
    </row>
    <row r="86" spans="1:13" s="29" customFormat="1">
      <c r="A86" s="124"/>
      <c r="B86" s="7"/>
      <c r="C86" s="7"/>
      <c r="D86" s="7"/>
      <c r="E86" s="7"/>
      <c r="F86" s="7"/>
      <c r="G86" s="7"/>
      <c r="H86" s="7"/>
      <c r="I86" s="125"/>
      <c r="J86" s="123"/>
    </row>
    <row r="87" spans="1:13" s="29" customFormat="1">
      <c r="A87" s="124"/>
      <c r="B87" s="7"/>
      <c r="C87" s="7"/>
      <c r="D87" s="7"/>
      <c r="E87" s="7"/>
      <c r="F87" s="7"/>
      <c r="G87" s="7"/>
      <c r="H87" s="7"/>
      <c r="I87" s="125"/>
      <c r="J87" s="123"/>
    </row>
    <row r="88" spans="1:13" s="29" customFormat="1">
      <c r="A88" s="124"/>
      <c r="B88" s="7"/>
      <c r="C88" s="7"/>
      <c r="D88" s="7"/>
      <c r="E88" s="7"/>
      <c r="F88" s="7"/>
      <c r="G88" s="7"/>
      <c r="H88" s="7"/>
      <c r="I88" s="125"/>
      <c r="J88" s="123"/>
    </row>
    <row r="89" spans="1:13" s="29" customFormat="1">
      <c r="A89" s="124"/>
      <c r="B89" s="7"/>
      <c r="C89" s="7"/>
      <c r="D89" s="7"/>
      <c r="E89" s="7"/>
      <c r="F89" s="7"/>
      <c r="G89" s="7"/>
      <c r="H89" s="7"/>
      <c r="I89" s="125"/>
      <c r="J89" s="123"/>
    </row>
    <row r="90" spans="1:13" s="29" customFormat="1">
      <c r="A90" s="124"/>
      <c r="B90" s="7"/>
      <c r="C90" s="7"/>
      <c r="D90" s="7"/>
      <c r="E90" s="7"/>
      <c r="F90" s="7"/>
      <c r="G90" s="7"/>
      <c r="H90" s="7"/>
      <c r="I90" s="125"/>
      <c r="J90" s="123"/>
    </row>
    <row r="91" spans="1:13">
      <c r="A91" s="124"/>
      <c r="B91" s="7"/>
      <c r="C91" s="7"/>
      <c r="D91" s="7"/>
      <c r="E91" s="7"/>
      <c r="F91" s="7"/>
      <c r="G91" s="7"/>
      <c r="H91" s="7"/>
      <c r="I91" s="125"/>
      <c r="J91" s="123"/>
    </row>
    <row r="92" spans="1:13">
      <c r="A92" s="63"/>
      <c r="B92" s="7"/>
      <c r="C92" s="7"/>
      <c r="D92" s="7"/>
      <c r="E92" s="7"/>
      <c r="F92" s="7"/>
      <c r="G92" s="7"/>
      <c r="H92" s="7"/>
      <c r="I92" s="125"/>
      <c r="J92" s="69"/>
    </row>
    <row r="93" spans="1:13">
      <c r="A93" s="124"/>
      <c r="B93" s="7"/>
      <c r="C93" s="7"/>
      <c r="D93" s="7"/>
      <c r="E93" s="7"/>
      <c r="F93" s="7"/>
      <c r="G93" s="7"/>
      <c r="H93" s="7"/>
      <c r="I93" s="125"/>
      <c r="J93" s="123"/>
    </row>
    <row r="94" spans="1:13">
      <c r="A94" s="28" t="s">
        <v>122</v>
      </c>
    </row>
    <row r="95" spans="1:13">
      <c r="A95" s="28" t="s">
        <v>123</v>
      </c>
    </row>
    <row r="96" spans="1:13" s="29" customFormat="1">
      <c r="A96" s="28" t="s">
        <v>124</v>
      </c>
      <c r="I96" s="30"/>
      <c r="J96" s="31"/>
      <c r="K96" s="1"/>
      <c r="L96" s="1"/>
      <c r="M96" s="1"/>
    </row>
    <row r="97" spans="1:13" s="29" customFormat="1">
      <c r="A97" s="28" t="s">
        <v>125</v>
      </c>
      <c r="I97" s="30"/>
      <c r="J97" s="31"/>
      <c r="K97" s="1"/>
      <c r="L97" s="1"/>
      <c r="M97" s="1"/>
    </row>
    <row r="98" spans="1:13" s="29" customFormat="1">
      <c r="A98" s="28" t="s">
        <v>126</v>
      </c>
      <c r="I98" s="30"/>
      <c r="J98" s="31"/>
      <c r="K98" s="1"/>
      <c r="L98" s="1"/>
      <c r="M98" s="1"/>
    </row>
  </sheetData>
  <phoneticPr fontId="24" type="noConversion"/>
  <pageMargins left="0.25" right="0.25" top="0.75" bottom="0.75" header="0.3" footer="0.3"/>
  <pageSetup paperSize="9" scale="5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
  <sheetViews>
    <sheetView zoomScale="130" zoomScaleNormal="130" workbookViewId="0">
      <pane ySplit="1" topLeftCell="A8" activePane="bottomLeft" state="frozen"/>
      <selection pane="bottomLeft" activeCell="A20" sqref="A20"/>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 t="shared" ref="C2:C18" si="0">D2+B2-1</f>
        <v>0</v>
      </c>
      <c r="D2" s="7">
        <v>0</v>
      </c>
      <c r="E2" s="7">
        <f t="shared" ref="E2:E18" si="1">ROUNDDOWN(C2/32,0)</f>
        <v>0</v>
      </c>
      <c r="F2" s="7">
        <f t="shared" ref="F2:F18" si="2">C2-E2*32</f>
        <v>0</v>
      </c>
      <c r="G2" s="7">
        <f t="shared" ref="G2:G7" si="3">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49.5">
      <c r="A3" s="6" t="s">
        <v>31</v>
      </c>
      <c r="B3" s="7">
        <v>1</v>
      </c>
      <c r="C3" s="7">
        <f t="shared" ca="1" si="0"/>
        <v>1</v>
      </c>
      <c r="D3" s="7">
        <f t="shared" ref="D3:D24" ca="1" si="4">INDIRECT(ADDRESS(ROW()-1,COLUMN()-1))+1</f>
        <v>1</v>
      </c>
      <c r="E3" s="7">
        <f t="shared" ca="1" si="1"/>
        <v>0</v>
      </c>
      <c r="F3" s="7">
        <f t="shared" ca="1" si="2"/>
        <v>1</v>
      </c>
      <c r="G3" s="7">
        <f t="shared" ca="1" si="3"/>
        <v>1</v>
      </c>
      <c r="H3" s="7" t="s">
        <v>251</v>
      </c>
      <c r="I3" s="22" t="str">
        <f ca="1">CONCATENATE(INDIRECT("template!I3"))</f>
        <v>Stride enable
0：No stride for all blob definition
1：Enable stride for all blob definition</v>
      </c>
      <c r="J3" s="101">
        <v>1</v>
      </c>
      <c r="L3" s="98" t="s">
        <v>226</v>
      </c>
    </row>
    <row r="4" spans="1:12" ht="49.5">
      <c r="A4" s="6" t="s">
        <v>127</v>
      </c>
      <c r="B4" s="7">
        <v>1</v>
      </c>
      <c r="C4" s="7">
        <f t="shared" ca="1" si="0"/>
        <v>2</v>
      </c>
      <c r="D4" s="7">
        <f t="shared" ca="1" si="4"/>
        <v>2</v>
      </c>
      <c r="E4" s="7">
        <f t="shared" ca="1" si="1"/>
        <v>0</v>
      </c>
      <c r="F4" s="7">
        <v>2</v>
      </c>
      <c r="G4" s="7">
        <f t="shared" ca="1" si="3"/>
        <v>2</v>
      </c>
      <c r="H4" s="7" t="s">
        <v>10</v>
      </c>
      <c r="I4" s="22" t="str">
        <f ca="1">CONCATENATE(INDIRECT("template!I4"))</f>
        <v>NCHW copy bit (need tie1)
0: use separate src and dst NCHW value setting
1: reuse src NCHW value for dst NCHW value</v>
      </c>
      <c r="J4" s="101">
        <v>0</v>
      </c>
      <c r="L4" s="104" t="s">
        <v>329</v>
      </c>
    </row>
    <row r="5" spans="1:12" ht="16.5">
      <c r="A5" s="6" t="s">
        <v>1012</v>
      </c>
      <c r="B5" s="7">
        <v>1</v>
      </c>
      <c r="C5" s="7">
        <f t="shared" ca="1" si="0"/>
        <v>3</v>
      </c>
      <c r="D5" s="7">
        <f ca="1">INDIRECT(ADDRESS(ROW()-1,COLUMN()-1))+1</f>
        <v>3</v>
      </c>
      <c r="E5" s="7">
        <f t="shared" ca="1" si="1"/>
        <v>0</v>
      </c>
      <c r="F5" s="7">
        <f t="shared" ca="1" si="2"/>
        <v>3</v>
      </c>
      <c r="G5" s="7">
        <f t="shared" ca="1" si="3"/>
        <v>3</v>
      </c>
      <c r="H5" s="7" t="s">
        <v>251</v>
      </c>
      <c r="I5" s="22" t="s">
        <v>1013</v>
      </c>
      <c r="J5" s="100" t="s">
        <v>228</v>
      </c>
    </row>
    <row r="6" spans="1:12" customFormat="1" ht="231">
      <c r="A6" s="6" t="s">
        <v>128</v>
      </c>
      <c r="B6" s="7">
        <v>4</v>
      </c>
      <c r="C6" s="7">
        <f t="shared" ca="1" si="0"/>
        <v>7</v>
      </c>
      <c r="D6" s="7">
        <f t="shared" ca="1" si="4"/>
        <v>4</v>
      </c>
      <c r="E6" s="7">
        <f t="shared" ca="1" si="1"/>
        <v>0</v>
      </c>
      <c r="F6" s="7">
        <f t="shared" ca="1" si="2"/>
        <v>7</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33">
      <c r="A7" s="27" t="s">
        <v>129</v>
      </c>
      <c r="B7" s="7">
        <v>3</v>
      </c>
      <c r="C7" s="7">
        <f t="shared" ca="1" si="0"/>
        <v>10</v>
      </c>
      <c r="D7" s="7">
        <f t="shared" ca="1" si="4"/>
        <v>8</v>
      </c>
      <c r="E7" s="7">
        <f t="shared" ca="1" si="1"/>
        <v>0</v>
      </c>
      <c r="F7" s="7">
        <f t="shared" ca="1" si="2"/>
        <v>10</v>
      </c>
      <c r="G7" s="7">
        <f t="shared" ca="1" si="3"/>
        <v>8</v>
      </c>
      <c r="H7" s="7" t="s">
        <v>10</v>
      </c>
      <c r="I7" s="22" t="str">
        <f ca="1">CONCATENATE(INDIRECT("template!I7"))</f>
        <v>this field is connected with cmd_type. when cmd_type == DMA_tensor
0000: No special function</v>
      </c>
      <c r="J7" s="100" t="s">
        <v>228</v>
      </c>
    </row>
    <row r="8" spans="1:12" ht="16.5">
      <c r="A8" s="222" t="s">
        <v>206</v>
      </c>
      <c r="B8" s="7">
        <v>1</v>
      </c>
      <c r="C8" s="7">
        <f ca="1">D8+B8-1</f>
        <v>11</v>
      </c>
      <c r="D8" s="7">
        <f ca="1">INDIRECT(ADDRESS(ROW()-1,COLUMN()-1))+1</f>
        <v>11</v>
      </c>
      <c r="E8" s="7">
        <f ca="1">ROUNDDOWN(C8/32,0)</f>
        <v>0</v>
      </c>
      <c r="F8" s="7">
        <f ca="1">C8-E8*32</f>
        <v>11</v>
      </c>
      <c r="G8" s="7">
        <f ca="1">D8-E8*32</f>
        <v>11</v>
      </c>
      <c r="H8" s="7" t="s">
        <v>15</v>
      </c>
      <c r="I8" s="22" t="s">
        <v>206</v>
      </c>
      <c r="J8" s="100" t="s">
        <v>228</v>
      </c>
    </row>
    <row r="9" spans="1:12" s="204" customFormat="1" ht="148.5">
      <c r="A9" s="6" t="s">
        <v>55</v>
      </c>
      <c r="B9" s="217">
        <v>4</v>
      </c>
      <c r="C9" s="217">
        <f t="shared" ca="1" si="0"/>
        <v>15</v>
      </c>
      <c r="D9" s="217">
        <f ca="1">INDIRECT(ADDRESS(ROW()-1,COLUMN()-1))+1</f>
        <v>12</v>
      </c>
      <c r="E9" s="217">
        <f t="shared" ca="1" si="1"/>
        <v>0</v>
      </c>
      <c r="F9" s="217">
        <f t="shared" ca="1" si="2"/>
        <v>15</v>
      </c>
      <c r="G9" s="217">
        <f t="shared" ref="G9:G14" ca="1" si="5">D9-E9*32</f>
        <v>12</v>
      </c>
      <c r="H9" s="217" t="s">
        <v>10</v>
      </c>
      <c r="I9" s="218" t="str">
        <f ca="1">CONCATENATE(INDIRECT("template!I9"))</f>
        <v>Source Data Format
0:INT8
1:FP16
2:FP32
3:INT16
4:INT32
5:BFP16
6:FP20
others：not support</v>
      </c>
      <c r="J9" s="227" t="s">
        <v>228</v>
      </c>
    </row>
    <row r="10" spans="1:12" ht="30">
      <c r="A10" s="6" t="s">
        <v>563</v>
      </c>
      <c r="B10" s="7">
        <v>13</v>
      </c>
      <c r="C10" s="7">
        <f t="shared" ca="1" si="0"/>
        <v>28</v>
      </c>
      <c r="D10" s="7">
        <f ca="1">INDIRECT(ADDRESS(ROW()-1,COLUMN()-1))+1</f>
        <v>16</v>
      </c>
      <c r="E10" s="7">
        <f t="shared" ca="1" si="1"/>
        <v>0</v>
      </c>
      <c r="F10" s="7">
        <f t="shared" ca="1" si="2"/>
        <v>28</v>
      </c>
      <c r="G10" s="7">
        <f ca="1">D10-E10*32</f>
        <v>16</v>
      </c>
      <c r="H10" s="7" t="s">
        <v>10</v>
      </c>
      <c r="I10" s="22" t="str">
        <f ca="1">CONCATENATE(INDIRECT("template!I11"))</f>
        <v>reserved</v>
      </c>
      <c r="J10" s="102" t="s">
        <v>229</v>
      </c>
    </row>
    <row r="11" spans="1:12" s="204" customFormat="1" ht="49.5">
      <c r="A11" s="6" t="s">
        <v>551</v>
      </c>
      <c r="B11" s="217">
        <v>3</v>
      </c>
      <c r="C11" s="217">
        <f ca="1">D11+B11-1</f>
        <v>31</v>
      </c>
      <c r="D11" s="217">
        <f ca="1">INDIRECT(ADDRESS(ROW()-1,COLUMN()-1))+1</f>
        <v>29</v>
      </c>
      <c r="E11" s="217">
        <f t="shared" ca="1" si="1"/>
        <v>0</v>
      </c>
      <c r="F11" s="217">
        <f t="shared" ca="1" si="2"/>
        <v>31</v>
      </c>
      <c r="G11" s="217">
        <f ca="1">D11-E11*32</f>
        <v>29</v>
      </c>
      <c r="H11" s="217" t="s">
        <v>251</v>
      </c>
      <c r="I11" s="218" t="s">
        <v>555</v>
      </c>
      <c r="J11" s="227" t="s">
        <v>228</v>
      </c>
    </row>
    <row r="12" spans="1:12" ht="30">
      <c r="A12" s="6" t="s">
        <v>549</v>
      </c>
      <c r="B12" s="7">
        <v>32</v>
      </c>
      <c r="C12" s="7">
        <f t="shared" ca="1" si="0"/>
        <v>63</v>
      </c>
      <c r="D12" s="7">
        <f t="shared" ca="1" si="4"/>
        <v>32</v>
      </c>
      <c r="E12" s="7">
        <f t="shared" ca="1" si="1"/>
        <v>1</v>
      </c>
      <c r="F12" s="7">
        <f t="shared" ca="1" si="2"/>
        <v>31</v>
      </c>
      <c r="G12" s="7">
        <f t="shared" ca="1" si="5"/>
        <v>0</v>
      </c>
      <c r="H12" s="7" t="s">
        <v>10</v>
      </c>
      <c r="I12" s="22" t="str">
        <f ca="1">CONCATENATE(INDIRECT("template!I16"))</f>
        <v>unsigned number; Source blob H stride</v>
      </c>
      <c r="J12" s="102" t="s">
        <v>422</v>
      </c>
    </row>
    <row r="13" spans="1:12" ht="45">
      <c r="A13" s="6" t="s">
        <v>208</v>
      </c>
      <c r="B13" s="7">
        <v>32</v>
      </c>
      <c r="C13" s="7">
        <f t="shared" ca="1" si="0"/>
        <v>95</v>
      </c>
      <c r="D13" s="7">
        <f t="shared" ca="1" si="4"/>
        <v>64</v>
      </c>
      <c r="E13" s="7">
        <f t="shared" ca="1" si="1"/>
        <v>2</v>
      </c>
      <c r="F13" s="7">
        <f t="shared" ca="1" si="2"/>
        <v>31</v>
      </c>
      <c r="G13" s="7">
        <f t="shared" ca="1" si="5"/>
        <v>0</v>
      </c>
      <c r="H13" s="7" t="s">
        <v>10</v>
      </c>
      <c r="I13" s="22" t="str">
        <f ca="1">CONCATENATE(INDIRECT("template!I17"))</f>
        <v>unsigned number; desitination blob N stride</v>
      </c>
      <c r="J13" s="102" t="s">
        <v>421</v>
      </c>
    </row>
    <row r="14" spans="1:12" ht="45">
      <c r="A14" s="6" t="s">
        <v>73</v>
      </c>
      <c r="B14" s="7">
        <v>32</v>
      </c>
      <c r="C14" s="7">
        <f t="shared" ca="1" si="0"/>
        <v>127</v>
      </c>
      <c r="D14" s="7">
        <f t="shared" ca="1" si="4"/>
        <v>96</v>
      </c>
      <c r="E14" s="7">
        <f t="shared" ca="1" si="1"/>
        <v>3</v>
      </c>
      <c r="F14" s="7">
        <f t="shared" ca="1" si="2"/>
        <v>31</v>
      </c>
      <c r="G14" s="7">
        <f t="shared" ca="1" si="5"/>
        <v>0</v>
      </c>
      <c r="H14" s="7" t="s">
        <v>10</v>
      </c>
      <c r="I14" s="22" t="str">
        <f ca="1">CONCATENATE(INDIRECT("template!I18"))</f>
        <v>unsigned number.desitination blob C stride</v>
      </c>
      <c r="J14" s="102" t="s">
        <v>421</v>
      </c>
    </row>
    <row r="15" spans="1:12" ht="30">
      <c r="A15" s="6" t="s">
        <v>84</v>
      </c>
      <c r="B15" s="7">
        <v>16</v>
      </c>
      <c r="C15" s="7">
        <f t="shared" ca="1" si="0"/>
        <v>143</v>
      </c>
      <c r="D15" s="7">
        <f t="shared" ca="1" si="4"/>
        <v>128</v>
      </c>
      <c r="E15" s="7">
        <f t="shared" ca="1" si="1"/>
        <v>4</v>
      </c>
      <c r="F15" s="7">
        <f t="shared" ca="1" si="2"/>
        <v>15</v>
      </c>
      <c r="G15" s="7">
        <f ca="1">D15-E15*32</f>
        <v>0</v>
      </c>
      <c r="H15" s="7" t="s">
        <v>10</v>
      </c>
      <c r="I15" s="22" t="str">
        <f ca="1">INDIRECT("template!I20")</f>
        <v>Source Blob Number</v>
      </c>
      <c r="J15" s="102" t="s">
        <v>229</v>
      </c>
    </row>
    <row r="16" spans="1:12" ht="30">
      <c r="A16" s="6" t="s">
        <v>87</v>
      </c>
      <c r="B16" s="7">
        <v>16</v>
      </c>
      <c r="C16" s="7">
        <f t="shared" ca="1" si="0"/>
        <v>159</v>
      </c>
      <c r="D16" s="7">
        <f t="shared" ca="1" si="4"/>
        <v>144</v>
      </c>
      <c r="E16" s="7">
        <f t="shared" ca="1" si="1"/>
        <v>4</v>
      </c>
      <c r="F16" s="7">
        <f t="shared" ca="1" si="2"/>
        <v>31</v>
      </c>
      <c r="G16" s="7">
        <f ca="1">D16-E16*32</f>
        <v>16</v>
      </c>
      <c r="H16" s="7" t="s">
        <v>10</v>
      </c>
      <c r="I16" s="22" t="str">
        <f ca="1">INDIRECT("template!I21")</f>
        <v>Source blob C</v>
      </c>
      <c r="J16" s="102" t="s">
        <v>229</v>
      </c>
    </row>
    <row r="17" spans="1:10" ht="30">
      <c r="A17" s="6" t="s">
        <v>89</v>
      </c>
      <c r="B17" s="7">
        <v>32</v>
      </c>
      <c r="C17" s="7">
        <f t="shared" ca="1" si="0"/>
        <v>191</v>
      </c>
      <c r="D17" s="7">
        <f t="shared" ca="1" si="4"/>
        <v>160</v>
      </c>
      <c r="E17" s="7">
        <f t="shared" ca="1" si="1"/>
        <v>5</v>
      </c>
      <c r="F17" s="7">
        <f t="shared" ca="1" si="2"/>
        <v>31</v>
      </c>
      <c r="G17" s="7">
        <f ca="1">D17-E17*32</f>
        <v>0</v>
      </c>
      <c r="H17" s="7" t="s">
        <v>10</v>
      </c>
      <c r="I17" s="22" t="str">
        <f ca="1">INDIRECT("template!I22")</f>
        <v xml:space="preserve">Source blob H </v>
      </c>
      <c r="J17" s="102" t="s">
        <v>229</v>
      </c>
    </row>
    <row r="18" spans="1:10" ht="30">
      <c r="A18" s="6" t="s">
        <v>91</v>
      </c>
      <c r="B18" s="7">
        <v>32</v>
      </c>
      <c r="C18" s="7">
        <f t="shared" ca="1" si="0"/>
        <v>223</v>
      </c>
      <c r="D18" s="7">
        <f t="shared" ca="1" si="4"/>
        <v>192</v>
      </c>
      <c r="E18" s="7">
        <f t="shared" ca="1" si="1"/>
        <v>6</v>
      </c>
      <c r="F18" s="7">
        <f t="shared" ca="1" si="2"/>
        <v>31</v>
      </c>
      <c r="G18" s="7">
        <f ca="1">D18-E18*32</f>
        <v>0</v>
      </c>
      <c r="H18" s="7" t="s">
        <v>10</v>
      </c>
      <c r="I18" s="22" t="str">
        <f ca="1">INDIRECT("template!I23")</f>
        <v xml:space="preserve">Source blob W </v>
      </c>
      <c r="J18" s="102" t="s">
        <v>229</v>
      </c>
    </row>
    <row r="19" spans="1:10" ht="30">
      <c r="A19" s="6" t="s">
        <v>247</v>
      </c>
      <c r="B19" s="7">
        <v>32</v>
      </c>
      <c r="C19" s="7">
        <f t="shared" ref="C19:C20" ca="1" si="6">D19+B19-1</f>
        <v>255</v>
      </c>
      <c r="D19" s="7">
        <f t="shared" ca="1" si="4"/>
        <v>224</v>
      </c>
      <c r="E19" s="7">
        <f t="shared" ref="E19:E20" ca="1" si="7">ROUNDDOWN(C19/32,0)</f>
        <v>7</v>
      </c>
      <c r="F19" s="7">
        <f t="shared" ref="F19:F20" ca="1" si="8">C19-E19*32</f>
        <v>31</v>
      </c>
      <c r="G19" s="7">
        <f ca="1">D19-E19*32</f>
        <v>0</v>
      </c>
      <c r="H19" s="7" t="s">
        <v>10</v>
      </c>
      <c r="I19" s="22" t="str">
        <f ca="1">INDIRECT("template!I29")</f>
        <v>destination blob start address[31:0]</v>
      </c>
      <c r="J19" s="102" t="s">
        <v>229</v>
      </c>
    </row>
    <row r="20" spans="1:10" s="226" customFormat="1" ht="16.5">
      <c r="A20" s="221" t="s">
        <v>2387</v>
      </c>
      <c r="B20" s="217">
        <v>10</v>
      </c>
      <c r="C20" s="217">
        <f t="shared" ca="1" si="6"/>
        <v>265</v>
      </c>
      <c r="D20" s="217">
        <f t="shared" ca="1" si="4"/>
        <v>256</v>
      </c>
      <c r="E20" s="217">
        <f t="shared" ca="1" si="7"/>
        <v>8</v>
      </c>
      <c r="F20" s="217">
        <f t="shared" ca="1" si="8"/>
        <v>9</v>
      </c>
      <c r="G20" s="217">
        <f t="shared" ref="G20" ca="1" si="9">D20-E20*32</f>
        <v>0</v>
      </c>
      <c r="H20" s="217" t="s">
        <v>10</v>
      </c>
      <c r="I20" s="230" t="s">
        <v>2443</v>
      </c>
      <c r="J20" s="225"/>
    </row>
    <row r="21" spans="1:10" ht="16.5">
      <c r="A21" s="221" t="s">
        <v>206</v>
      </c>
      <c r="B21" s="7">
        <v>22</v>
      </c>
      <c r="C21" s="7">
        <f ca="1">D21+B21-1</f>
        <v>287</v>
      </c>
      <c r="D21" s="7">
        <f t="shared" ca="1" si="4"/>
        <v>266</v>
      </c>
      <c r="E21" s="7">
        <f ca="1">ROUNDDOWN(C21/32,0)</f>
        <v>8</v>
      </c>
      <c r="F21" s="7">
        <f ca="1">C21-E21*32</f>
        <v>31</v>
      </c>
      <c r="G21" s="7">
        <f ca="1">D21-E21*32</f>
        <v>10</v>
      </c>
      <c r="H21" s="7" t="s">
        <v>15</v>
      </c>
      <c r="I21" s="22" t="s">
        <v>206</v>
      </c>
      <c r="J21" s="101">
        <v>0</v>
      </c>
    </row>
    <row r="22" spans="1:10" ht="16.5">
      <c r="A22" s="221" t="s">
        <v>206</v>
      </c>
      <c r="B22" s="7">
        <v>32</v>
      </c>
      <c r="C22" s="7">
        <f ca="1">D22+B22-1</f>
        <v>319</v>
      </c>
      <c r="D22" s="7">
        <f t="shared" ca="1" si="4"/>
        <v>288</v>
      </c>
      <c r="E22" s="7">
        <f ca="1">ROUNDDOWN(C22/32,0)</f>
        <v>9</v>
      </c>
      <c r="F22" s="7">
        <f ca="1">C22-E22*32</f>
        <v>31</v>
      </c>
      <c r="G22" s="7">
        <f ca="1">D22-E22*32</f>
        <v>0</v>
      </c>
      <c r="H22" s="7" t="s">
        <v>15</v>
      </c>
      <c r="I22" s="22" t="s">
        <v>206</v>
      </c>
      <c r="J22" s="101">
        <v>0</v>
      </c>
    </row>
    <row r="23" spans="1:10" ht="16.5">
      <c r="A23" s="221" t="s">
        <v>206</v>
      </c>
      <c r="B23" s="7">
        <v>32</v>
      </c>
      <c r="C23" s="7">
        <f ca="1">D23+B23-1</f>
        <v>351</v>
      </c>
      <c r="D23" s="7">
        <f t="shared" ca="1" si="4"/>
        <v>320</v>
      </c>
      <c r="E23" s="7">
        <f ca="1">ROUNDDOWN(C23/32,0)</f>
        <v>10</v>
      </c>
      <c r="F23" s="7">
        <f ca="1">C23-E23*32</f>
        <v>31</v>
      </c>
      <c r="G23" s="7">
        <f ca="1">D23-E23*32</f>
        <v>0</v>
      </c>
      <c r="H23" s="7" t="s">
        <v>15</v>
      </c>
      <c r="I23" s="22" t="s">
        <v>206</v>
      </c>
      <c r="J23" s="101">
        <v>0</v>
      </c>
    </row>
    <row r="24" spans="1:10" ht="16.5">
      <c r="A24" s="221" t="s">
        <v>206</v>
      </c>
      <c r="B24" s="7">
        <v>32</v>
      </c>
      <c r="C24" s="7">
        <f ca="1">D24+B24-1</f>
        <v>383</v>
      </c>
      <c r="D24" s="7">
        <f t="shared" ca="1" si="4"/>
        <v>352</v>
      </c>
      <c r="E24" s="7">
        <f ca="1">ROUNDDOWN(C24/32,0)</f>
        <v>11</v>
      </c>
      <c r="F24" s="7">
        <f ca="1">C24-E24*32</f>
        <v>31</v>
      </c>
      <c r="G24" s="7">
        <f ca="1">D24-E24*32</f>
        <v>0</v>
      </c>
      <c r="H24" s="7" t="s">
        <v>15</v>
      </c>
      <c r="I24" s="22" t="s">
        <v>206</v>
      </c>
      <c r="J24" s="101">
        <v>0</v>
      </c>
    </row>
    <row r="25" spans="1:10">
      <c r="A25" s="28" t="s">
        <v>144</v>
      </c>
    </row>
    <row r="26" spans="1:10">
      <c r="A26" s="28" t="s">
        <v>123</v>
      </c>
    </row>
    <row r="27" spans="1:10">
      <c r="A27" s="28" t="s">
        <v>124</v>
      </c>
    </row>
    <row r="28" spans="1:10">
      <c r="A28" s="28" t="s">
        <v>125</v>
      </c>
    </row>
    <row r="29" spans="1:10">
      <c r="A29" s="28" t="s">
        <v>126</v>
      </c>
    </row>
  </sheetData>
  <phoneticPr fontId="24" type="noConversion"/>
  <pageMargins left="0.25" right="0.25" top="0.75" bottom="0.75" header="0.3" footer="0.3"/>
  <pageSetup paperSize="9" scale="38"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9"/>
  <sheetViews>
    <sheetView zoomScale="136" workbookViewId="0">
      <pane ySplit="1" topLeftCell="A2" activePane="bottomLeft" state="frozen"/>
      <selection pane="bottomLeft" activeCell="B15" sqref="B15:B1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21.5" style="31" customWidth="1"/>
    <col min="10" max="10" width="46.5" style="1" customWidth="1"/>
    <col min="11" max="16384" width="15.5" style="1"/>
  </cols>
  <sheetData>
    <row r="1" spans="1:10" ht="16.5">
      <c r="A1" s="3" t="s">
        <v>3</v>
      </c>
      <c r="B1" s="4" t="s">
        <v>4</v>
      </c>
      <c r="C1" s="4" t="s">
        <v>5</v>
      </c>
      <c r="D1" s="4" t="s">
        <v>6</v>
      </c>
      <c r="E1" s="4" t="s">
        <v>7</v>
      </c>
      <c r="F1" s="4" t="s">
        <v>8</v>
      </c>
      <c r="G1" s="4" t="s">
        <v>9</v>
      </c>
      <c r="H1" s="5" t="s">
        <v>10</v>
      </c>
      <c r="I1" s="19" t="s">
        <v>12</v>
      </c>
      <c r="J1" s="99" t="s">
        <v>227</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228</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0" t="s">
        <v>228</v>
      </c>
    </row>
    <row r="4" spans="1:10" ht="49.5">
      <c r="A4" s="6" t="s">
        <v>127</v>
      </c>
      <c r="B4" s="7">
        <v>1</v>
      </c>
      <c r="C4" s="7">
        <f t="shared" ca="1" si="0"/>
        <v>2</v>
      </c>
      <c r="D4" s="7">
        <f t="shared" ca="1" si="4"/>
        <v>2</v>
      </c>
      <c r="E4" s="7">
        <f t="shared" ca="1" si="1"/>
        <v>0</v>
      </c>
      <c r="F4" s="7">
        <f t="shared" ca="1" si="2"/>
        <v>2</v>
      </c>
      <c r="G4" s="7">
        <f t="shared" ca="1" si="3"/>
        <v>2</v>
      </c>
      <c r="H4" s="7" t="s">
        <v>10</v>
      </c>
      <c r="I4" s="22" t="str">
        <f ca="1">CONCATENATE(INDIRECT("template!I4"))</f>
        <v>NCHW copy bit (need tie1)
0: use separate src and dst NCHW value setting
1: reuse src NCHW value for dst NCHW value</v>
      </c>
      <c r="J4" s="101">
        <v>0</v>
      </c>
    </row>
    <row r="5" spans="1:10" ht="16.5">
      <c r="A5" s="6" t="s">
        <v>241</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228</v>
      </c>
    </row>
    <row r="6" spans="1:10" ht="30.95" customHeight="1">
      <c r="A6" s="6" t="s">
        <v>206</v>
      </c>
      <c r="B6" s="7">
        <v>1</v>
      </c>
      <c r="C6" s="7">
        <f t="shared" ca="1" si="0"/>
        <v>4</v>
      </c>
      <c r="D6" s="7">
        <f t="shared" ca="1" si="4"/>
        <v>4</v>
      </c>
      <c r="E6" s="7">
        <f t="shared" ca="1" si="1"/>
        <v>0</v>
      </c>
      <c r="F6" s="7">
        <f t="shared" ca="1" si="2"/>
        <v>4</v>
      </c>
      <c r="G6" s="7">
        <f t="shared" ca="1" si="3"/>
        <v>4</v>
      </c>
      <c r="H6" s="7" t="s">
        <v>246</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1">
        <v>0</v>
      </c>
    </row>
    <row r="7" spans="1:10" ht="53.1" customHeight="1">
      <c r="A7" s="6" t="s">
        <v>206</v>
      </c>
      <c r="B7" s="7">
        <v>4</v>
      </c>
      <c r="C7" s="7">
        <f ca="1">D7+B7-1</f>
        <v>8</v>
      </c>
      <c r="D7" s="7">
        <f t="shared" ca="1" si="4"/>
        <v>5</v>
      </c>
      <c r="E7" s="7">
        <f ca="1">ROUNDDOWN(C7/32,0)</f>
        <v>0</v>
      </c>
      <c r="F7" s="7">
        <f ca="1">C7-E7*32</f>
        <v>8</v>
      </c>
      <c r="G7" s="7">
        <f t="shared" ca="1" si="3"/>
        <v>5</v>
      </c>
      <c r="H7" s="7" t="s">
        <v>246</v>
      </c>
      <c r="I7" s="22" t="str">
        <f ca="1">CONCATENATE(INDIRECT("template!I7"))</f>
        <v>this field is connected with cmd_type. when cmd_type == DMA_tensor
0000: No special function</v>
      </c>
      <c r="J7" s="101">
        <v>0</v>
      </c>
    </row>
    <row r="8" spans="1:10" ht="27.95" customHeight="1">
      <c r="A8" s="6" t="s">
        <v>206</v>
      </c>
      <c r="B8" s="7">
        <v>20</v>
      </c>
      <c r="C8" s="7">
        <f ca="1">D8+B8-1</f>
        <v>28</v>
      </c>
      <c r="D8" s="7">
        <f t="shared" ca="1" si="4"/>
        <v>9</v>
      </c>
      <c r="E8" s="7">
        <f ca="1">ROUNDDOWN(C8/32,0)</f>
        <v>0</v>
      </c>
      <c r="F8" s="7">
        <f ca="1">C8-E8*32</f>
        <v>28</v>
      </c>
      <c r="G8" s="7">
        <f ca="1">D8-E8*32</f>
        <v>9</v>
      </c>
      <c r="H8" s="7" t="s">
        <v>246</v>
      </c>
      <c r="I8" s="22" t="str">
        <f ca="1">CONCATENATE(INDIRECT("template!I8"))</f>
        <v>0: no fill constant
1: fill constant enable</v>
      </c>
      <c r="J8" s="101">
        <v>0</v>
      </c>
    </row>
    <row r="9" spans="1:10"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customFormat="1" ht="49.5">
      <c r="A10" s="6" t="s">
        <v>128</v>
      </c>
      <c r="B10" s="7">
        <v>4</v>
      </c>
      <c r="C10" s="7">
        <f t="shared" ref="C10:C29" ca="1" si="5">D10+B10-1</f>
        <v>35</v>
      </c>
      <c r="D10" s="7">
        <f t="shared" ref="D10:D34" ca="1" si="6">INDIRECT(ADDRESS(ROW()-1,COLUMN()-1))+1</f>
        <v>32</v>
      </c>
      <c r="E10" s="7">
        <f t="shared" ref="E10:E29" ca="1" si="7">ROUNDDOWN(C10/32,0)</f>
        <v>1</v>
      </c>
      <c r="F10" s="7">
        <f t="shared" ref="F10:F29" ca="1" si="8">C10-E10*32</f>
        <v>3</v>
      </c>
      <c r="G10" s="7">
        <f t="shared" ref="G10:G29" ca="1" si="9">D10-E10*32</f>
        <v>0</v>
      </c>
      <c r="H10" s="7" t="s">
        <v>10</v>
      </c>
      <c r="I10" s="22" t="str">
        <f ca="1">CONCATENATE(INDIRECT("template!I10"))</f>
        <v>Source blob start address[44:32]:
addr[44:40] means tag
addr eq addr[39:0] + base_addr_region[addr[44:40]]</v>
      </c>
      <c r="J10" s="100" t="s">
        <v>228</v>
      </c>
    </row>
    <row r="11" spans="1:10" ht="16.5">
      <c r="A11" s="27" t="s">
        <v>129</v>
      </c>
      <c r="B11" s="7">
        <v>3</v>
      </c>
      <c r="C11" s="7">
        <f t="shared" ca="1" si="5"/>
        <v>38</v>
      </c>
      <c r="D11" s="7">
        <f t="shared" ca="1" si="6"/>
        <v>36</v>
      </c>
      <c r="E11" s="7">
        <f t="shared" ca="1" si="7"/>
        <v>1</v>
      </c>
      <c r="F11" s="7">
        <f t="shared" ca="1" si="8"/>
        <v>6</v>
      </c>
      <c r="G11" s="7">
        <f t="shared" ca="1" si="9"/>
        <v>4</v>
      </c>
      <c r="H11" s="7" t="s">
        <v>10</v>
      </c>
      <c r="I11" s="22" t="e">
        <f ca="1">CONCATENATE(INDIRECT("DMA_matrix!I11"))</f>
        <v>#REF!</v>
      </c>
      <c r="J11" s="100" t="s">
        <v>228</v>
      </c>
    </row>
    <row r="12" spans="1:10" ht="16.5">
      <c r="A12" s="27" t="s">
        <v>143</v>
      </c>
      <c r="B12" s="7">
        <v>1</v>
      </c>
      <c r="C12" s="7">
        <f t="shared" ca="1" si="5"/>
        <v>39</v>
      </c>
      <c r="D12" s="7">
        <f t="shared" ca="1" si="6"/>
        <v>39</v>
      </c>
      <c r="E12" s="7">
        <f t="shared" ca="1" si="7"/>
        <v>1</v>
      </c>
      <c r="F12" s="7">
        <f t="shared" ca="1" si="8"/>
        <v>7</v>
      </c>
      <c r="G12" s="7">
        <f t="shared" ca="1" si="9"/>
        <v>7</v>
      </c>
      <c r="H12" s="7" t="s">
        <v>10</v>
      </c>
      <c r="I12" s="22" t="e">
        <f ca="1">CONCATENATE(INDIRECT("DMA_matrix!I12"))</f>
        <v>#REF!</v>
      </c>
      <c r="J12" s="104" t="s">
        <v>230</v>
      </c>
    </row>
    <row r="13" spans="1:10" ht="16.5">
      <c r="A13" s="6" t="s">
        <v>55</v>
      </c>
      <c r="B13" s="7">
        <v>3</v>
      </c>
      <c r="C13" s="7">
        <f ca="1">D13+B13-1</f>
        <v>42</v>
      </c>
      <c r="D13" s="7">
        <f ca="1">INDIRECT(ADDRESS(ROW()-1,COLUMN()-1))+1</f>
        <v>40</v>
      </c>
      <c r="E13" s="7">
        <f ca="1">ROUNDDOWN(C13/32,0)</f>
        <v>1</v>
      </c>
      <c r="F13" s="7">
        <f ca="1">C13-E13*32</f>
        <v>10</v>
      </c>
      <c r="G13" s="7">
        <f ca="1">D13-E13*32</f>
        <v>8</v>
      </c>
      <c r="H13" s="7" t="s">
        <v>10</v>
      </c>
      <c r="I13" s="22" t="str">
        <f ca="1">CONCATENATE(INDIRECT("template!I13"))</f>
        <v>reserved</v>
      </c>
      <c r="J13" s="100" t="s">
        <v>228</v>
      </c>
    </row>
    <row r="14" spans="1:10" ht="16.5">
      <c r="A14" s="6" t="s">
        <v>206</v>
      </c>
      <c r="B14" s="7">
        <v>21</v>
      </c>
      <c r="C14" s="7">
        <f ca="1">D14+B14-1</f>
        <v>63</v>
      </c>
      <c r="D14" s="7">
        <f ca="1">INDIRECT(ADDRESS(ROW()-1,COLUMN()-1))+1</f>
        <v>43</v>
      </c>
      <c r="E14" s="7">
        <f ca="1">ROUNDDOWN(C14/32,0)</f>
        <v>1</v>
      </c>
      <c r="F14" s="7">
        <f ca="1">C14-E14*32</f>
        <v>31</v>
      </c>
      <c r="G14" s="7">
        <f ca="1">D14-E14*32</f>
        <v>11</v>
      </c>
      <c r="H14" s="7" t="s">
        <v>15</v>
      </c>
      <c r="I14" s="22" t="str">
        <f ca="1">CONCATENATE(INDIRECT("template!I14"))</f>
        <v>unsigned number; Source blob N stride;when cmd_special_function==fill constant, this field means constant value</v>
      </c>
      <c r="J14" s="101">
        <v>0</v>
      </c>
    </row>
    <row r="15" spans="1:10" ht="16.5">
      <c r="A15" s="6" t="s">
        <v>310</v>
      </c>
      <c r="B15" s="7">
        <v>24</v>
      </c>
      <c r="C15" s="7">
        <f ca="1">D15+B15-1</f>
        <v>87</v>
      </c>
      <c r="D15" s="7">
        <f ca="1">INDIRECT(ADDRESS(ROW()-1,COLUMN()-1))+1</f>
        <v>64</v>
      </c>
      <c r="E15" s="7">
        <f ca="1">ROUNDDOWN(C15/32,0)</f>
        <v>2</v>
      </c>
      <c r="F15" s="7">
        <f ca="1">C15-E15*32</f>
        <v>23</v>
      </c>
      <c r="G15" s="7">
        <f ca="1">D15-E15*32</f>
        <v>0</v>
      </c>
      <c r="H15" s="7" t="s">
        <v>10</v>
      </c>
      <c r="I15" s="22" t="str">
        <f ca="1">CONCATENATE(INDIRECT("template!I15"))</f>
        <v>unsigned number. Source blob C stride</v>
      </c>
      <c r="J15" s="100" t="s">
        <v>228</v>
      </c>
    </row>
    <row r="16" spans="1:10" ht="16.5">
      <c r="A16" s="6" t="s">
        <v>206</v>
      </c>
      <c r="B16" s="7">
        <v>8</v>
      </c>
      <c r="C16" s="7">
        <f ca="1">D16+B16-1</f>
        <v>95</v>
      </c>
      <c r="D16" s="7">
        <f ca="1">INDIRECT(ADDRESS(ROW()-1,COLUMN()-1))+1</f>
        <v>88</v>
      </c>
      <c r="E16" s="7">
        <f ca="1">ROUNDDOWN(C16/32,0)</f>
        <v>2</v>
      </c>
      <c r="F16" s="7">
        <f ca="1">C16-E16*32</f>
        <v>31</v>
      </c>
      <c r="G16" s="7">
        <f ca="1">D16-E16*32</f>
        <v>24</v>
      </c>
      <c r="H16" s="7" t="s">
        <v>246</v>
      </c>
      <c r="I16" s="22" t="str">
        <f ca="1">CONCATENATE(INDIRECT("template!I16"))</f>
        <v>unsigned number; Source blob H stride</v>
      </c>
      <c r="J16" s="100" t="s">
        <v>228</v>
      </c>
    </row>
    <row r="17" spans="1:10" ht="16.5">
      <c r="A17" s="27" t="s">
        <v>235</v>
      </c>
      <c r="B17" s="7">
        <v>32</v>
      </c>
      <c r="C17" s="7">
        <f t="shared" ca="1" si="5"/>
        <v>127</v>
      </c>
      <c r="D17" s="7">
        <f t="shared" ca="1" si="6"/>
        <v>96</v>
      </c>
      <c r="E17" s="7">
        <f t="shared" ca="1" si="7"/>
        <v>3</v>
      </c>
      <c r="F17" s="7">
        <f t="shared" ca="1" si="8"/>
        <v>31</v>
      </c>
      <c r="G17" s="7">
        <f t="shared" ca="1" si="9"/>
        <v>0</v>
      </c>
      <c r="H17" s="7" t="s">
        <v>10</v>
      </c>
      <c r="I17" s="22" t="s">
        <v>237</v>
      </c>
      <c r="J17" s="100" t="s">
        <v>228</v>
      </c>
    </row>
    <row r="18" spans="1:10" ht="16.5">
      <c r="A18" s="27" t="s">
        <v>236</v>
      </c>
      <c r="B18" s="7">
        <v>32</v>
      </c>
      <c r="C18" s="7">
        <f t="shared" ca="1" si="5"/>
        <v>159</v>
      </c>
      <c r="D18" s="7">
        <f t="shared" ca="1" si="6"/>
        <v>128</v>
      </c>
      <c r="E18" s="7">
        <f t="shared" ca="1" si="7"/>
        <v>4</v>
      </c>
      <c r="F18" s="7">
        <f t="shared" ca="1" si="8"/>
        <v>31</v>
      </c>
      <c r="G18" s="7">
        <f t="shared" ca="1" si="9"/>
        <v>0</v>
      </c>
      <c r="H18" s="7" t="s">
        <v>10</v>
      </c>
      <c r="I18" s="22" t="s">
        <v>238</v>
      </c>
      <c r="J18" s="100" t="s">
        <v>228</v>
      </c>
    </row>
    <row r="19" spans="1:10" ht="16.5">
      <c r="A19" s="27" t="s">
        <v>239</v>
      </c>
      <c r="B19" s="7">
        <v>32</v>
      </c>
      <c r="C19" s="7">
        <f t="shared" ca="1" si="5"/>
        <v>191</v>
      </c>
      <c r="D19" s="7">
        <f t="shared" ca="1" si="6"/>
        <v>160</v>
      </c>
      <c r="E19" s="7">
        <f t="shared" ca="1" si="7"/>
        <v>5</v>
      </c>
      <c r="F19" s="7">
        <f t="shared" ca="1" si="8"/>
        <v>31</v>
      </c>
      <c r="G19" s="7">
        <f t="shared" ca="1" si="9"/>
        <v>0</v>
      </c>
      <c r="H19" s="7" t="s">
        <v>10</v>
      </c>
      <c r="I19" s="22" t="s">
        <v>240</v>
      </c>
      <c r="J19" s="100" t="s">
        <v>228</v>
      </c>
    </row>
    <row r="20" spans="1:10" ht="20.100000000000001" customHeight="1">
      <c r="A20" s="27" t="s">
        <v>258</v>
      </c>
      <c r="B20" s="7">
        <v>16</v>
      </c>
      <c r="C20" s="7">
        <f t="shared" ca="1" si="5"/>
        <v>207</v>
      </c>
      <c r="D20" s="7">
        <f t="shared" ca="1" si="6"/>
        <v>192</v>
      </c>
      <c r="E20" s="7">
        <f t="shared" ca="1" si="7"/>
        <v>6</v>
      </c>
      <c r="F20" s="7">
        <f t="shared" ca="1" si="8"/>
        <v>15</v>
      </c>
      <c r="G20" s="7">
        <f t="shared" ca="1" si="9"/>
        <v>0</v>
      </c>
      <c r="H20" s="7" t="s">
        <v>10</v>
      </c>
      <c r="I20" s="22" t="s">
        <v>263</v>
      </c>
      <c r="J20" s="100" t="s">
        <v>228</v>
      </c>
    </row>
    <row r="21" spans="1:10" s="31" customFormat="1" ht="56.1" customHeight="1">
      <c r="A21" s="109" t="s">
        <v>259</v>
      </c>
      <c r="B21" s="103">
        <v>16</v>
      </c>
      <c r="C21" s="103">
        <f t="shared" ca="1" si="5"/>
        <v>223</v>
      </c>
      <c r="D21" s="103">
        <f t="shared" ca="1" si="6"/>
        <v>208</v>
      </c>
      <c r="E21" s="103">
        <f t="shared" ca="1" si="7"/>
        <v>6</v>
      </c>
      <c r="F21" s="103">
        <f t="shared" ca="1" si="8"/>
        <v>31</v>
      </c>
      <c r="G21" s="103">
        <f t="shared" ca="1" si="9"/>
        <v>16</v>
      </c>
      <c r="H21" s="7" t="s">
        <v>10</v>
      </c>
      <c r="I21" s="22" t="s">
        <v>264</v>
      </c>
      <c r="J21" s="100" t="s">
        <v>228</v>
      </c>
    </row>
    <row r="22" spans="1:10" ht="16.5">
      <c r="A22" s="27" t="s">
        <v>260</v>
      </c>
      <c r="B22" s="7">
        <v>16</v>
      </c>
      <c r="C22" s="7">
        <f t="shared" ca="1" si="5"/>
        <v>239</v>
      </c>
      <c r="D22" s="7">
        <f t="shared" ca="1" si="6"/>
        <v>224</v>
      </c>
      <c r="E22" s="7">
        <f t="shared" ca="1" si="7"/>
        <v>7</v>
      </c>
      <c r="F22" s="7">
        <f t="shared" ca="1" si="8"/>
        <v>15</v>
      </c>
      <c r="G22" s="7">
        <f t="shared" ca="1" si="9"/>
        <v>0</v>
      </c>
      <c r="H22" s="7" t="s">
        <v>10</v>
      </c>
      <c r="I22" s="22" t="s">
        <v>265</v>
      </c>
      <c r="J22" s="100" t="s">
        <v>228</v>
      </c>
    </row>
    <row r="23" spans="1:10" ht="16.5">
      <c r="A23" s="27" t="s">
        <v>261</v>
      </c>
      <c r="B23" s="7">
        <v>16</v>
      </c>
      <c r="C23" s="7">
        <f t="shared" ca="1" si="5"/>
        <v>255</v>
      </c>
      <c r="D23" s="7">
        <f t="shared" ca="1" si="6"/>
        <v>240</v>
      </c>
      <c r="E23" s="7">
        <f t="shared" ca="1" si="7"/>
        <v>7</v>
      </c>
      <c r="F23" s="7">
        <f t="shared" ca="1" si="8"/>
        <v>31</v>
      </c>
      <c r="G23" s="7">
        <f t="shared" ca="1" si="9"/>
        <v>16</v>
      </c>
      <c r="H23" s="7" t="s">
        <v>10</v>
      </c>
      <c r="I23" s="22" t="s">
        <v>266</v>
      </c>
      <c r="J23" s="100" t="s">
        <v>228</v>
      </c>
    </row>
    <row r="24" spans="1:10" ht="16.5">
      <c r="A24" s="27" t="s">
        <v>262</v>
      </c>
      <c r="B24" s="7">
        <v>16</v>
      </c>
      <c r="C24" s="7">
        <f t="shared" ca="1" si="5"/>
        <v>271</v>
      </c>
      <c r="D24" s="7">
        <f t="shared" ca="1" si="6"/>
        <v>256</v>
      </c>
      <c r="E24" s="7">
        <f t="shared" ca="1" si="7"/>
        <v>8</v>
      </c>
      <c r="F24" s="7">
        <f t="shared" ca="1" si="8"/>
        <v>15</v>
      </c>
      <c r="G24" s="7">
        <f t="shared" ca="1" si="9"/>
        <v>0</v>
      </c>
      <c r="H24" s="7" t="s">
        <v>10</v>
      </c>
      <c r="I24" s="22" t="s">
        <v>267</v>
      </c>
      <c r="J24" s="100" t="s">
        <v>228</v>
      </c>
    </row>
    <row r="25" spans="1:10" ht="16.5">
      <c r="A25" s="6" t="s">
        <v>206</v>
      </c>
      <c r="B25" s="7">
        <v>16</v>
      </c>
      <c r="C25" s="7">
        <f ca="1">D25+B25-1</f>
        <v>287</v>
      </c>
      <c r="D25" s="7">
        <f t="shared" ca="1" si="6"/>
        <v>272</v>
      </c>
      <c r="E25" s="7">
        <f ca="1">ROUNDDOWN(C25/32,0)</f>
        <v>8</v>
      </c>
      <c r="F25" s="7">
        <f ca="1">C25-E25*32</f>
        <v>31</v>
      </c>
      <c r="G25" s="7">
        <f ca="1">D25-E25*32</f>
        <v>16</v>
      </c>
      <c r="H25" s="7" t="s">
        <v>246</v>
      </c>
      <c r="I25" s="22" t="s">
        <v>206</v>
      </c>
      <c r="J25" s="101">
        <v>0</v>
      </c>
    </row>
    <row r="26" spans="1:10" ht="16.5">
      <c r="A26" s="6" t="s">
        <v>247</v>
      </c>
      <c r="B26" s="7">
        <v>32</v>
      </c>
      <c r="C26" s="7">
        <f t="shared" ca="1" si="5"/>
        <v>319</v>
      </c>
      <c r="D26" s="7">
        <f t="shared" ca="1" si="6"/>
        <v>288</v>
      </c>
      <c r="E26" s="7">
        <f t="shared" ca="1" si="7"/>
        <v>9</v>
      </c>
      <c r="F26" s="7">
        <f t="shared" ca="1" si="8"/>
        <v>31</v>
      </c>
      <c r="G26" s="7">
        <f t="shared" ca="1" si="9"/>
        <v>0</v>
      </c>
      <c r="H26" s="7" t="s">
        <v>10</v>
      </c>
      <c r="I26" s="22">
        <f ca="1">INDIRECT("template!I34")</f>
        <v>0</v>
      </c>
      <c r="J26" s="100" t="s">
        <v>228</v>
      </c>
    </row>
    <row r="27" spans="1:10" ht="16.5">
      <c r="A27" s="6" t="s">
        <v>248</v>
      </c>
      <c r="B27" s="7">
        <v>8</v>
      </c>
      <c r="C27" s="7">
        <f ca="1">D27+B27-1</f>
        <v>327</v>
      </c>
      <c r="D27" s="7">
        <f t="shared" ca="1" si="6"/>
        <v>320</v>
      </c>
      <c r="E27" s="7">
        <f ca="1">ROUNDDOWN(C27/32,0)</f>
        <v>10</v>
      </c>
      <c r="F27" s="7">
        <f ca="1">C27-E27*32</f>
        <v>7</v>
      </c>
      <c r="G27" s="7">
        <f ca="1">D27-E27*32</f>
        <v>0</v>
      </c>
      <c r="H27" s="7" t="s">
        <v>10</v>
      </c>
      <c r="I27" s="22">
        <f ca="1">INDIRECT("template!I35")</f>
        <v>0</v>
      </c>
      <c r="J27" s="100" t="s">
        <v>228</v>
      </c>
    </row>
    <row r="28" spans="1:10" ht="16.5">
      <c r="A28" s="6" t="s">
        <v>206</v>
      </c>
      <c r="B28" s="7">
        <v>24</v>
      </c>
      <c r="C28" s="7">
        <f ca="1">D28+B28-1</f>
        <v>351</v>
      </c>
      <c r="D28" s="7">
        <f t="shared" ca="1" si="6"/>
        <v>328</v>
      </c>
      <c r="E28" s="7">
        <f ca="1">ROUNDDOWN(C28/32,0)</f>
        <v>10</v>
      </c>
      <c r="F28" s="7">
        <f ca="1">C28-E28*32</f>
        <v>31</v>
      </c>
      <c r="G28" s="7">
        <f ca="1">D28-E28*32</f>
        <v>8</v>
      </c>
      <c r="H28" s="7" t="s">
        <v>246</v>
      </c>
      <c r="I28" s="22">
        <f ca="1">INDIRECT("template!I36")</f>
        <v>0</v>
      </c>
      <c r="J28" s="101">
        <v>0</v>
      </c>
    </row>
    <row r="29" spans="1:10" ht="16.5">
      <c r="A29" s="6" t="s">
        <v>249</v>
      </c>
      <c r="B29" s="7">
        <v>32</v>
      </c>
      <c r="C29" s="7">
        <f t="shared" ca="1" si="5"/>
        <v>383</v>
      </c>
      <c r="D29" s="7">
        <f t="shared" ca="1" si="6"/>
        <v>352</v>
      </c>
      <c r="E29" s="7">
        <f t="shared" ca="1" si="7"/>
        <v>11</v>
      </c>
      <c r="F29" s="7">
        <f t="shared" ca="1" si="8"/>
        <v>31</v>
      </c>
      <c r="G29" s="7">
        <f t="shared" ca="1" si="9"/>
        <v>0</v>
      </c>
      <c r="H29" s="7" t="s">
        <v>10</v>
      </c>
      <c r="I29" s="22">
        <f ca="1">INDIRECT("template!I37")</f>
        <v>0</v>
      </c>
      <c r="J29" s="100" t="s">
        <v>228</v>
      </c>
    </row>
    <row r="30" spans="1:10" ht="16.5">
      <c r="A30" s="6" t="s">
        <v>250</v>
      </c>
      <c r="B30" s="7">
        <v>8</v>
      </c>
      <c r="C30" s="7">
        <f ca="1">D30+B30-1</f>
        <v>391</v>
      </c>
      <c r="D30" s="7">
        <f t="shared" ca="1" si="6"/>
        <v>384</v>
      </c>
      <c r="E30" s="7">
        <f ca="1">ROUNDDOWN(C30/32,0)</f>
        <v>12</v>
      </c>
      <c r="F30" s="7">
        <f ca="1">C30-E30*32</f>
        <v>7</v>
      </c>
      <c r="G30" s="7">
        <f ca="1">D30-E30*32</f>
        <v>0</v>
      </c>
      <c r="H30" s="7" t="s">
        <v>10</v>
      </c>
      <c r="I30" s="22">
        <f ca="1">INDIRECT("template!I38")</f>
        <v>0</v>
      </c>
      <c r="J30" s="100" t="s">
        <v>228</v>
      </c>
    </row>
    <row r="31" spans="1:10" ht="16.5">
      <c r="A31" s="6" t="s">
        <v>206</v>
      </c>
      <c r="B31" s="7">
        <v>24</v>
      </c>
      <c r="C31" s="7">
        <f ca="1">D31+B31-1</f>
        <v>415</v>
      </c>
      <c r="D31" s="7">
        <f t="shared" ca="1" si="6"/>
        <v>392</v>
      </c>
      <c r="E31" s="7">
        <f ca="1">ROUNDDOWN(C31/32,0)</f>
        <v>12</v>
      </c>
      <c r="F31" s="7">
        <f ca="1">C31-E31*32</f>
        <v>31</v>
      </c>
      <c r="G31" s="7">
        <f ca="1">D31-E31*32</f>
        <v>8</v>
      </c>
      <c r="H31" s="7" t="s">
        <v>246</v>
      </c>
      <c r="I31" s="22">
        <f ca="1">INDIRECT("template!I39")</f>
        <v>0</v>
      </c>
      <c r="J31" s="101">
        <v>0</v>
      </c>
    </row>
    <row r="32" spans="1:10" ht="16.5">
      <c r="A32" s="6" t="s">
        <v>206</v>
      </c>
      <c r="B32" s="7">
        <v>32</v>
      </c>
      <c r="C32" s="7">
        <f ca="1">D32+B32-1</f>
        <v>447</v>
      </c>
      <c r="D32" s="7">
        <f t="shared" ca="1" si="6"/>
        <v>416</v>
      </c>
      <c r="E32" s="7">
        <f ca="1">ROUNDDOWN(C32/32,0)</f>
        <v>13</v>
      </c>
      <c r="F32" s="7">
        <f ca="1">C32-E32*32</f>
        <v>31</v>
      </c>
      <c r="G32" s="7">
        <f ca="1">D32-E32*32</f>
        <v>0</v>
      </c>
      <c r="H32" s="7" t="s">
        <v>246</v>
      </c>
      <c r="I32" s="22" t="s">
        <v>206</v>
      </c>
      <c r="J32" s="101">
        <v>0</v>
      </c>
    </row>
    <row r="33" spans="1:10" ht="16.5">
      <c r="A33" s="6" t="s">
        <v>116</v>
      </c>
      <c r="B33" s="7">
        <v>32</v>
      </c>
      <c r="C33" s="7">
        <f ca="1">D33+B33-1</f>
        <v>479</v>
      </c>
      <c r="D33" s="7">
        <f t="shared" ca="1" si="6"/>
        <v>448</v>
      </c>
      <c r="E33" s="7">
        <f ca="1">ROUNDDOWN(C33/32,0)</f>
        <v>14</v>
      </c>
      <c r="F33" s="7">
        <f ca="1">C33-E33*32</f>
        <v>31</v>
      </c>
      <c r="G33" s="7">
        <f ca="1">D33-E33*32</f>
        <v>0</v>
      </c>
      <c r="H33" s="7" t="s">
        <v>10</v>
      </c>
      <c r="I33" s="22">
        <f ca="1">INDIRECT("template!I42")</f>
        <v>0</v>
      </c>
      <c r="J33" s="100" t="s">
        <v>228</v>
      </c>
    </row>
    <row r="34" spans="1:10" ht="16.5">
      <c r="A34" s="6" t="s">
        <v>117</v>
      </c>
      <c r="B34" s="7">
        <v>32</v>
      </c>
      <c r="C34" s="7">
        <f ca="1">D34+B34-1</f>
        <v>511</v>
      </c>
      <c r="D34" s="7">
        <f t="shared" ca="1" si="6"/>
        <v>480</v>
      </c>
      <c r="E34" s="7">
        <f ca="1">ROUNDDOWN(C34/32,0)</f>
        <v>15</v>
      </c>
      <c r="F34" s="7">
        <f ca="1">C34-E34*32</f>
        <v>31</v>
      </c>
      <c r="G34" s="7">
        <f ca="1">D34-E34*32</f>
        <v>0</v>
      </c>
      <c r="H34" s="7" t="s">
        <v>10</v>
      </c>
      <c r="I34" s="22">
        <f ca="1">INDIRECT("template!I43")</f>
        <v>0</v>
      </c>
      <c r="J34" s="100" t="s">
        <v>228</v>
      </c>
    </row>
    <row r="35" spans="1:10" s="29" customFormat="1">
      <c r="A35" s="28" t="s">
        <v>144</v>
      </c>
      <c r="H35" s="1"/>
      <c r="I35" s="31"/>
      <c r="J35" s="1"/>
    </row>
    <row r="36" spans="1:10" s="29" customFormat="1">
      <c r="A36" s="28" t="s">
        <v>123</v>
      </c>
      <c r="H36" s="1"/>
      <c r="I36" s="31"/>
      <c r="J36" s="1"/>
    </row>
    <row r="37" spans="1:10" s="29" customFormat="1">
      <c r="A37" s="28" t="s">
        <v>124</v>
      </c>
      <c r="H37" s="1"/>
      <c r="I37" s="31"/>
      <c r="J37" s="1"/>
    </row>
    <row r="38" spans="1:10" s="29" customFormat="1">
      <c r="A38" s="28" t="s">
        <v>125</v>
      </c>
      <c r="H38" s="1"/>
      <c r="I38" s="31"/>
      <c r="J38" s="1"/>
    </row>
    <row r="39" spans="1:10" s="29" customFormat="1">
      <c r="A39" s="28" t="s">
        <v>126</v>
      </c>
      <c r="H39" s="1"/>
      <c r="I39" s="31"/>
      <c r="J39" s="1"/>
    </row>
  </sheetData>
  <phoneticPr fontId="24" type="noConversion"/>
  <pageMargins left="0.25" right="0.25" top="0.75" bottom="0.75" header="0.3" footer="0.3"/>
  <pageSetup paperSize="9" scale="5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zoomScale="115" zoomScaleNormal="125" workbookViewId="0">
      <pane ySplit="1" topLeftCell="A2" activePane="bottomLeft" state="frozen"/>
      <selection activeCell="I16" sqref="I16"/>
      <selection pane="bottomLeft" activeCell="B16" sqref="B16:B17"/>
    </sheetView>
  </sheetViews>
  <sheetFormatPr defaultColWidth="15.5" defaultRowHeight="15"/>
  <cols>
    <col min="1" max="1" width="36"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72.5" style="31" customWidth="1"/>
    <col min="10" max="10" width="30.5" style="1" customWidth="1"/>
    <col min="11" max="16384" width="15.5" style="1"/>
  </cols>
  <sheetData>
    <row r="1" spans="1:10" ht="16.5">
      <c r="A1" s="3" t="s">
        <v>3</v>
      </c>
      <c r="B1" s="4" t="s">
        <v>4</v>
      </c>
      <c r="C1" s="4" t="s">
        <v>5</v>
      </c>
      <c r="D1" s="4" t="s">
        <v>6</v>
      </c>
      <c r="E1" s="4" t="s">
        <v>7</v>
      </c>
      <c r="F1" s="4" t="s">
        <v>8</v>
      </c>
      <c r="G1" s="4" t="s">
        <v>9</v>
      </c>
      <c r="H1" s="5" t="s">
        <v>10</v>
      </c>
      <c r="I1" s="19" t="s">
        <v>12</v>
      </c>
      <c r="J1" s="99" t="s">
        <v>227</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228</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v>0</v>
      </c>
    </row>
    <row r="4" spans="1:10" ht="49.5">
      <c r="A4" s="6" t="s">
        <v>127</v>
      </c>
      <c r="B4" s="7">
        <v>1</v>
      </c>
      <c r="C4" s="7">
        <f t="shared" ca="1" si="0"/>
        <v>2</v>
      </c>
      <c r="D4" s="7">
        <f t="shared" ca="1" si="4"/>
        <v>2</v>
      </c>
      <c r="E4" s="7">
        <f t="shared" ca="1" si="1"/>
        <v>0</v>
      </c>
      <c r="F4" s="7">
        <f t="shared" ca="1" si="2"/>
        <v>2</v>
      </c>
      <c r="G4" s="7">
        <f t="shared" ca="1" si="3"/>
        <v>2</v>
      </c>
      <c r="H4" s="7" t="s">
        <v>10</v>
      </c>
      <c r="I4" s="22" t="str">
        <f ca="1">CONCATENATE(INDIRECT("template!I4"))</f>
        <v>NCHW copy bit (need tie1)
0: use separate src and dst NCHW value setting
1: reuse src NCHW value for dst NCHW value</v>
      </c>
      <c r="J4" s="101">
        <v>1</v>
      </c>
    </row>
    <row r="5" spans="1:10" ht="16.5">
      <c r="A5" s="6" t="s">
        <v>241</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228</v>
      </c>
    </row>
    <row r="6" spans="1:10" ht="30.95" customHeight="1">
      <c r="A6" s="6" t="s">
        <v>206</v>
      </c>
      <c r="B6" s="7">
        <v>1</v>
      </c>
      <c r="C6" s="7">
        <f t="shared" ca="1" si="0"/>
        <v>4</v>
      </c>
      <c r="D6" s="7">
        <f t="shared" ca="1" si="4"/>
        <v>4</v>
      </c>
      <c r="E6" s="7">
        <f t="shared" ca="1" si="1"/>
        <v>0</v>
      </c>
      <c r="F6" s="7">
        <f t="shared" ca="1" si="2"/>
        <v>4</v>
      </c>
      <c r="G6" s="7">
        <f t="shared" ca="1" si="3"/>
        <v>4</v>
      </c>
      <c r="H6" s="7" t="s">
        <v>246</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1">
        <v>0</v>
      </c>
    </row>
    <row r="7" spans="1:10" ht="63" customHeight="1">
      <c r="A7" s="6" t="s">
        <v>206</v>
      </c>
      <c r="B7" s="7">
        <v>4</v>
      </c>
      <c r="C7" s="7">
        <f ca="1">D7+B7-1</f>
        <v>8</v>
      </c>
      <c r="D7" s="7">
        <f t="shared" ca="1" si="4"/>
        <v>5</v>
      </c>
      <c r="E7" s="7">
        <f ca="1">ROUNDDOWN(C7/32,0)</f>
        <v>0</v>
      </c>
      <c r="F7" s="7">
        <f ca="1">C7-E7*32</f>
        <v>8</v>
      </c>
      <c r="G7" s="7">
        <f t="shared" ca="1" si="3"/>
        <v>5</v>
      </c>
      <c r="H7" s="7" t="s">
        <v>246</v>
      </c>
      <c r="I7" s="22" t="str">
        <f ca="1">CONCATENATE(INDIRECT("template!I7"))</f>
        <v>this field is connected with cmd_type. when cmd_type == DMA_tensor
0000: No special function</v>
      </c>
      <c r="J7" s="101">
        <v>0</v>
      </c>
    </row>
    <row r="8" spans="1:10" ht="33">
      <c r="A8" s="6" t="s">
        <v>206</v>
      </c>
      <c r="B8" s="7">
        <v>20</v>
      </c>
      <c r="C8" s="7">
        <f ca="1">D8+B8-1</f>
        <v>28</v>
      </c>
      <c r="D8" s="7">
        <f t="shared" ca="1" si="4"/>
        <v>9</v>
      </c>
      <c r="E8" s="7">
        <f ca="1">ROUNDDOWN(C8/32,0)</f>
        <v>0</v>
      </c>
      <c r="F8" s="7">
        <f ca="1">C8-E8*32</f>
        <v>28</v>
      </c>
      <c r="G8" s="7">
        <f ca="1">D8-E8*32</f>
        <v>9</v>
      </c>
      <c r="H8" s="7" t="s">
        <v>246</v>
      </c>
      <c r="I8" s="22" t="str">
        <f ca="1">CONCATENATE(INDIRECT("template!I8"))</f>
        <v>0: no fill constant
1: fill constant enable</v>
      </c>
      <c r="J8" s="101">
        <v>0</v>
      </c>
    </row>
    <row r="9" spans="1:10"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customFormat="1" ht="49.5">
      <c r="A10" s="6" t="s">
        <v>128</v>
      </c>
      <c r="B10" s="7">
        <v>4</v>
      </c>
      <c r="C10" s="7">
        <f t="shared" ref="C10:C29" ca="1" si="5">D10+B10-1</f>
        <v>35</v>
      </c>
      <c r="D10" s="7">
        <f t="shared" ref="D10:D36" ca="1" si="6">INDIRECT(ADDRESS(ROW()-1,COLUMN()-1))+1</f>
        <v>32</v>
      </c>
      <c r="E10" s="7">
        <f t="shared" ref="E10:E29" ca="1" si="7">ROUNDDOWN(C10/32,0)</f>
        <v>1</v>
      </c>
      <c r="F10" s="7">
        <f t="shared" ref="F10:F29" ca="1" si="8">C10-E10*32</f>
        <v>3</v>
      </c>
      <c r="G10" s="7">
        <f t="shared" ref="G10:G29" ca="1" si="9">D10-E10*32</f>
        <v>0</v>
      </c>
      <c r="H10" s="7" t="s">
        <v>10</v>
      </c>
      <c r="I10" s="22" t="str">
        <f ca="1">CONCATENATE(INDIRECT("template!I10"))</f>
        <v>Source blob start address[44:32]:
addr[44:40] means tag
addr eq addr[39:0] + base_addr_region[addr[44:40]]</v>
      </c>
      <c r="J10" s="100" t="s">
        <v>228</v>
      </c>
    </row>
    <row r="11" spans="1:10" ht="16.5">
      <c r="A11" s="27" t="s">
        <v>145</v>
      </c>
      <c r="B11" s="7">
        <v>3</v>
      </c>
      <c r="C11" s="7">
        <f t="shared" ca="1" si="5"/>
        <v>38</v>
      </c>
      <c r="D11" s="7">
        <f t="shared" ca="1" si="6"/>
        <v>36</v>
      </c>
      <c r="E11" s="7">
        <f t="shared" ca="1" si="7"/>
        <v>1</v>
      </c>
      <c r="F11" s="7">
        <f t="shared" ca="1" si="8"/>
        <v>6</v>
      </c>
      <c r="G11" s="7">
        <f t="shared" ca="1" si="9"/>
        <v>4</v>
      </c>
      <c r="H11" s="7" t="s">
        <v>10</v>
      </c>
      <c r="I11" s="22" t="e">
        <f ca="1">CONCATENATE(INDIRECT("DMA_masked_select!I11"))</f>
        <v>#REF!</v>
      </c>
      <c r="J11" s="104" t="s">
        <v>230</v>
      </c>
    </row>
    <row r="12" spans="1:10" ht="16.5">
      <c r="A12" s="27" t="s">
        <v>143</v>
      </c>
      <c r="B12" s="7">
        <v>1</v>
      </c>
      <c r="C12" s="7">
        <f t="shared" ca="1" si="5"/>
        <v>39</v>
      </c>
      <c r="D12" s="7">
        <f t="shared" ca="1" si="6"/>
        <v>39</v>
      </c>
      <c r="E12" s="7">
        <f t="shared" ca="1" si="7"/>
        <v>1</v>
      </c>
      <c r="F12" s="7">
        <f t="shared" ca="1" si="8"/>
        <v>7</v>
      </c>
      <c r="G12" s="7">
        <f t="shared" ca="1" si="9"/>
        <v>7</v>
      </c>
      <c r="H12" s="7" t="s">
        <v>10</v>
      </c>
      <c r="I12" s="22" t="e">
        <f ca="1">CONCATENATE(INDIRECT("DMA_masked_select!I12"))</f>
        <v>#REF!</v>
      </c>
      <c r="J12" s="104" t="s">
        <v>230</v>
      </c>
    </row>
    <row r="13" spans="1:10" ht="16.5">
      <c r="A13" s="6" t="s">
        <v>55</v>
      </c>
      <c r="B13" s="7">
        <v>3</v>
      </c>
      <c r="C13" s="7">
        <f ca="1">D13+B13-1</f>
        <v>42</v>
      </c>
      <c r="D13" s="7">
        <f ca="1">INDIRECT(ADDRESS(ROW()-1,COLUMN()-1))+1</f>
        <v>40</v>
      </c>
      <c r="E13" s="7">
        <f ca="1">ROUNDDOWN(C13/32,0)</f>
        <v>1</v>
      </c>
      <c r="F13" s="7">
        <f ca="1">C13-E13*32</f>
        <v>10</v>
      </c>
      <c r="G13" s="7">
        <f ca="1">D13-E13*32</f>
        <v>8</v>
      </c>
      <c r="H13" s="7" t="s">
        <v>10</v>
      </c>
      <c r="I13" s="22" t="str">
        <f ca="1">CONCATENATE(INDIRECT("template!I13"))</f>
        <v>reserved</v>
      </c>
      <c r="J13" s="100" t="s">
        <v>228</v>
      </c>
    </row>
    <row r="14" spans="1:10" customFormat="1" ht="16.5">
      <c r="A14" s="27" t="s">
        <v>255</v>
      </c>
      <c r="B14" s="7">
        <v>3</v>
      </c>
      <c r="C14" s="7">
        <f ca="1">D14+B14-1</f>
        <v>45</v>
      </c>
      <c r="D14" s="7">
        <f ca="1">INDIRECT(ADDRESS(ROW()-1,COLUMN()-1))+1</f>
        <v>43</v>
      </c>
      <c r="E14" s="7">
        <f ca="1">ROUNDDOWN(C14/32,0)</f>
        <v>1</v>
      </c>
      <c r="F14" s="7">
        <f ca="1">C14-E14*32</f>
        <v>13</v>
      </c>
      <c r="G14" s="7">
        <f ca="1">D14-E14*32</f>
        <v>11</v>
      </c>
      <c r="H14" s="7" t="s">
        <v>10</v>
      </c>
      <c r="I14" s="22" t="e">
        <f ca="1">CONCATENATE(INDIRECT("DMA_masked_select!I14"))</f>
        <v>#REF!</v>
      </c>
      <c r="J14" s="100" t="s">
        <v>228</v>
      </c>
    </row>
    <row r="15" spans="1:10" ht="16.5">
      <c r="A15" s="6" t="s">
        <v>206</v>
      </c>
      <c r="B15" s="7">
        <v>18</v>
      </c>
      <c r="C15" s="7">
        <f ca="1">D15+B15-1</f>
        <v>63</v>
      </c>
      <c r="D15" s="7">
        <f ca="1">INDIRECT(ADDRESS(ROW()-1,COLUMN()-1))+1</f>
        <v>46</v>
      </c>
      <c r="E15" s="7">
        <f ca="1">ROUNDDOWN(C15/32,0)</f>
        <v>1</v>
      </c>
      <c r="F15" s="7">
        <f ca="1">C15-E15*32</f>
        <v>31</v>
      </c>
      <c r="G15" s="7">
        <f ca="1">D15-E15*32</f>
        <v>14</v>
      </c>
      <c r="H15" s="7" t="s">
        <v>15</v>
      </c>
      <c r="I15" s="22" t="str">
        <f ca="1">CONCATENATE(INDIRECT("template!I14"))</f>
        <v>unsigned number; Source blob N stride;when cmd_special_function==fill constant, this field means constant value</v>
      </c>
      <c r="J15" s="101">
        <v>0</v>
      </c>
    </row>
    <row r="16" spans="1:10" ht="16.5">
      <c r="A16" s="6" t="s">
        <v>310</v>
      </c>
      <c r="B16" s="7">
        <v>24</v>
      </c>
      <c r="C16" s="7">
        <f ca="1">D16+B16-1</f>
        <v>87</v>
      </c>
      <c r="D16" s="7">
        <f ca="1">INDIRECT(ADDRESS(ROW()-1,COLUMN()-1))+1</f>
        <v>64</v>
      </c>
      <c r="E16" s="7">
        <f ca="1">ROUNDDOWN(C16/32,0)</f>
        <v>2</v>
      </c>
      <c r="F16" s="7">
        <f ca="1">C16-E16*32</f>
        <v>23</v>
      </c>
      <c r="G16" s="7">
        <f ca="1">D16-E16*32</f>
        <v>0</v>
      </c>
      <c r="H16" s="7" t="s">
        <v>251</v>
      </c>
      <c r="I16" s="22" t="str">
        <f ca="1">CONCATENATE(INDIRECT("template!I15"))</f>
        <v>unsigned number. Source blob C stride</v>
      </c>
      <c r="J16" s="100" t="s">
        <v>228</v>
      </c>
    </row>
    <row r="17" spans="1:10" ht="16.5">
      <c r="A17" s="6" t="s">
        <v>206</v>
      </c>
      <c r="B17" s="7">
        <v>8</v>
      </c>
      <c r="C17" s="7">
        <f ca="1">D17+B17-1</f>
        <v>95</v>
      </c>
      <c r="D17" s="7">
        <f ca="1">INDIRECT(ADDRESS(ROW()-1,COLUMN()-1))+1</f>
        <v>88</v>
      </c>
      <c r="E17" s="7">
        <f ca="1">ROUNDDOWN(C17/32,0)</f>
        <v>2</v>
      </c>
      <c r="F17" s="7">
        <f ca="1">C17-E17*32</f>
        <v>31</v>
      </c>
      <c r="G17" s="7">
        <f ca="1">D17-E17*32</f>
        <v>24</v>
      </c>
      <c r="H17" s="7" t="s">
        <v>246</v>
      </c>
      <c r="I17" s="22" t="str">
        <f ca="1">CONCATENATE(INDIRECT("template!I16"))</f>
        <v>unsigned number; Source blob H stride</v>
      </c>
      <c r="J17" s="100" t="s">
        <v>228</v>
      </c>
    </row>
    <row r="18" spans="1:10" ht="16.5">
      <c r="A18" s="6" t="s">
        <v>84</v>
      </c>
      <c r="B18" s="7">
        <v>16</v>
      </c>
      <c r="C18" s="7">
        <f t="shared" ca="1" si="5"/>
        <v>111</v>
      </c>
      <c r="D18" s="7">
        <f t="shared" ca="1" si="6"/>
        <v>96</v>
      </c>
      <c r="E18" s="7">
        <f t="shared" ca="1" si="7"/>
        <v>3</v>
      </c>
      <c r="F18" s="7">
        <f t="shared" ca="1" si="8"/>
        <v>15</v>
      </c>
      <c r="G18" s="7">
        <f t="shared" ca="1" si="9"/>
        <v>0</v>
      </c>
      <c r="H18" s="7" t="s">
        <v>10</v>
      </c>
      <c r="I18" s="22" t="str">
        <f ca="1">INDIRECT("template!I26")</f>
        <v>Destination blob H</v>
      </c>
      <c r="J18" s="100" t="s">
        <v>228</v>
      </c>
    </row>
    <row r="19" spans="1:10" ht="16.5">
      <c r="A19" s="6" t="s">
        <v>87</v>
      </c>
      <c r="B19" s="7">
        <v>16</v>
      </c>
      <c r="C19" s="7">
        <f t="shared" ca="1" si="5"/>
        <v>127</v>
      </c>
      <c r="D19" s="7">
        <f t="shared" ca="1" si="6"/>
        <v>112</v>
      </c>
      <c r="E19" s="7">
        <f t="shared" ca="1" si="7"/>
        <v>3</v>
      </c>
      <c r="F19" s="7">
        <f t="shared" ca="1" si="8"/>
        <v>31</v>
      </c>
      <c r="G19" s="7">
        <f t="shared" ca="1" si="9"/>
        <v>16</v>
      </c>
      <c r="H19" s="7" t="s">
        <v>10</v>
      </c>
      <c r="I19" s="22" t="str">
        <f ca="1">INDIRECT("template!I27")</f>
        <v xml:space="preserve">Destination blob W </v>
      </c>
      <c r="J19" s="100" t="s">
        <v>228</v>
      </c>
    </row>
    <row r="20" spans="1:10" ht="17.100000000000001" customHeight="1">
      <c r="A20" s="6" t="s">
        <v>89</v>
      </c>
      <c r="B20" s="7">
        <v>16</v>
      </c>
      <c r="C20" s="7">
        <f t="shared" ca="1" si="5"/>
        <v>143</v>
      </c>
      <c r="D20" s="7">
        <f t="shared" ca="1" si="6"/>
        <v>128</v>
      </c>
      <c r="E20" s="7">
        <f t="shared" ca="1" si="7"/>
        <v>4</v>
      </c>
      <c r="F20" s="7">
        <f t="shared" ca="1" si="8"/>
        <v>15</v>
      </c>
      <c r="G20" s="7">
        <f t="shared" ca="1" si="9"/>
        <v>0</v>
      </c>
      <c r="H20" s="7" t="s">
        <v>10</v>
      </c>
      <c r="I20" s="22" t="str">
        <f ca="1">INDIRECT("template!I28")</f>
        <v>source blob start address[31:0]</v>
      </c>
      <c r="J20" s="100" t="s">
        <v>228</v>
      </c>
    </row>
    <row r="21" spans="1:10" ht="16.5">
      <c r="A21" s="6" t="s">
        <v>91</v>
      </c>
      <c r="B21" s="7">
        <v>16</v>
      </c>
      <c r="C21" s="7">
        <f t="shared" ca="1" si="5"/>
        <v>159</v>
      </c>
      <c r="D21" s="7">
        <f t="shared" ca="1" si="6"/>
        <v>144</v>
      </c>
      <c r="E21" s="7">
        <f t="shared" ca="1" si="7"/>
        <v>4</v>
      </c>
      <c r="F21" s="7">
        <f t="shared" ca="1" si="8"/>
        <v>31</v>
      </c>
      <c r="G21" s="7">
        <f t="shared" ca="1" si="9"/>
        <v>16</v>
      </c>
      <c r="H21" s="7" t="s">
        <v>10</v>
      </c>
      <c r="I21" s="22" t="str">
        <f ca="1">INDIRECT("template!I29")</f>
        <v>destination blob start address[31:0]</v>
      </c>
      <c r="J21" s="100" t="s">
        <v>228</v>
      </c>
    </row>
    <row r="22" spans="1:10" ht="16.5">
      <c r="A22" s="6" t="s">
        <v>93</v>
      </c>
      <c r="B22" s="7">
        <v>16</v>
      </c>
      <c r="C22" s="7">
        <f t="shared" ca="1" si="5"/>
        <v>175</v>
      </c>
      <c r="D22" s="7">
        <f t="shared" ca="1" si="6"/>
        <v>160</v>
      </c>
      <c r="E22" s="7">
        <f t="shared" ca="1" si="7"/>
        <v>5</v>
      </c>
      <c r="F22" s="7">
        <f t="shared" ca="1" si="8"/>
        <v>15</v>
      </c>
      <c r="G22" s="7">
        <f t="shared" ca="1" si="9"/>
        <v>0</v>
      </c>
      <c r="H22" s="7" t="s">
        <v>10</v>
      </c>
      <c r="I22" s="22" t="str">
        <f ca="1">INDIRECT("template!I30")</f>
        <v xml:space="preserve">addr eq addr[49:40] </v>
      </c>
      <c r="J22" s="104" t="s">
        <v>314</v>
      </c>
    </row>
    <row r="23" spans="1:10" ht="16.5">
      <c r="A23" s="6" t="s">
        <v>95</v>
      </c>
      <c r="B23" s="7">
        <v>16</v>
      </c>
      <c r="C23" s="7">
        <f t="shared" ca="1" si="5"/>
        <v>191</v>
      </c>
      <c r="D23" s="7">
        <f t="shared" ca="1" si="6"/>
        <v>176</v>
      </c>
      <c r="E23" s="7">
        <f t="shared" ca="1" si="7"/>
        <v>5</v>
      </c>
      <c r="F23" s="7">
        <f t="shared" ca="1" si="8"/>
        <v>31</v>
      </c>
      <c r="G23" s="7">
        <f t="shared" ca="1" si="9"/>
        <v>16</v>
      </c>
      <c r="H23" s="7" t="s">
        <v>10</v>
      </c>
      <c r="I23" s="22" t="str">
        <f ca="1">INDIRECT("template!I31")</f>
        <v xml:space="preserve">addr eq addr[49:40] </v>
      </c>
      <c r="J23" s="104" t="s">
        <v>314</v>
      </c>
    </row>
    <row r="24" spans="1:10" ht="16.5">
      <c r="A24" s="6" t="s">
        <v>97</v>
      </c>
      <c r="B24" s="7">
        <v>16</v>
      </c>
      <c r="C24" s="7">
        <f t="shared" ca="1" si="5"/>
        <v>207</v>
      </c>
      <c r="D24" s="7">
        <f t="shared" ca="1" si="6"/>
        <v>192</v>
      </c>
      <c r="E24" s="7">
        <f t="shared" ca="1" si="7"/>
        <v>6</v>
      </c>
      <c r="F24" s="7">
        <f t="shared" ca="1" si="8"/>
        <v>15</v>
      </c>
      <c r="G24" s="7">
        <f t="shared" ca="1" si="9"/>
        <v>0</v>
      </c>
      <c r="H24" s="7" t="s">
        <v>10</v>
      </c>
      <c r="I24" s="22">
        <f ca="1">INDIRECT("template!I32")</f>
        <v>0</v>
      </c>
      <c r="J24" s="104" t="s">
        <v>314</v>
      </c>
    </row>
    <row r="25" spans="1:10" ht="16.5">
      <c r="A25" s="6" t="s">
        <v>99</v>
      </c>
      <c r="B25" s="7">
        <v>16</v>
      </c>
      <c r="C25" s="7">
        <f t="shared" ca="1" si="5"/>
        <v>223</v>
      </c>
      <c r="D25" s="7">
        <f t="shared" ca="1" si="6"/>
        <v>208</v>
      </c>
      <c r="E25" s="7">
        <f t="shared" ca="1" si="7"/>
        <v>6</v>
      </c>
      <c r="F25" s="7">
        <f t="shared" ca="1" si="8"/>
        <v>31</v>
      </c>
      <c r="G25" s="7">
        <f t="shared" ca="1" si="9"/>
        <v>16</v>
      </c>
      <c r="H25" s="7" t="s">
        <v>10</v>
      </c>
      <c r="I25" s="22">
        <f ca="1">INDIRECT("template!I33")</f>
        <v>0</v>
      </c>
      <c r="J25" s="104" t="s">
        <v>314</v>
      </c>
    </row>
    <row r="26" spans="1:10" ht="16.5">
      <c r="A26" s="6" t="s">
        <v>247</v>
      </c>
      <c r="B26" s="7">
        <v>32</v>
      </c>
      <c r="C26" s="7">
        <f t="shared" ca="1" si="5"/>
        <v>255</v>
      </c>
      <c r="D26" s="7">
        <f t="shared" ca="1" si="6"/>
        <v>224</v>
      </c>
      <c r="E26" s="7">
        <f t="shared" ca="1" si="7"/>
        <v>7</v>
      </c>
      <c r="F26" s="7">
        <f t="shared" ca="1" si="8"/>
        <v>31</v>
      </c>
      <c r="G26" s="7">
        <f t="shared" ca="1" si="9"/>
        <v>0</v>
      </c>
      <c r="H26" s="7" t="s">
        <v>10</v>
      </c>
      <c r="I26" s="22">
        <f ca="1">INDIRECT("template!I34")</f>
        <v>0</v>
      </c>
      <c r="J26" s="102" t="s">
        <v>228</v>
      </c>
    </row>
    <row r="27" spans="1:10" ht="16.5">
      <c r="A27" s="6" t="s">
        <v>248</v>
      </c>
      <c r="B27" s="7">
        <v>8</v>
      </c>
      <c r="C27" s="7">
        <f ca="1">D27+B27-1</f>
        <v>263</v>
      </c>
      <c r="D27" s="7">
        <f t="shared" ca="1" si="6"/>
        <v>256</v>
      </c>
      <c r="E27" s="7">
        <f ca="1">ROUNDDOWN(C27/32,0)</f>
        <v>8</v>
      </c>
      <c r="F27" s="7">
        <f ca="1">C27-E27*32</f>
        <v>7</v>
      </c>
      <c r="G27" s="7">
        <f ca="1">D27-E27*32</f>
        <v>0</v>
      </c>
      <c r="H27" s="7" t="s">
        <v>10</v>
      </c>
      <c r="I27" s="22">
        <f ca="1">INDIRECT("template!I35")</f>
        <v>0</v>
      </c>
      <c r="J27" s="102" t="s">
        <v>228</v>
      </c>
    </row>
    <row r="28" spans="1:10" ht="16.5">
      <c r="A28" s="6" t="s">
        <v>206</v>
      </c>
      <c r="B28" s="7">
        <v>24</v>
      </c>
      <c r="C28" s="7">
        <f ca="1">D28+B28-1</f>
        <v>287</v>
      </c>
      <c r="D28" s="7">
        <f t="shared" ca="1" si="6"/>
        <v>264</v>
      </c>
      <c r="E28" s="7">
        <f ca="1">ROUNDDOWN(C28/32,0)</f>
        <v>8</v>
      </c>
      <c r="F28" s="7">
        <f ca="1">C28-E28*32</f>
        <v>31</v>
      </c>
      <c r="G28" s="7">
        <f ca="1">D28-E28*32</f>
        <v>8</v>
      </c>
      <c r="H28" s="7" t="s">
        <v>246</v>
      </c>
      <c r="I28" s="22">
        <f ca="1">INDIRECT("template!I36")</f>
        <v>0</v>
      </c>
      <c r="J28" s="101">
        <v>0</v>
      </c>
    </row>
    <row r="29" spans="1:10" ht="16.5">
      <c r="A29" s="6" t="s">
        <v>249</v>
      </c>
      <c r="B29" s="7">
        <v>32</v>
      </c>
      <c r="C29" s="7">
        <f t="shared" ca="1" si="5"/>
        <v>319</v>
      </c>
      <c r="D29" s="7">
        <f t="shared" ca="1" si="6"/>
        <v>288</v>
      </c>
      <c r="E29" s="7">
        <f t="shared" ca="1" si="7"/>
        <v>9</v>
      </c>
      <c r="F29" s="7">
        <f t="shared" ca="1" si="8"/>
        <v>31</v>
      </c>
      <c r="G29" s="7">
        <f t="shared" ca="1" si="9"/>
        <v>0</v>
      </c>
      <c r="H29" s="7" t="s">
        <v>10</v>
      </c>
      <c r="I29" s="22">
        <f ca="1">INDIRECT("template!I37")</f>
        <v>0</v>
      </c>
      <c r="J29" s="100" t="s">
        <v>228</v>
      </c>
    </row>
    <row r="30" spans="1:10" ht="16.5">
      <c r="A30" s="6" t="s">
        <v>250</v>
      </c>
      <c r="B30" s="7">
        <v>8</v>
      </c>
      <c r="C30" s="7">
        <f t="shared" ref="C30:C36" ca="1" si="10">D30+B30-1</f>
        <v>327</v>
      </c>
      <c r="D30" s="7">
        <f t="shared" ca="1" si="6"/>
        <v>320</v>
      </c>
      <c r="E30" s="7">
        <f t="shared" ref="E30:E36" ca="1" si="11">ROUNDDOWN(C30/32,0)</f>
        <v>10</v>
      </c>
      <c r="F30" s="7">
        <f t="shared" ref="F30:F36" ca="1" si="12">C30-E30*32</f>
        <v>7</v>
      </c>
      <c r="G30" s="7">
        <f t="shared" ref="G30:G36" ca="1" si="13">D30-E30*32</f>
        <v>0</v>
      </c>
      <c r="H30" s="7" t="s">
        <v>251</v>
      </c>
      <c r="I30" s="22">
        <f ca="1">INDIRECT("template!I38")</f>
        <v>0</v>
      </c>
      <c r="J30" s="100" t="s">
        <v>228</v>
      </c>
    </row>
    <row r="31" spans="1:10" ht="16.5">
      <c r="A31" s="6" t="s">
        <v>206</v>
      </c>
      <c r="B31" s="7">
        <v>24</v>
      </c>
      <c r="C31" s="7">
        <f t="shared" ca="1" si="10"/>
        <v>351</v>
      </c>
      <c r="D31" s="7">
        <f t="shared" ca="1" si="6"/>
        <v>328</v>
      </c>
      <c r="E31" s="7">
        <f t="shared" ca="1" si="11"/>
        <v>10</v>
      </c>
      <c r="F31" s="7">
        <f t="shared" ca="1" si="12"/>
        <v>31</v>
      </c>
      <c r="G31" s="7">
        <f t="shared" ca="1" si="13"/>
        <v>8</v>
      </c>
      <c r="H31" s="7" t="s">
        <v>246</v>
      </c>
      <c r="I31" s="22">
        <f ca="1">INDIRECT("template!I39")</f>
        <v>0</v>
      </c>
      <c r="J31" s="101">
        <v>0</v>
      </c>
    </row>
    <row r="32" spans="1:10" ht="16.5">
      <c r="A32" s="27" t="s">
        <v>305</v>
      </c>
      <c r="B32" s="7">
        <v>32</v>
      </c>
      <c r="C32" s="7">
        <f t="shared" ca="1" si="10"/>
        <v>383</v>
      </c>
      <c r="D32" s="7">
        <f t="shared" ca="1" si="6"/>
        <v>352</v>
      </c>
      <c r="E32" s="7">
        <f t="shared" ca="1" si="11"/>
        <v>11</v>
      </c>
      <c r="F32" s="7">
        <f t="shared" ca="1" si="12"/>
        <v>31</v>
      </c>
      <c r="G32" s="7">
        <f t="shared" ca="1" si="13"/>
        <v>0</v>
      </c>
      <c r="H32" s="7" t="s">
        <v>10</v>
      </c>
      <c r="I32" s="22" t="e">
        <f ca="1">CONCATENATE(INDIRECT("DMA_masked_select!I41"))</f>
        <v>#REF!</v>
      </c>
      <c r="J32" s="100" t="s">
        <v>228</v>
      </c>
    </row>
    <row r="33" spans="1:10" ht="16.5">
      <c r="A33" s="27" t="s">
        <v>304</v>
      </c>
      <c r="B33" s="7">
        <v>32</v>
      </c>
      <c r="C33" s="7">
        <f t="shared" ca="1" si="10"/>
        <v>415</v>
      </c>
      <c r="D33" s="7">
        <f t="shared" ca="1" si="6"/>
        <v>384</v>
      </c>
      <c r="E33" s="7">
        <f t="shared" ca="1" si="11"/>
        <v>12</v>
      </c>
      <c r="F33" s="7">
        <f t="shared" ca="1" si="12"/>
        <v>31</v>
      </c>
      <c r="G33" s="7">
        <f t="shared" ca="1" si="13"/>
        <v>0</v>
      </c>
      <c r="H33" s="7" t="s">
        <v>10</v>
      </c>
      <c r="I33" s="22" t="e">
        <f ca="1">CONCATENATE(INDIRECT("DMA_masked_select!I42"))</f>
        <v>#REF!</v>
      </c>
      <c r="J33" s="100" t="s">
        <v>228</v>
      </c>
    </row>
    <row r="34" spans="1:10" ht="16.5">
      <c r="A34" s="6" t="s">
        <v>206</v>
      </c>
      <c r="B34" s="7">
        <v>32</v>
      </c>
      <c r="C34" s="7">
        <f t="shared" ca="1" si="10"/>
        <v>447</v>
      </c>
      <c r="D34" s="7">
        <f t="shared" ca="1" si="6"/>
        <v>416</v>
      </c>
      <c r="E34" s="7">
        <f t="shared" ca="1" si="11"/>
        <v>13</v>
      </c>
      <c r="F34" s="7">
        <f t="shared" ca="1" si="12"/>
        <v>31</v>
      </c>
      <c r="G34" s="7">
        <f t="shared" ca="1" si="13"/>
        <v>0</v>
      </c>
      <c r="H34" s="7" t="s">
        <v>246</v>
      </c>
      <c r="I34" s="22" t="s">
        <v>206</v>
      </c>
      <c r="J34" s="101">
        <v>0</v>
      </c>
    </row>
    <row r="35" spans="1:10" ht="16.5">
      <c r="A35" s="6" t="s">
        <v>206</v>
      </c>
      <c r="B35" s="7">
        <v>32</v>
      </c>
      <c r="C35" s="7">
        <f t="shared" ca="1" si="10"/>
        <v>479</v>
      </c>
      <c r="D35" s="7">
        <f t="shared" ca="1" si="6"/>
        <v>448</v>
      </c>
      <c r="E35" s="7">
        <f t="shared" ca="1" si="11"/>
        <v>14</v>
      </c>
      <c r="F35" s="7">
        <f t="shared" ca="1" si="12"/>
        <v>31</v>
      </c>
      <c r="G35" s="7">
        <f t="shared" ca="1" si="13"/>
        <v>0</v>
      </c>
      <c r="H35" s="7" t="s">
        <v>246</v>
      </c>
      <c r="I35" s="22" t="s">
        <v>206</v>
      </c>
      <c r="J35" s="101">
        <v>0</v>
      </c>
    </row>
    <row r="36" spans="1:10" ht="16.5">
      <c r="A36" s="6" t="s">
        <v>206</v>
      </c>
      <c r="B36" s="7">
        <v>32</v>
      </c>
      <c r="C36" s="7">
        <f t="shared" ca="1" si="10"/>
        <v>511</v>
      </c>
      <c r="D36" s="7">
        <f t="shared" ca="1" si="6"/>
        <v>480</v>
      </c>
      <c r="E36" s="7">
        <f t="shared" ca="1" si="11"/>
        <v>15</v>
      </c>
      <c r="F36" s="7">
        <f t="shared" ca="1" si="12"/>
        <v>31</v>
      </c>
      <c r="G36" s="7">
        <f t="shared" ca="1" si="13"/>
        <v>0</v>
      </c>
      <c r="H36" s="7" t="s">
        <v>246</v>
      </c>
      <c r="I36" s="22" t="s">
        <v>206</v>
      </c>
      <c r="J36" s="101">
        <v>0</v>
      </c>
    </row>
    <row r="37" spans="1:10" s="29" customFormat="1">
      <c r="A37" s="28" t="s">
        <v>144</v>
      </c>
      <c r="H37" s="1"/>
      <c r="I37" s="31"/>
      <c r="J37" s="1"/>
    </row>
    <row r="38" spans="1:10" s="29" customFormat="1">
      <c r="A38" s="28" t="s">
        <v>123</v>
      </c>
      <c r="H38" s="1"/>
      <c r="I38" s="31"/>
      <c r="J38" s="1"/>
    </row>
    <row r="39" spans="1:10" s="29" customFormat="1">
      <c r="A39" s="28" t="s">
        <v>124</v>
      </c>
      <c r="H39" s="1"/>
      <c r="I39" s="31"/>
      <c r="J39" s="1"/>
    </row>
    <row r="40" spans="1:10">
      <c r="A40" s="28" t="s">
        <v>125</v>
      </c>
    </row>
    <row r="41" spans="1:10">
      <c r="A41" s="28" t="s">
        <v>126</v>
      </c>
    </row>
  </sheetData>
  <phoneticPr fontId="24" type="noConversion"/>
  <pageMargins left="0.25" right="0.25" top="0.75" bottom="0.75" header="0.3" footer="0.3"/>
  <pageSetup paperSize="9" scale="5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zoomScale="125" zoomScaleNormal="143" workbookViewId="0">
      <pane ySplit="1" topLeftCell="A2" activePane="bottomLeft" state="frozen"/>
      <selection pane="bottomLeft" activeCell="I16" sqref="I1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72.5" style="31" customWidth="1"/>
    <col min="10" max="10" width="38" style="1" customWidth="1"/>
    <col min="11" max="16384" width="15.5" style="1"/>
  </cols>
  <sheetData>
    <row r="1" spans="1:10" ht="16.5">
      <c r="A1" s="3" t="s">
        <v>3</v>
      </c>
      <c r="B1" s="4" t="s">
        <v>4</v>
      </c>
      <c r="C1" s="4" t="s">
        <v>5</v>
      </c>
      <c r="D1" s="4" t="s">
        <v>6</v>
      </c>
      <c r="E1" s="4" t="s">
        <v>7</v>
      </c>
      <c r="F1" s="4" t="s">
        <v>8</v>
      </c>
      <c r="G1" s="4" t="s">
        <v>9</v>
      </c>
      <c r="H1" s="5" t="s">
        <v>10</v>
      </c>
      <c r="I1" s="19" t="s">
        <v>12</v>
      </c>
      <c r="J1" s="99" t="s">
        <v>227</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228</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v>0</v>
      </c>
    </row>
    <row r="4" spans="1:10" ht="49.5">
      <c r="A4" s="6" t="s">
        <v>127</v>
      </c>
      <c r="B4" s="7">
        <v>1</v>
      </c>
      <c r="C4" s="61">
        <f t="shared" ca="1" si="0"/>
        <v>2</v>
      </c>
      <c r="D4" s="7">
        <f t="shared" ca="1" si="4"/>
        <v>2</v>
      </c>
      <c r="E4" s="7">
        <f t="shared" ca="1" si="1"/>
        <v>0</v>
      </c>
      <c r="F4" s="7">
        <f t="shared" ca="1" si="2"/>
        <v>2</v>
      </c>
      <c r="G4" s="7">
        <f t="shared" ca="1" si="3"/>
        <v>2</v>
      </c>
      <c r="H4" s="7" t="s">
        <v>10</v>
      </c>
      <c r="I4" s="22" t="str">
        <f ca="1">CONCATENATE(INDIRECT("template!I4"))</f>
        <v>NCHW copy bit (need tie1)
0: use separate src and dst NCHW value setting
1: reuse src NCHW value for dst NCHW value</v>
      </c>
      <c r="J4" s="101">
        <v>0</v>
      </c>
    </row>
    <row r="5" spans="1:10" ht="16.5">
      <c r="A5" s="6" t="s">
        <v>241</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228</v>
      </c>
    </row>
    <row r="6" spans="1:10" ht="30.95" customHeight="1">
      <c r="A6" s="6" t="s">
        <v>206</v>
      </c>
      <c r="B6" s="7">
        <v>1</v>
      </c>
      <c r="C6" s="7">
        <f t="shared" ca="1" si="0"/>
        <v>4</v>
      </c>
      <c r="D6" s="7">
        <f t="shared" ca="1" si="4"/>
        <v>4</v>
      </c>
      <c r="E6" s="7">
        <f t="shared" ca="1" si="1"/>
        <v>0</v>
      </c>
      <c r="F6" s="7">
        <f t="shared" ca="1" si="2"/>
        <v>4</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1">
        <v>0</v>
      </c>
    </row>
    <row r="7" spans="1:10" ht="54.95" customHeight="1">
      <c r="A7" s="6" t="s">
        <v>206</v>
      </c>
      <c r="B7" s="7">
        <v>4</v>
      </c>
      <c r="C7" s="7">
        <f ca="1">D7+B7-1</f>
        <v>8</v>
      </c>
      <c r="D7" s="7">
        <f t="shared" ca="1" si="4"/>
        <v>5</v>
      </c>
      <c r="E7" s="7">
        <f ca="1">ROUNDDOWN(C7/32,0)</f>
        <v>0</v>
      </c>
      <c r="F7" s="7">
        <f ca="1">C7-E7*32</f>
        <v>8</v>
      </c>
      <c r="G7" s="7">
        <f t="shared" ca="1" si="3"/>
        <v>5</v>
      </c>
      <c r="H7" s="7" t="s">
        <v>246</v>
      </c>
      <c r="I7" s="22" t="str">
        <f ca="1">CONCATENATE(INDIRECT("template!I7"))</f>
        <v>this field is connected with cmd_type. when cmd_type == DMA_tensor
0000: No special function</v>
      </c>
      <c r="J7" s="101">
        <v>0</v>
      </c>
    </row>
    <row r="8" spans="1:10" ht="33">
      <c r="A8" s="6" t="s">
        <v>206</v>
      </c>
      <c r="B8" s="7">
        <v>20</v>
      </c>
      <c r="C8" s="7">
        <f ca="1">D8+B8-1</f>
        <v>28</v>
      </c>
      <c r="D8" s="7">
        <f t="shared" ca="1" si="4"/>
        <v>9</v>
      </c>
      <c r="E8" s="7">
        <f ca="1">ROUNDDOWN(C8/32,0)</f>
        <v>0</v>
      </c>
      <c r="F8" s="7">
        <f ca="1">C8-E8*32</f>
        <v>28</v>
      </c>
      <c r="G8" s="7">
        <f ca="1">D8-E8*32</f>
        <v>9</v>
      </c>
      <c r="H8" s="7" t="s">
        <v>246</v>
      </c>
      <c r="I8" s="22" t="str">
        <f ca="1">CONCATENATE(INDIRECT("template!I8"))</f>
        <v>0: no fill constant
1: fill constant enable</v>
      </c>
      <c r="J8" s="101">
        <v>0</v>
      </c>
    </row>
    <row r="9" spans="1:10"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customFormat="1" ht="49.5">
      <c r="A10" s="6" t="s">
        <v>128</v>
      </c>
      <c r="B10" s="7">
        <v>4</v>
      </c>
      <c r="C10" s="7">
        <f ca="1">D10+B10-1</f>
        <v>35</v>
      </c>
      <c r="D10" s="7">
        <f t="shared" ref="D10:D28" ca="1" si="5">INDIRECT(ADDRESS(ROW()-1,COLUMN()-1))+1</f>
        <v>32</v>
      </c>
      <c r="E10" s="7">
        <f ca="1">ROUNDDOWN(C10/32,0)</f>
        <v>1</v>
      </c>
      <c r="F10" s="7">
        <f t="shared" ref="F10:F24" ca="1" si="6">C10-E10*32</f>
        <v>3</v>
      </c>
      <c r="G10" s="7">
        <f t="shared" ref="G10:G24" ca="1" si="7">D10-E10*32</f>
        <v>0</v>
      </c>
      <c r="H10" s="7" t="s">
        <v>10</v>
      </c>
      <c r="I10" s="22" t="str">
        <f ca="1">CONCATENATE(INDIRECT("template!I10"))</f>
        <v>Source blob start address[44:32]:
addr[44:40] means tag
addr eq addr[39:0] + base_addr_region[addr[44:40]]</v>
      </c>
      <c r="J10" s="100" t="s">
        <v>228</v>
      </c>
    </row>
    <row r="11" spans="1:10" ht="16.5">
      <c r="A11" s="27" t="s">
        <v>129</v>
      </c>
      <c r="B11" s="7">
        <v>3</v>
      </c>
      <c r="C11" s="7">
        <f ca="1">D11+B11-1</f>
        <v>38</v>
      </c>
      <c r="D11" s="7">
        <f t="shared" ca="1" si="5"/>
        <v>36</v>
      </c>
      <c r="E11" s="7">
        <f ca="1">ROUNDDOWN(C11/32,0)</f>
        <v>1</v>
      </c>
      <c r="F11" s="7">
        <f t="shared" ca="1" si="6"/>
        <v>6</v>
      </c>
      <c r="G11" s="7">
        <f t="shared" ca="1" si="7"/>
        <v>4</v>
      </c>
      <c r="H11" s="7" t="s">
        <v>10</v>
      </c>
      <c r="I11" s="22" t="e">
        <f ca="1">CONCATENATE(INDIRECT("DMA_general!I11"))</f>
        <v>#REF!</v>
      </c>
      <c r="J11" s="100" t="s">
        <v>228</v>
      </c>
    </row>
    <row r="12" spans="1:10" ht="16.5">
      <c r="A12" s="27" t="s">
        <v>143</v>
      </c>
      <c r="B12" s="7">
        <v>1</v>
      </c>
      <c r="C12" s="7">
        <f t="shared" ref="C12:C17" ca="1" si="8">D12+B12-1</f>
        <v>39</v>
      </c>
      <c r="D12" s="7">
        <f t="shared" ca="1" si="5"/>
        <v>39</v>
      </c>
      <c r="E12" s="7">
        <f t="shared" ref="E12:E17" ca="1" si="9">ROUNDDOWN(C12/32,0)</f>
        <v>1</v>
      </c>
      <c r="F12" s="7">
        <f t="shared" ca="1" si="6"/>
        <v>7</v>
      </c>
      <c r="G12" s="7">
        <f t="shared" ca="1" si="7"/>
        <v>7</v>
      </c>
      <c r="H12" s="7" t="s">
        <v>10</v>
      </c>
      <c r="I12" s="22" t="e">
        <f ca="1">CONCATENATE(INDIRECT("DMA_general!I12"))</f>
        <v>#REF!</v>
      </c>
      <c r="J12" s="100" t="s">
        <v>228</v>
      </c>
    </row>
    <row r="13" spans="1:10" ht="16.5">
      <c r="A13" s="6" t="s">
        <v>55</v>
      </c>
      <c r="B13" s="7">
        <v>3</v>
      </c>
      <c r="C13" s="7">
        <f t="shared" ca="1" si="8"/>
        <v>42</v>
      </c>
      <c r="D13" s="7">
        <f ca="1">INDIRECT(ADDRESS(ROW()-1,COLUMN()-1))+1</f>
        <v>40</v>
      </c>
      <c r="E13" s="7">
        <f t="shared" ca="1" si="9"/>
        <v>1</v>
      </c>
      <c r="F13" s="7">
        <f ca="1">C13-E13*32</f>
        <v>10</v>
      </c>
      <c r="G13" s="7">
        <f ca="1">D13-E13*32</f>
        <v>8</v>
      </c>
      <c r="H13" s="7" t="s">
        <v>10</v>
      </c>
      <c r="I13" s="22" t="str">
        <f ca="1">CONCATENATE(INDIRECT("template!I13"))</f>
        <v>reserved</v>
      </c>
      <c r="J13" s="100" t="s">
        <v>228</v>
      </c>
    </row>
    <row r="14" spans="1:10" ht="16.5">
      <c r="A14" s="6" t="s">
        <v>206</v>
      </c>
      <c r="B14" s="7">
        <v>21</v>
      </c>
      <c r="C14" s="7">
        <f t="shared" ca="1" si="8"/>
        <v>63</v>
      </c>
      <c r="D14" s="7">
        <f ca="1">INDIRECT(ADDRESS(ROW()-1,COLUMN()-1))+1</f>
        <v>43</v>
      </c>
      <c r="E14" s="7">
        <f t="shared" ca="1" si="9"/>
        <v>1</v>
      </c>
      <c r="F14" s="7">
        <f ca="1">C14-E14*32</f>
        <v>31</v>
      </c>
      <c r="G14" s="7">
        <f ca="1">D14-E14*32</f>
        <v>11</v>
      </c>
      <c r="H14" s="7" t="s">
        <v>15</v>
      </c>
      <c r="I14" s="22" t="str">
        <f ca="1">CONCATENATE(INDIRECT("template!I14"))</f>
        <v>unsigned number; Source blob N stride;when cmd_special_function==fill constant, this field means constant value</v>
      </c>
      <c r="J14" s="101">
        <v>0</v>
      </c>
    </row>
    <row r="15" spans="1:10" ht="16.5">
      <c r="A15" s="6" t="s">
        <v>310</v>
      </c>
      <c r="B15" s="7">
        <v>24</v>
      </c>
      <c r="C15" s="7">
        <f t="shared" ca="1" si="8"/>
        <v>87</v>
      </c>
      <c r="D15" s="7">
        <f ca="1">INDIRECT(ADDRESS(ROW()-1,COLUMN()-1))+1</f>
        <v>64</v>
      </c>
      <c r="E15" s="7">
        <f t="shared" ca="1" si="9"/>
        <v>2</v>
      </c>
      <c r="F15" s="7">
        <f ca="1">C15-E15*32</f>
        <v>23</v>
      </c>
      <c r="G15" s="7">
        <f ca="1">D15-E15*32</f>
        <v>0</v>
      </c>
      <c r="H15" s="7" t="s">
        <v>10</v>
      </c>
      <c r="I15" s="22" t="str">
        <f ca="1">CONCATENATE(INDIRECT("template!I15"))</f>
        <v>unsigned number. Source blob C stride</v>
      </c>
      <c r="J15" s="100" t="s">
        <v>228</v>
      </c>
    </row>
    <row r="16" spans="1:10" ht="21" customHeight="1">
      <c r="A16" s="6" t="s">
        <v>206</v>
      </c>
      <c r="B16" s="7">
        <v>8</v>
      </c>
      <c r="C16" s="7">
        <f t="shared" ca="1" si="8"/>
        <v>95</v>
      </c>
      <c r="D16" s="7">
        <f ca="1">INDIRECT(ADDRESS(ROW()-1,COLUMN()-1))+1</f>
        <v>88</v>
      </c>
      <c r="E16" s="7">
        <f t="shared" ca="1" si="9"/>
        <v>2</v>
      </c>
      <c r="F16" s="7">
        <f ca="1">C16-E16*32</f>
        <v>31</v>
      </c>
      <c r="G16" s="7">
        <f ca="1">D16-E16*32</f>
        <v>24</v>
      </c>
      <c r="H16" s="7" t="s">
        <v>246</v>
      </c>
      <c r="I16" s="22" t="str">
        <f ca="1">CONCATENATE(INDIRECT("template!I16"))</f>
        <v>unsigned number; Source blob H stride</v>
      </c>
      <c r="J16" s="100" t="s">
        <v>228</v>
      </c>
    </row>
    <row r="17" spans="1:10" ht="26.1" customHeight="1">
      <c r="A17" s="6" t="s">
        <v>245</v>
      </c>
      <c r="B17" s="7">
        <v>32</v>
      </c>
      <c r="C17" s="7">
        <f t="shared" ca="1" si="8"/>
        <v>127</v>
      </c>
      <c r="D17" s="7">
        <f ca="1">INDIRECT(ADDRESS(ROW()-1,COLUMN()-1))+1</f>
        <v>96</v>
      </c>
      <c r="E17" s="7">
        <f t="shared" ca="1" si="9"/>
        <v>3</v>
      </c>
      <c r="F17" s="7">
        <f ca="1">C17-E17*32</f>
        <v>31</v>
      </c>
      <c r="G17" s="7">
        <f ca="1">D17-E17*32</f>
        <v>0</v>
      </c>
      <c r="H17" s="7" t="s">
        <v>10</v>
      </c>
      <c r="I17" s="22" t="str">
        <f ca="1">CONCATENATE(INDIRECT("template!I17"))</f>
        <v>unsigned number; desitination blob N stride</v>
      </c>
      <c r="J17" s="102" t="s">
        <v>234</v>
      </c>
    </row>
    <row r="18" spans="1:10" ht="16.5">
      <c r="A18" s="58" t="s">
        <v>146</v>
      </c>
      <c r="B18" s="7">
        <v>32</v>
      </c>
      <c r="C18" s="7">
        <f t="shared" ref="C18:C26" ca="1" si="10">D18+B18-1</f>
        <v>159</v>
      </c>
      <c r="D18" s="7">
        <f t="shared" ca="1" si="5"/>
        <v>128</v>
      </c>
      <c r="E18" s="7">
        <f t="shared" ref="E18:E26" ca="1" si="11">ROUNDDOWN(C18/32,0)</f>
        <v>4</v>
      </c>
      <c r="F18" s="7">
        <f t="shared" ca="1" si="6"/>
        <v>31</v>
      </c>
      <c r="G18" s="7">
        <f t="shared" ca="1" si="7"/>
        <v>0</v>
      </c>
      <c r="H18" s="7" t="s">
        <v>10</v>
      </c>
      <c r="I18" s="22" t="e">
        <f ca="1">CONCATENATE(INDIRECT("DMA_general!I19"))</f>
        <v>#REF!</v>
      </c>
      <c r="J18" s="100" t="s">
        <v>228</v>
      </c>
    </row>
    <row r="19" spans="1:10" ht="30">
      <c r="A19" s="6" t="s">
        <v>256</v>
      </c>
      <c r="B19" s="7">
        <v>16</v>
      </c>
      <c r="C19" s="7">
        <f t="shared" ca="1" si="10"/>
        <v>175</v>
      </c>
      <c r="D19" s="7">
        <f t="shared" ca="1" si="5"/>
        <v>160</v>
      </c>
      <c r="E19" s="7">
        <f t="shared" ca="1" si="11"/>
        <v>5</v>
      </c>
      <c r="F19" s="7">
        <f t="shared" ca="1" si="6"/>
        <v>15</v>
      </c>
      <c r="G19" s="7">
        <f t="shared" ca="1" si="7"/>
        <v>0</v>
      </c>
      <c r="H19" s="7" t="s">
        <v>10</v>
      </c>
      <c r="I19" s="22" t="str">
        <f ca="1">INDIRECT("template!I31")</f>
        <v xml:space="preserve">addr eq addr[49:40] </v>
      </c>
      <c r="J19" s="102" t="s">
        <v>306</v>
      </c>
    </row>
    <row r="20" spans="1:10" ht="16.5">
      <c r="A20" s="6" t="s">
        <v>206</v>
      </c>
      <c r="B20" s="7">
        <v>16</v>
      </c>
      <c r="C20" s="7">
        <f t="shared" ca="1" si="10"/>
        <v>191</v>
      </c>
      <c r="D20" s="7">
        <f t="shared" ca="1" si="5"/>
        <v>176</v>
      </c>
      <c r="E20" s="7">
        <f t="shared" ca="1" si="11"/>
        <v>5</v>
      </c>
      <c r="F20" s="7">
        <f ca="1">C20-E20*32</f>
        <v>31</v>
      </c>
      <c r="G20" s="7">
        <f ca="1">D20-E20*32</f>
        <v>16</v>
      </c>
      <c r="H20" s="7" t="s">
        <v>246</v>
      </c>
      <c r="I20" s="22" t="s">
        <v>206</v>
      </c>
      <c r="J20" s="101">
        <v>0</v>
      </c>
    </row>
    <row r="21" spans="1:10" ht="30">
      <c r="A21" s="6" t="s">
        <v>247</v>
      </c>
      <c r="B21" s="7">
        <v>32</v>
      </c>
      <c r="C21" s="7">
        <f t="shared" ca="1" si="10"/>
        <v>223</v>
      </c>
      <c r="D21" s="7">
        <f t="shared" ca="1" si="5"/>
        <v>192</v>
      </c>
      <c r="E21" s="7">
        <f t="shared" ca="1" si="11"/>
        <v>6</v>
      </c>
      <c r="F21" s="7">
        <f t="shared" ca="1" si="6"/>
        <v>31</v>
      </c>
      <c r="G21" s="7">
        <f t="shared" ca="1" si="7"/>
        <v>0</v>
      </c>
      <c r="H21" s="7" t="s">
        <v>10</v>
      </c>
      <c r="I21" s="22">
        <f ca="1">INDIRECT("template!I34")</f>
        <v>0</v>
      </c>
      <c r="J21" s="102" t="s">
        <v>229</v>
      </c>
    </row>
    <row r="22" spans="1:10" ht="30">
      <c r="A22" s="6" t="s">
        <v>248</v>
      </c>
      <c r="B22" s="7">
        <v>8</v>
      </c>
      <c r="C22" s="7">
        <f t="shared" ca="1" si="10"/>
        <v>231</v>
      </c>
      <c r="D22" s="7">
        <f t="shared" ca="1" si="5"/>
        <v>224</v>
      </c>
      <c r="E22" s="7">
        <f t="shared" ca="1" si="11"/>
        <v>7</v>
      </c>
      <c r="F22" s="7">
        <f ca="1">C22-E22*32</f>
        <v>7</v>
      </c>
      <c r="G22" s="7">
        <f ca="1">D22-E22*32</f>
        <v>0</v>
      </c>
      <c r="H22" s="7" t="s">
        <v>10</v>
      </c>
      <c r="I22" s="22">
        <f ca="1">INDIRECT("template!I35")</f>
        <v>0</v>
      </c>
      <c r="J22" s="102" t="s">
        <v>229</v>
      </c>
    </row>
    <row r="23" spans="1:10" ht="16.5">
      <c r="A23" s="6" t="s">
        <v>206</v>
      </c>
      <c r="B23" s="7">
        <v>24</v>
      </c>
      <c r="C23" s="7">
        <f t="shared" ca="1" si="10"/>
        <v>255</v>
      </c>
      <c r="D23" s="7">
        <f t="shared" ca="1" si="5"/>
        <v>232</v>
      </c>
      <c r="E23" s="7">
        <f t="shared" ca="1" si="11"/>
        <v>7</v>
      </c>
      <c r="F23" s="7">
        <f ca="1">C23-E23*32</f>
        <v>31</v>
      </c>
      <c r="G23" s="7">
        <f ca="1">D23-E23*32</f>
        <v>8</v>
      </c>
      <c r="H23" s="7" t="s">
        <v>246</v>
      </c>
      <c r="I23" s="22">
        <f ca="1">INDIRECT("template!I36")</f>
        <v>0</v>
      </c>
      <c r="J23" s="101">
        <v>0</v>
      </c>
    </row>
    <row r="24" spans="1:10" ht="16.5">
      <c r="A24" s="6" t="s">
        <v>249</v>
      </c>
      <c r="B24" s="7">
        <v>32</v>
      </c>
      <c r="C24" s="7">
        <f t="shared" ca="1" si="10"/>
        <v>287</v>
      </c>
      <c r="D24" s="7">
        <f t="shared" ca="1" si="5"/>
        <v>256</v>
      </c>
      <c r="E24" s="7">
        <f t="shared" ca="1" si="11"/>
        <v>8</v>
      </c>
      <c r="F24" s="7">
        <f t="shared" ca="1" si="6"/>
        <v>31</v>
      </c>
      <c r="G24" s="7">
        <f t="shared" ca="1" si="7"/>
        <v>0</v>
      </c>
      <c r="H24" s="7" t="s">
        <v>10</v>
      </c>
      <c r="I24" s="22">
        <f ca="1">INDIRECT("template!I37")</f>
        <v>0</v>
      </c>
      <c r="J24" s="100" t="s">
        <v>228</v>
      </c>
    </row>
    <row r="25" spans="1:10" ht="16.5">
      <c r="A25" s="6" t="s">
        <v>250</v>
      </c>
      <c r="B25" s="7">
        <v>8</v>
      </c>
      <c r="C25" s="7">
        <f t="shared" ca="1" si="10"/>
        <v>295</v>
      </c>
      <c r="D25" s="7">
        <f t="shared" ca="1" si="5"/>
        <v>288</v>
      </c>
      <c r="E25" s="7">
        <f t="shared" ca="1" si="11"/>
        <v>9</v>
      </c>
      <c r="F25" s="7">
        <f ca="1">C25-E25*32</f>
        <v>7</v>
      </c>
      <c r="G25" s="7">
        <f ca="1">D25-E25*32</f>
        <v>0</v>
      </c>
      <c r="H25" s="7" t="s">
        <v>10</v>
      </c>
      <c r="I25" s="22">
        <f ca="1">INDIRECT("template!I38")</f>
        <v>0</v>
      </c>
      <c r="J25" s="100" t="s">
        <v>228</v>
      </c>
    </row>
    <row r="26" spans="1:10" s="29" customFormat="1" ht="16.5">
      <c r="A26" s="6" t="s">
        <v>206</v>
      </c>
      <c r="B26" s="7">
        <v>24</v>
      </c>
      <c r="C26" s="7">
        <f t="shared" ca="1" si="10"/>
        <v>319</v>
      </c>
      <c r="D26" s="7">
        <f t="shared" ca="1" si="5"/>
        <v>296</v>
      </c>
      <c r="E26" s="7">
        <f t="shared" ca="1" si="11"/>
        <v>9</v>
      </c>
      <c r="F26" s="7">
        <f ca="1">C26-E26*32</f>
        <v>31</v>
      </c>
      <c r="G26" s="7">
        <f ca="1">D26-E26*32</f>
        <v>8</v>
      </c>
      <c r="H26" s="7" t="s">
        <v>246</v>
      </c>
      <c r="I26" s="22">
        <f ca="1">INDIRECT("template!I39")</f>
        <v>0</v>
      </c>
      <c r="J26" s="101">
        <v>0</v>
      </c>
    </row>
    <row r="27" spans="1:10" ht="30">
      <c r="A27" s="6" t="s">
        <v>116</v>
      </c>
      <c r="B27" s="7">
        <v>32</v>
      </c>
      <c r="C27" s="7">
        <f ca="1">D27+B27-1</f>
        <v>351</v>
      </c>
      <c r="D27" s="7">
        <f t="shared" ca="1" si="5"/>
        <v>320</v>
      </c>
      <c r="E27" s="7">
        <f ca="1">ROUNDDOWN(C27/32,0)</f>
        <v>10</v>
      </c>
      <c r="F27" s="7">
        <f ca="1">C27-E27*32</f>
        <v>31</v>
      </c>
      <c r="G27" s="7">
        <f ca="1">D27-E27*32</f>
        <v>0</v>
      </c>
      <c r="H27" s="7" t="s">
        <v>10</v>
      </c>
      <c r="I27" s="22">
        <f ca="1">INDIRECT("template!I42")</f>
        <v>0</v>
      </c>
      <c r="J27" s="102" t="s">
        <v>231</v>
      </c>
    </row>
    <row r="28" spans="1:10" ht="30">
      <c r="A28" s="6" t="s">
        <v>117</v>
      </c>
      <c r="B28" s="7">
        <v>32</v>
      </c>
      <c r="C28" s="7">
        <f ca="1">D28+B28-1</f>
        <v>383</v>
      </c>
      <c r="D28" s="7">
        <f t="shared" ca="1" si="5"/>
        <v>352</v>
      </c>
      <c r="E28" s="7">
        <f ca="1">ROUNDDOWN(C28/32,0)</f>
        <v>11</v>
      </c>
      <c r="F28" s="7">
        <f ca="1">C28-E28*32</f>
        <v>31</v>
      </c>
      <c r="G28" s="7">
        <f ca="1">D28-E28*32</f>
        <v>0</v>
      </c>
      <c r="H28" s="7" t="s">
        <v>10</v>
      </c>
      <c r="I28" s="22">
        <f ca="1">INDIRECT("template!I43")</f>
        <v>0</v>
      </c>
      <c r="J28" s="102" t="s">
        <v>231</v>
      </c>
    </row>
    <row r="29" spans="1:10" s="29" customFormat="1">
      <c r="A29" s="28" t="s">
        <v>144</v>
      </c>
      <c r="H29" s="1"/>
      <c r="I29" s="31"/>
      <c r="J29" s="1"/>
    </row>
    <row r="30" spans="1:10" s="29" customFormat="1">
      <c r="A30" s="28" t="s">
        <v>123</v>
      </c>
      <c r="H30" s="1"/>
      <c r="I30" s="31"/>
      <c r="J30" s="1"/>
    </row>
    <row r="31" spans="1:10" s="29" customFormat="1">
      <c r="A31" s="28" t="s">
        <v>124</v>
      </c>
      <c r="H31" s="1"/>
      <c r="I31" s="31"/>
      <c r="J31" s="1"/>
    </row>
    <row r="32" spans="1:10" s="29" customFormat="1">
      <c r="A32" s="28" t="s">
        <v>125</v>
      </c>
      <c r="H32" s="1"/>
      <c r="I32" s="31"/>
      <c r="J32" s="1"/>
    </row>
    <row r="33" spans="1:1">
      <c r="A33" s="28" t="s">
        <v>126</v>
      </c>
    </row>
  </sheetData>
  <phoneticPr fontId="24" type="noConversion"/>
  <pageMargins left="0.25" right="0.25" top="0.75" bottom="0.75" header="0.3" footer="0.3"/>
  <pageSetup paperSize="9" scale="5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zoomScale="131" zoomScaleNormal="132" workbookViewId="0">
      <selection activeCell="B16" sqref="B16:B17"/>
    </sheetView>
  </sheetViews>
  <sheetFormatPr defaultColWidth="8.875" defaultRowHeight="15"/>
  <cols>
    <col min="1" max="1" width="32.875" customWidth="1"/>
    <col min="2" max="2" width="14.875" customWidth="1"/>
    <col min="3" max="3" width="13.125" customWidth="1"/>
    <col min="4" max="4" width="12.5" customWidth="1"/>
    <col min="5" max="5" width="19.5" style="57" customWidth="1"/>
    <col min="6" max="6" width="14.125" customWidth="1"/>
    <col min="7" max="7" width="16" customWidth="1"/>
    <col min="8" max="8" width="6.125" customWidth="1"/>
    <col min="9" max="9" width="103.125" customWidth="1"/>
    <col min="10" max="10" width="34" style="1" customWidth="1"/>
  </cols>
  <sheetData>
    <row r="1" spans="1:10" ht="16.5">
      <c r="A1" s="3" t="s">
        <v>3</v>
      </c>
      <c r="B1" s="4" t="s">
        <v>4</v>
      </c>
      <c r="C1" s="4" t="s">
        <v>5</v>
      </c>
      <c r="D1" s="4" t="s">
        <v>6</v>
      </c>
      <c r="E1" s="4" t="s">
        <v>7</v>
      </c>
      <c r="F1" s="4" t="s">
        <v>8</v>
      </c>
      <c r="G1" s="4" t="s">
        <v>9</v>
      </c>
      <c r="H1" s="5" t="s">
        <v>10</v>
      </c>
      <c r="I1" s="19" t="s">
        <v>12</v>
      </c>
      <c r="J1" s="99" t="s">
        <v>227</v>
      </c>
    </row>
    <row r="2" spans="1:10" ht="49.5">
      <c r="A2" s="6" t="s">
        <v>29</v>
      </c>
      <c r="B2" s="7">
        <v>1</v>
      </c>
      <c r="C2" s="7">
        <f t="shared" ref="C2:C9" si="0">D2+B2-1</f>
        <v>0</v>
      </c>
      <c r="D2" s="7">
        <v>0</v>
      </c>
      <c r="E2" s="7">
        <f t="shared" ref="E2:E9" si="1">ROUNDDOWN(C2/32,0)</f>
        <v>0</v>
      </c>
      <c r="F2" s="7">
        <f t="shared" ref="F2:F9" si="2">C2-E2*32</f>
        <v>0</v>
      </c>
      <c r="G2" s="7">
        <f t="shared" ref="G2:G9" si="3">D2-E2*32</f>
        <v>0</v>
      </c>
      <c r="H2" s="7" t="s">
        <v>10</v>
      </c>
      <c r="I2" s="22" t="str">
        <f ca="1">CONCATENATE(INDIRECT("template!I2"))</f>
        <v>Interrupt Enable;if this bit is set, CPU COULD get interrupt when the instruction is finished 
0: disable interrupt
1: enable interrupt</v>
      </c>
      <c r="J2" s="100" t="s">
        <v>228</v>
      </c>
    </row>
    <row r="3" spans="1:10" ht="49.5">
      <c r="A3" s="6" t="s">
        <v>31</v>
      </c>
      <c r="B3" s="7">
        <v>1</v>
      </c>
      <c r="C3" s="7">
        <f t="shared" ca="1" si="0"/>
        <v>1</v>
      </c>
      <c r="D3" s="7">
        <f t="shared" ref="D3:D9" ca="1" si="4">INDIRECT(ADDRESS(ROW()-1,COLUMN()-1))+1</f>
        <v>1</v>
      </c>
      <c r="E3" s="7">
        <f t="shared" ca="1" si="1"/>
        <v>0</v>
      </c>
      <c r="F3" s="7">
        <f t="shared" ca="1" si="2"/>
        <v>1</v>
      </c>
      <c r="G3" s="7">
        <f t="shared" ca="1" si="3"/>
        <v>1</v>
      </c>
      <c r="H3" s="7" t="s">
        <v>10</v>
      </c>
      <c r="I3" s="22" t="str">
        <f ca="1">CONCATENATE(INDIRECT("template!I3"))</f>
        <v>Stride enable
0：No stride for all blob definition
1：Enable stride for all blob definition</v>
      </c>
      <c r="J3" s="101">
        <v>0</v>
      </c>
    </row>
    <row r="4" spans="1:10" ht="49.5">
      <c r="A4" s="6" t="s">
        <v>127</v>
      </c>
      <c r="B4" s="7">
        <v>1</v>
      </c>
      <c r="C4" s="7">
        <f t="shared" ca="1" si="0"/>
        <v>2</v>
      </c>
      <c r="D4" s="7">
        <f t="shared" ca="1" si="4"/>
        <v>2</v>
      </c>
      <c r="E4" s="7">
        <f t="shared" ca="1" si="1"/>
        <v>0</v>
      </c>
      <c r="F4" s="7">
        <f t="shared" ca="1" si="2"/>
        <v>2</v>
      </c>
      <c r="G4" s="7">
        <f t="shared" ca="1" si="3"/>
        <v>2</v>
      </c>
      <c r="H4" s="7" t="s">
        <v>10</v>
      </c>
      <c r="I4" s="22" t="str">
        <f ca="1">CONCATENATE(INDIRECT("template!I4"))</f>
        <v>NCHW copy bit (need tie1)
0: use separate src and dst NCHW value setting
1: reuse src NCHW value for dst NCHW value</v>
      </c>
      <c r="J4" s="101">
        <v>1</v>
      </c>
    </row>
    <row r="5" spans="1:10" s="1" customFormat="1" ht="16.5">
      <c r="A5" s="6" t="s">
        <v>241</v>
      </c>
      <c r="B5" s="7">
        <v>1</v>
      </c>
      <c r="C5" s="7">
        <f t="shared" ca="1" si="0"/>
        <v>3</v>
      </c>
      <c r="D5" s="7">
        <f t="shared" ca="1" si="4"/>
        <v>3</v>
      </c>
      <c r="E5" s="7">
        <f t="shared" ca="1" si="1"/>
        <v>0</v>
      </c>
      <c r="F5" s="7">
        <f t="shared" ca="1" si="2"/>
        <v>3</v>
      </c>
      <c r="G5" s="7">
        <f t="shared" ca="1" si="3"/>
        <v>3</v>
      </c>
      <c r="H5" s="7" t="s">
        <v>10</v>
      </c>
      <c r="I5" s="22" t="str">
        <f ca="1">CONCATENATE(INDIRECT("template!I5"))</f>
        <v>reserved</v>
      </c>
      <c r="J5" s="100" t="s">
        <v>228</v>
      </c>
    </row>
    <row r="6" spans="1:10" s="1" customFormat="1" ht="30.95" customHeight="1">
      <c r="A6" s="6" t="s">
        <v>206</v>
      </c>
      <c r="B6" s="7">
        <v>1</v>
      </c>
      <c r="C6" s="7">
        <f t="shared" ca="1" si="0"/>
        <v>4</v>
      </c>
      <c r="D6" s="7">
        <f t="shared" ca="1" si="4"/>
        <v>4</v>
      </c>
      <c r="E6" s="7">
        <f t="shared" ca="1" si="1"/>
        <v>0</v>
      </c>
      <c r="F6" s="7">
        <f t="shared" ca="1" si="2"/>
        <v>4</v>
      </c>
      <c r="G6" s="7">
        <f t="shared" ca="1" si="3"/>
        <v>4</v>
      </c>
      <c r="H6" s="7" t="s">
        <v>246</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1">
        <v>0</v>
      </c>
    </row>
    <row r="7" spans="1:10" ht="60" customHeight="1">
      <c r="A7" s="6" t="s">
        <v>206</v>
      </c>
      <c r="B7" s="7">
        <v>4</v>
      </c>
      <c r="C7" s="7">
        <f ca="1">D7+B7-1</f>
        <v>8</v>
      </c>
      <c r="D7" s="7">
        <f t="shared" ca="1" si="4"/>
        <v>5</v>
      </c>
      <c r="E7" s="7">
        <f ca="1">ROUNDDOWN(C7/32,0)</f>
        <v>0</v>
      </c>
      <c r="F7" s="7">
        <f ca="1">C7-E7*32</f>
        <v>8</v>
      </c>
      <c r="G7" s="7">
        <f t="shared" ca="1" si="3"/>
        <v>5</v>
      </c>
      <c r="H7" s="7" t="s">
        <v>246</v>
      </c>
      <c r="I7" s="22" t="str">
        <f ca="1">CONCATENATE(INDIRECT("template!I7"))</f>
        <v>this field is connected with cmd_type. when cmd_type == DMA_tensor
0000: No special function</v>
      </c>
      <c r="J7" s="101">
        <v>0</v>
      </c>
    </row>
    <row r="8" spans="1:10" ht="39" customHeight="1">
      <c r="A8" s="6" t="s">
        <v>206</v>
      </c>
      <c r="B8" s="7">
        <v>20</v>
      </c>
      <c r="C8" s="7">
        <f ca="1">D8+B8-1</f>
        <v>28</v>
      </c>
      <c r="D8" s="7">
        <f t="shared" ca="1" si="4"/>
        <v>9</v>
      </c>
      <c r="E8" s="7">
        <f ca="1">ROUNDDOWN(C8/32,0)</f>
        <v>0</v>
      </c>
      <c r="F8" s="7">
        <f ca="1">C8-E8*32</f>
        <v>28</v>
      </c>
      <c r="G8" s="7">
        <f ca="1">D8-E8*32</f>
        <v>9</v>
      </c>
      <c r="H8" s="7" t="s">
        <v>246</v>
      </c>
      <c r="I8" s="22" t="str">
        <f ca="1">CONCATENATE(INDIRECT("template!I8"))</f>
        <v>0: no fill constant
1: fill constant enable</v>
      </c>
      <c r="J8" s="101">
        <v>0</v>
      </c>
    </row>
    <row r="9" spans="1:10" s="1" customFormat="1" ht="148.5">
      <c r="A9" s="6" t="s">
        <v>14</v>
      </c>
      <c r="B9" s="7">
        <v>3</v>
      </c>
      <c r="C9" s="7">
        <f t="shared" ca="1" si="0"/>
        <v>31</v>
      </c>
      <c r="D9" s="7">
        <f t="shared" ca="1" si="4"/>
        <v>29</v>
      </c>
      <c r="E9" s="7">
        <f t="shared" ca="1" si="1"/>
        <v>0</v>
      </c>
      <c r="F9" s="7">
        <f t="shared" ca="1" si="2"/>
        <v>31</v>
      </c>
      <c r="G9" s="7">
        <f t="shared" ca="1" si="3"/>
        <v>29</v>
      </c>
      <c r="H9" s="7" t="s">
        <v>15</v>
      </c>
      <c r="I9" s="22" t="str">
        <f ca="1">CONCATENATE(INDIRECT("template!I9"))</f>
        <v>Source Data Format
0:INT8
1:FP16
2:FP32
3:INT16
4:INT32
5:BFP16
6:FP20
others：not support</v>
      </c>
      <c r="J9" s="101">
        <v>0</v>
      </c>
    </row>
    <row r="10" spans="1:10" ht="49.5">
      <c r="A10" s="6" t="s">
        <v>128</v>
      </c>
      <c r="B10" s="7">
        <v>4</v>
      </c>
      <c r="C10" s="7">
        <f t="shared" ref="C10:C26" ca="1" si="5">D10+B10-1</f>
        <v>35</v>
      </c>
      <c r="D10" s="7">
        <f t="shared" ref="D10:D30" ca="1" si="6">INDIRECT(ADDRESS(ROW()-1,COLUMN()-1))+1</f>
        <v>32</v>
      </c>
      <c r="E10" s="7">
        <f t="shared" ref="E10:E26" ca="1" si="7">ROUNDDOWN(C10/32,0)</f>
        <v>1</v>
      </c>
      <c r="F10" s="7">
        <f t="shared" ref="F10:F26" ca="1" si="8">C10-E10*32</f>
        <v>3</v>
      </c>
      <c r="G10" s="7">
        <f t="shared" ref="G10:G26" ca="1" si="9">D10-E10*32</f>
        <v>0</v>
      </c>
      <c r="H10" s="7" t="s">
        <v>10</v>
      </c>
      <c r="I10" s="22" t="str">
        <f ca="1">CONCATENATE(INDIRECT("template!I10"))</f>
        <v>Source blob start address[44:32]:
addr[44:40] means tag
addr eq addr[39:0] + base_addr_region[addr[44:40]]</v>
      </c>
      <c r="J10" s="100" t="s">
        <v>228</v>
      </c>
    </row>
    <row r="11" spans="1:10" ht="16.5">
      <c r="A11" s="27" t="s">
        <v>129</v>
      </c>
      <c r="B11" s="7">
        <v>3</v>
      </c>
      <c r="C11" s="7">
        <f t="shared" ca="1" si="5"/>
        <v>38</v>
      </c>
      <c r="D11" s="7">
        <f t="shared" ca="1" si="6"/>
        <v>36</v>
      </c>
      <c r="E11" s="7">
        <f t="shared" ca="1" si="7"/>
        <v>1</v>
      </c>
      <c r="F11" s="7">
        <f t="shared" ca="1" si="8"/>
        <v>6</v>
      </c>
      <c r="G11" s="7">
        <f t="shared" ca="1" si="9"/>
        <v>4</v>
      </c>
      <c r="H11" s="7" t="s">
        <v>10</v>
      </c>
      <c r="I11" s="22" t="e">
        <f ca="1">CONCATENATE(INDIRECT("DMA_nonzero!I11"))</f>
        <v>#REF!</v>
      </c>
      <c r="J11" s="104" t="s">
        <v>230</v>
      </c>
    </row>
    <row r="12" spans="1:10" ht="16.5">
      <c r="A12" s="27" t="s">
        <v>143</v>
      </c>
      <c r="B12" s="7">
        <v>1</v>
      </c>
      <c r="C12" s="7">
        <f t="shared" ca="1" si="5"/>
        <v>39</v>
      </c>
      <c r="D12" s="7">
        <f t="shared" ca="1" si="6"/>
        <v>39</v>
      </c>
      <c r="E12" s="7">
        <f t="shared" ca="1" si="7"/>
        <v>1</v>
      </c>
      <c r="F12" s="7">
        <f t="shared" ca="1" si="8"/>
        <v>7</v>
      </c>
      <c r="G12" s="7">
        <f t="shared" ca="1" si="9"/>
        <v>7</v>
      </c>
      <c r="H12" s="7" t="s">
        <v>10</v>
      </c>
      <c r="I12" s="22" t="e">
        <f ca="1">CONCATENATE(INDIRECT("DMA_nonzero!I12"))</f>
        <v>#REF!</v>
      </c>
      <c r="J12" s="104" t="s">
        <v>230</v>
      </c>
    </row>
    <row r="13" spans="1:10" s="1" customFormat="1" ht="16.5">
      <c r="A13" s="6" t="s">
        <v>55</v>
      </c>
      <c r="B13" s="7">
        <v>3</v>
      </c>
      <c r="C13" s="7">
        <f ca="1">D13+B13-1</f>
        <v>42</v>
      </c>
      <c r="D13" s="7">
        <f ca="1">INDIRECT(ADDRESS(ROW()-1,COLUMN()-1))+1</f>
        <v>40</v>
      </c>
      <c r="E13" s="7">
        <f ca="1">ROUNDDOWN(C13/32,0)</f>
        <v>1</v>
      </c>
      <c r="F13" s="7">
        <f ca="1">C13-E13*32</f>
        <v>10</v>
      </c>
      <c r="G13" s="7">
        <f ca="1">D13-E13*32</f>
        <v>8</v>
      </c>
      <c r="H13" s="7" t="s">
        <v>10</v>
      </c>
      <c r="I13" s="22" t="str">
        <f ca="1">CONCATENATE(INDIRECT("template!I13"))</f>
        <v>reserved</v>
      </c>
      <c r="J13" s="100" t="s">
        <v>228</v>
      </c>
    </row>
    <row r="14" spans="1:10" ht="16.5">
      <c r="A14" s="27" t="s">
        <v>203</v>
      </c>
      <c r="B14" s="7">
        <v>3</v>
      </c>
      <c r="C14" s="7">
        <f ca="1">D14+B14-1</f>
        <v>45</v>
      </c>
      <c r="D14" s="7">
        <f ca="1">INDIRECT(ADDRESS(ROW()-1,COLUMN()-1))+1</f>
        <v>43</v>
      </c>
      <c r="E14" s="7">
        <f ca="1">ROUNDDOWN(C14/32,0)</f>
        <v>1</v>
      </c>
      <c r="F14" s="7">
        <f ca="1">C14-E14*32</f>
        <v>13</v>
      </c>
      <c r="G14" s="7">
        <f ca="1">D14-E14*32</f>
        <v>11</v>
      </c>
      <c r="H14" s="7" t="s">
        <v>10</v>
      </c>
      <c r="I14" s="22" t="e">
        <f ca="1">CONCATENATE(INDIRECT("DMA_nonzero!I14"))</f>
        <v>#REF!</v>
      </c>
      <c r="J14" s="100" t="s">
        <v>228</v>
      </c>
    </row>
    <row r="15" spans="1:10" s="1" customFormat="1" ht="16.5">
      <c r="A15" s="6" t="s">
        <v>110</v>
      </c>
      <c r="B15" s="7">
        <v>18</v>
      </c>
      <c r="C15" s="7">
        <f ca="1">D15+B15-1</f>
        <v>63</v>
      </c>
      <c r="D15" s="7">
        <f ca="1">INDIRECT(ADDRESS(ROW()-1,COLUMN()-1))+1</f>
        <v>46</v>
      </c>
      <c r="E15" s="7">
        <f ca="1">ROUNDDOWN(C15/32,0)</f>
        <v>1</v>
      </c>
      <c r="F15" s="7">
        <f ca="1">C15-E15*32</f>
        <v>31</v>
      </c>
      <c r="G15" s="7">
        <f ca="1">D15-E15*32</f>
        <v>14</v>
      </c>
      <c r="H15" s="7" t="s">
        <v>15</v>
      </c>
      <c r="I15" s="22" t="str">
        <f ca="1">CONCATENATE(INDIRECT("template!I14"))</f>
        <v>unsigned number; Source blob N stride;when cmd_special_function==fill constant, this field means constant value</v>
      </c>
      <c r="J15" s="101">
        <v>0</v>
      </c>
    </row>
    <row r="16" spans="1:10" s="1" customFormat="1" ht="16.5">
      <c r="A16" s="6" t="s">
        <v>310</v>
      </c>
      <c r="B16" s="7">
        <v>24</v>
      </c>
      <c r="C16" s="7">
        <f ca="1">D16+B16-1</f>
        <v>87</v>
      </c>
      <c r="D16" s="7">
        <f ca="1">INDIRECT(ADDRESS(ROW()-1,COLUMN()-1))+1</f>
        <v>64</v>
      </c>
      <c r="E16" s="7">
        <f ca="1">ROUNDDOWN(C16/32,0)</f>
        <v>2</v>
      </c>
      <c r="F16" s="7">
        <f ca="1">C16-E16*32</f>
        <v>23</v>
      </c>
      <c r="G16" s="7">
        <f ca="1">D16-E16*32</f>
        <v>0</v>
      </c>
      <c r="H16" s="7" t="s">
        <v>10</v>
      </c>
      <c r="I16" s="22" t="str">
        <f ca="1">CONCATENATE(INDIRECT("template!I15"))</f>
        <v>unsigned number. Source blob C stride</v>
      </c>
      <c r="J16" s="100" t="s">
        <v>228</v>
      </c>
    </row>
    <row r="17" spans="1:10" s="1" customFormat="1" ht="16.5">
      <c r="A17" s="6" t="s">
        <v>206</v>
      </c>
      <c r="B17" s="7">
        <v>8</v>
      </c>
      <c r="C17" s="7">
        <f ca="1">D17+B17-1</f>
        <v>95</v>
      </c>
      <c r="D17" s="7">
        <f ca="1">INDIRECT(ADDRESS(ROW()-1,COLUMN()-1))+1</f>
        <v>88</v>
      </c>
      <c r="E17" s="7">
        <f ca="1">ROUNDDOWN(C17/32,0)</f>
        <v>2</v>
      </c>
      <c r="F17" s="7">
        <f ca="1">C17-E17*32</f>
        <v>31</v>
      </c>
      <c r="G17" s="7">
        <f ca="1">D17-E17*32</f>
        <v>24</v>
      </c>
      <c r="H17" s="7" t="s">
        <v>246</v>
      </c>
      <c r="I17" s="22" t="str">
        <f ca="1">CONCATENATE(INDIRECT("template!I16"))</f>
        <v>unsigned number; Source blob H stride</v>
      </c>
      <c r="J17" s="100" t="s">
        <v>228</v>
      </c>
    </row>
    <row r="18" spans="1:10" ht="16.5">
      <c r="A18" s="27" t="s">
        <v>147</v>
      </c>
      <c r="B18" s="7">
        <v>32</v>
      </c>
      <c r="C18" s="7">
        <f t="shared" ca="1" si="5"/>
        <v>127</v>
      </c>
      <c r="D18" s="7">
        <f t="shared" ca="1" si="6"/>
        <v>96</v>
      </c>
      <c r="E18" s="7">
        <f t="shared" ca="1" si="7"/>
        <v>3</v>
      </c>
      <c r="F18" s="7">
        <f t="shared" ca="1" si="8"/>
        <v>31</v>
      </c>
      <c r="G18" s="7">
        <f t="shared" ca="1" si="9"/>
        <v>0</v>
      </c>
      <c r="H18" s="7" t="s">
        <v>10</v>
      </c>
      <c r="I18" s="22" t="e">
        <f ca="1">CONCATENATE(INDIRECT("DMA_nonzero!I23"))</f>
        <v>#REF!</v>
      </c>
      <c r="J18" s="100" t="s">
        <v>228</v>
      </c>
    </row>
    <row r="19" spans="1:10" ht="16.5">
      <c r="A19" s="6" t="s">
        <v>84</v>
      </c>
      <c r="B19" s="7">
        <v>16</v>
      </c>
      <c r="C19" s="7">
        <f t="shared" ca="1" si="5"/>
        <v>143</v>
      </c>
      <c r="D19" s="7">
        <f t="shared" ca="1" si="6"/>
        <v>128</v>
      </c>
      <c r="E19" s="7">
        <f t="shared" ca="1" si="7"/>
        <v>4</v>
      </c>
      <c r="F19" s="7">
        <f t="shared" ca="1" si="8"/>
        <v>15</v>
      </c>
      <c r="G19" s="7">
        <f t="shared" ca="1" si="9"/>
        <v>0</v>
      </c>
      <c r="H19" s="7" t="s">
        <v>10</v>
      </c>
      <c r="I19" s="22" t="str">
        <f ca="1">INDIRECT("template!I26")</f>
        <v>Destination blob H</v>
      </c>
      <c r="J19" s="100" t="s">
        <v>228</v>
      </c>
    </row>
    <row r="20" spans="1:10" ht="16.5">
      <c r="A20" s="6" t="s">
        <v>87</v>
      </c>
      <c r="B20" s="7">
        <v>16</v>
      </c>
      <c r="C20" s="7">
        <f t="shared" ca="1" si="5"/>
        <v>159</v>
      </c>
      <c r="D20" s="7">
        <f t="shared" ca="1" si="6"/>
        <v>144</v>
      </c>
      <c r="E20" s="7">
        <f t="shared" ca="1" si="7"/>
        <v>4</v>
      </c>
      <c r="F20" s="7">
        <f t="shared" ca="1" si="8"/>
        <v>31</v>
      </c>
      <c r="G20" s="7">
        <f t="shared" ca="1" si="9"/>
        <v>16</v>
      </c>
      <c r="H20" s="7" t="s">
        <v>10</v>
      </c>
      <c r="I20" s="22" t="str">
        <f ca="1">INDIRECT("template!I27")</f>
        <v xml:space="preserve">Destination blob W </v>
      </c>
      <c r="J20" s="100" t="s">
        <v>228</v>
      </c>
    </row>
    <row r="21" spans="1:10" ht="15.95" customHeight="1">
      <c r="A21" s="6" t="s">
        <v>89</v>
      </c>
      <c r="B21" s="7">
        <v>16</v>
      </c>
      <c r="C21" s="7">
        <f t="shared" ca="1" si="5"/>
        <v>175</v>
      </c>
      <c r="D21" s="7">
        <f t="shared" ca="1" si="6"/>
        <v>160</v>
      </c>
      <c r="E21" s="7">
        <f t="shared" ca="1" si="7"/>
        <v>5</v>
      </c>
      <c r="F21" s="7">
        <f t="shared" ca="1" si="8"/>
        <v>15</v>
      </c>
      <c r="G21" s="7">
        <f t="shared" ca="1" si="9"/>
        <v>0</v>
      </c>
      <c r="H21" s="7" t="s">
        <v>10</v>
      </c>
      <c r="I21" s="22" t="str">
        <f ca="1">INDIRECT("template!I28")</f>
        <v>source blob start address[31:0]</v>
      </c>
      <c r="J21" s="100" t="s">
        <v>228</v>
      </c>
    </row>
    <row r="22" spans="1:10" ht="16.5">
      <c r="A22" s="6" t="s">
        <v>91</v>
      </c>
      <c r="B22" s="7">
        <v>16</v>
      </c>
      <c r="C22" s="7">
        <f t="shared" ca="1" si="5"/>
        <v>191</v>
      </c>
      <c r="D22" s="7">
        <f t="shared" ca="1" si="6"/>
        <v>176</v>
      </c>
      <c r="E22" s="7">
        <f t="shared" ca="1" si="7"/>
        <v>5</v>
      </c>
      <c r="F22" s="7">
        <f t="shared" ca="1" si="8"/>
        <v>31</v>
      </c>
      <c r="G22" s="7">
        <f t="shared" ca="1" si="9"/>
        <v>16</v>
      </c>
      <c r="H22" s="7" t="s">
        <v>10</v>
      </c>
      <c r="I22" s="22" t="str">
        <f ca="1">INDIRECT("template!I29")</f>
        <v>destination blob start address[31:0]</v>
      </c>
      <c r="J22" s="100" t="s">
        <v>228</v>
      </c>
    </row>
    <row r="23" spans="1:10" s="1" customFormat="1" ht="16.5">
      <c r="A23" s="6" t="s">
        <v>247</v>
      </c>
      <c r="B23" s="7">
        <v>32</v>
      </c>
      <c r="C23" s="7">
        <f t="shared" ca="1" si="5"/>
        <v>223</v>
      </c>
      <c r="D23" s="7">
        <f t="shared" ca="1" si="6"/>
        <v>192</v>
      </c>
      <c r="E23" s="7">
        <f t="shared" ca="1" si="7"/>
        <v>6</v>
      </c>
      <c r="F23" s="7">
        <f t="shared" ca="1" si="8"/>
        <v>31</v>
      </c>
      <c r="G23" s="7">
        <f t="shared" ca="1" si="9"/>
        <v>0</v>
      </c>
      <c r="H23" s="7" t="s">
        <v>10</v>
      </c>
      <c r="I23" s="22">
        <f ca="1">INDIRECT("template!I34")</f>
        <v>0</v>
      </c>
      <c r="J23" s="102" t="s">
        <v>228</v>
      </c>
    </row>
    <row r="24" spans="1:10" s="1" customFormat="1" ht="16.5">
      <c r="A24" s="6" t="s">
        <v>248</v>
      </c>
      <c r="B24" s="7">
        <v>8</v>
      </c>
      <c r="C24" s="7">
        <f ca="1">D24+B24-1</f>
        <v>231</v>
      </c>
      <c r="D24" s="7">
        <f t="shared" ca="1" si="6"/>
        <v>224</v>
      </c>
      <c r="E24" s="7">
        <f ca="1">ROUNDDOWN(C24/32,0)</f>
        <v>7</v>
      </c>
      <c r="F24" s="7">
        <f ca="1">C24-E24*32</f>
        <v>7</v>
      </c>
      <c r="G24" s="7">
        <f ca="1">D24-E24*32</f>
        <v>0</v>
      </c>
      <c r="H24" s="7" t="s">
        <v>10</v>
      </c>
      <c r="I24" s="22">
        <f ca="1">INDIRECT("template!I35")</f>
        <v>0</v>
      </c>
      <c r="J24" s="102" t="s">
        <v>228</v>
      </c>
    </row>
    <row r="25" spans="1:10" s="1" customFormat="1" ht="16.5">
      <c r="A25" s="6" t="s">
        <v>206</v>
      </c>
      <c r="B25" s="7">
        <v>24</v>
      </c>
      <c r="C25" s="7">
        <f ca="1">D25+B25-1</f>
        <v>255</v>
      </c>
      <c r="D25" s="7">
        <f t="shared" ca="1" si="6"/>
        <v>232</v>
      </c>
      <c r="E25" s="7">
        <f ca="1">ROUNDDOWN(C25/32,0)</f>
        <v>7</v>
      </c>
      <c r="F25" s="7">
        <f ca="1">C25-E25*32</f>
        <v>31</v>
      </c>
      <c r="G25" s="7">
        <f ca="1">D25-E25*32</f>
        <v>8</v>
      </c>
      <c r="H25" s="7" t="s">
        <v>246</v>
      </c>
      <c r="I25" s="22">
        <f ca="1">INDIRECT("template!I36")</f>
        <v>0</v>
      </c>
      <c r="J25" s="101">
        <v>0</v>
      </c>
    </row>
    <row r="26" spans="1:10" s="1" customFormat="1" ht="16.5">
      <c r="A26" s="6" t="s">
        <v>249</v>
      </c>
      <c r="B26" s="7">
        <v>32</v>
      </c>
      <c r="C26" s="7">
        <f t="shared" ca="1" si="5"/>
        <v>287</v>
      </c>
      <c r="D26" s="7">
        <f t="shared" ca="1" si="6"/>
        <v>256</v>
      </c>
      <c r="E26" s="7">
        <f t="shared" ca="1" si="7"/>
        <v>8</v>
      </c>
      <c r="F26" s="7">
        <f t="shared" ca="1" si="8"/>
        <v>31</v>
      </c>
      <c r="G26" s="7">
        <f t="shared" ca="1" si="9"/>
        <v>0</v>
      </c>
      <c r="H26" s="7" t="s">
        <v>10</v>
      </c>
      <c r="I26" s="22">
        <f ca="1">INDIRECT("template!I37")</f>
        <v>0</v>
      </c>
      <c r="J26" s="100" t="s">
        <v>228</v>
      </c>
    </row>
    <row r="27" spans="1:10" s="1" customFormat="1" ht="16.5">
      <c r="A27" s="6" t="s">
        <v>250</v>
      </c>
      <c r="B27" s="7">
        <v>8</v>
      </c>
      <c r="C27" s="7">
        <f ca="1">D27+B27-1</f>
        <v>295</v>
      </c>
      <c r="D27" s="7">
        <f t="shared" ca="1" si="6"/>
        <v>288</v>
      </c>
      <c r="E27" s="7">
        <f ca="1">ROUNDDOWN(C27/32,0)</f>
        <v>9</v>
      </c>
      <c r="F27" s="7">
        <f ca="1">C27-E27*32</f>
        <v>7</v>
      </c>
      <c r="G27" s="7">
        <f ca="1">D27-E27*32</f>
        <v>0</v>
      </c>
      <c r="H27" s="7" t="s">
        <v>10</v>
      </c>
      <c r="I27" s="22">
        <f ca="1">INDIRECT("template!I38")</f>
        <v>0</v>
      </c>
      <c r="J27" s="100" t="s">
        <v>228</v>
      </c>
    </row>
    <row r="28" spans="1:10" s="1" customFormat="1" ht="16.5">
      <c r="A28" s="6" t="s">
        <v>206</v>
      </c>
      <c r="B28" s="7">
        <v>24</v>
      </c>
      <c r="C28" s="7">
        <f ca="1">D28+B28-1</f>
        <v>319</v>
      </c>
      <c r="D28" s="7">
        <f t="shared" ca="1" si="6"/>
        <v>296</v>
      </c>
      <c r="E28" s="7">
        <f ca="1">ROUNDDOWN(C28/32,0)</f>
        <v>9</v>
      </c>
      <c r="F28" s="7">
        <f ca="1">C28-E28*32</f>
        <v>31</v>
      </c>
      <c r="G28" s="7">
        <f ca="1">D28-E28*32</f>
        <v>8</v>
      </c>
      <c r="H28" s="7" t="s">
        <v>246</v>
      </c>
      <c r="I28" s="22">
        <f ca="1">INDIRECT("template!I36")</f>
        <v>0</v>
      </c>
      <c r="J28" s="101">
        <v>0</v>
      </c>
    </row>
    <row r="29" spans="1:10" s="1" customFormat="1" ht="16.5">
      <c r="A29" s="6" t="s">
        <v>206</v>
      </c>
      <c r="B29" s="7">
        <v>32</v>
      </c>
      <c r="C29" s="7">
        <f ca="1">D29+B29-1</f>
        <v>351</v>
      </c>
      <c r="D29" s="7">
        <f t="shared" ca="1" si="6"/>
        <v>320</v>
      </c>
      <c r="E29" s="7">
        <f ca="1">ROUNDDOWN(C29/32,0)</f>
        <v>10</v>
      </c>
      <c r="F29" s="7">
        <f ca="1">C29-E29*32</f>
        <v>31</v>
      </c>
      <c r="G29" s="7">
        <f ca="1">D29-E29*32</f>
        <v>0</v>
      </c>
      <c r="H29" s="7" t="s">
        <v>246</v>
      </c>
      <c r="I29" s="22">
        <f ca="1">INDIRECT("template!I36")</f>
        <v>0</v>
      </c>
      <c r="J29" s="101">
        <v>0</v>
      </c>
    </row>
    <row r="30" spans="1:10" s="1" customFormat="1" ht="16.5">
      <c r="A30" s="6" t="s">
        <v>206</v>
      </c>
      <c r="B30" s="7">
        <v>32</v>
      </c>
      <c r="C30" s="7">
        <f ca="1">D30+B30-1</f>
        <v>383</v>
      </c>
      <c r="D30" s="7">
        <f t="shared" ca="1" si="6"/>
        <v>352</v>
      </c>
      <c r="E30" s="7">
        <f ca="1">ROUNDDOWN(C30/32,0)</f>
        <v>11</v>
      </c>
      <c r="F30" s="7">
        <f ca="1">C30-E30*32</f>
        <v>31</v>
      </c>
      <c r="G30" s="7">
        <f ca="1">D30-E30*32</f>
        <v>0</v>
      </c>
      <c r="H30" s="7" t="s">
        <v>246</v>
      </c>
      <c r="I30" s="22">
        <f ca="1">INDIRECT("template!I39")</f>
        <v>0</v>
      </c>
      <c r="J30" s="101">
        <v>0</v>
      </c>
    </row>
    <row r="31" spans="1:10">
      <c r="A31" s="28" t="s">
        <v>144</v>
      </c>
      <c r="B31" s="29"/>
      <c r="C31" s="29"/>
      <c r="D31" s="29"/>
      <c r="E31" s="29"/>
      <c r="F31" s="29"/>
      <c r="G31" s="29"/>
      <c r="H31" s="1"/>
      <c r="I31" s="31"/>
    </row>
    <row r="32" spans="1:10" s="1" customFormat="1">
      <c r="A32" s="28" t="s">
        <v>123</v>
      </c>
      <c r="B32" s="29"/>
      <c r="C32" s="29"/>
      <c r="D32" s="29"/>
      <c r="E32" s="29"/>
      <c r="F32" s="29"/>
      <c r="G32" s="29"/>
      <c r="I32" s="31"/>
    </row>
    <row r="33" spans="1:9" s="1" customFormat="1">
      <c r="A33" s="28" t="s">
        <v>124</v>
      </c>
      <c r="B33" s="29"/>
      <c r="C33" s="29"/>
      <c r="D33" s="29"/>
      <c r="E33" s="29"/>
      <c r="F33" s="29"/>
      <c r="G33" s="29"/>
      <c r="I33" s="31"/>
    </row>
    <row r="34" spans="1:9" s="1" customFormat="1">
      <c r="A34" s="28" t="s">
        <v>125</v>
      </c>
      <c r="B34" s="29"/>
      <c r="C34" s="29"/>
      <c r="D34" s="29"/>
      <c r="E34" s="29"/>
      <c r="F34" s="29"/>
      <c r="G34" s="29"/>
      <c r="I34" s="31"/>
    </row>
    <row r="35" spans="1:9" s="1" customFormat="1">
      <c r="A35" s="28" t="s">
        <v>126</v>
      </c>
      <c r="B35" s="29"/>
      <c r="C35" s="29"/>
      <c r="D35" s="29"/>
      <c r="E35" s="29"/>
      <c r="F35" s="29"/>
      <c r="G35" s="29"/>
      <c r="I35" s="31"/>
    </row>
  </sheetData>
  <phoneticPr fontId="2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6"/>
  <sheetViews>
    <sheetView zoomScale="115" zoomScaleNormal="115" workbookViewId="0">
      <pane ySplit="1" topLeftCell="A14" activePane="bottomLeft" state="frozen"/>
      <selection pane="bottomLeft" activeCell="A26" sqref="A26:XFD2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49.5">
      <c r="A3" s="6" t="s">
        <v>31</v>
      </c>
      <c r="B3" s="7">
        <v>1</v>
      </c>
      <c r="C3" s="7">
        <f t="shared" ref="C3:C9" ca="1" si="0">D3+B3-1</f>
        <v>1</v>
      </c>
      <c r="D3" s="7">
        <f t="shared" ref="D3:D7" ca="1" si="1">INDIRECT(ADDRESS(ROW()-1,COLUMN()-1))+1</f>
        <v>1</v>
      </c>
      <c r="E3" s="7">
        <f t="shared" ref="E3:E9" ca="1" si="2">ROUNDDOWN(C3/32,0)</f>
        <v>0</v>
      </c>
      <c r="F3" s="7">
        <f t="shared" ref="F3:F9" ca="1" si="3">C3-E3*32</f>
        <v>1</v>
      </c>
      <c r="G3" s="7">
        <f ca="1">D3-E3*32</f>
        <v>1</v>
      </c>
      <c r="H3" s="7" t="s">
        <v>10</v>
      </c>
      <c r="I3" s="22" t="str">
        <f ca="1">CONCATENATE(INDIRECT("template!I3"))</f>
        <v>Stride enable
0：No stride for all blob definition
1：Enable stride for all blob definition</v>
      </c>
      <c r="J3" s="100" t="s">
        <v>228</v>
      </c>
      <c r="L3" s="98" t="s">
        <v>226</v>
      </c>
    </row>
    <row r="4" spans="1:12" ht="49.5">
      <c r="A4" s="222" t="s">
        <v>2378</v>
      </c>
      <c r="B4" s="7">
        <v>1</v>
      </c>
      <c r="C4" s="7">
        <f t="shared" ca="1" si="0"/>
        <v>2</v>
      </c>
      <c r="D4" s="7">
        <f t="shared" ca="1" si="1"/>
        <v>2</v>
      </c>
      <c r="E4" s="7">
        <f t="shared" ca="1" si="2"/>
        <v>0</v>
      </c>
      <c r="F4" s="7">
        <f t="shared" ca="1" si="3"/>
        <v>2</v>
      </c>
      <c r="G4" s="7">
        <f t="shared" ref="G4:G9" ca="1" si="4">D4-E4*32</f>
        <v>2</v>
      </c>
      <c r="H4" s="7" t="s">
        <v>10</v>
      </c>
      <c r="I4" s="22" t="str">
        <f ca="1">CONCATENATE(INDIRECT("template!I4"))</f>
        <v>NCHW copy bit (need tie1)
0: use separate src and dst NCHW value setting
1: reuse src NCHW value for dst NCHW value</v>
      </c>
      <c r="J4" s="100" t="s">
        <v>228</v>
      </c>
      <c r="L4" s="104" t="s">
        <v>329</v>
      </c>
    </row>
    <row r="5" spans="1:12" ht="16.5">
      <c r="A5" s="6" t="s">
        <v>1012</v>
      </c>
      <c r="B5" s="7">
        <v>1</v>
      </c>
      <c r="C5" s="7">
        <f t="shared" ca="1" si="0"/>
        <v>3</v>
      </c>
      <c r="D5" s="7">
        <f ca="1">INDIRECT(ADDRESS(ROW()-1,COLUMN()-1))+1</f>
        <v>3</v>
      </c>
      <c r="E5" s="7">
        <f t="shared" ca="1" si="2"/>
        <v>0</v>
      </c>
      <c r="F5" s="7">
        <f t="shared" ca="1" si="3"/>
        <v>3</v>
      </c>
      <c r="G5" s="7">
        <f t="shared" ca="1" si="4"/>
        <v>3</v>
      </c>
      <c r="H5" s="7" t="s">
        <v>251</v>
      </c>
      <c r="I5" s="22" t="s">
        <v>1013</v>
      </c>
      <c r="J5" s="100" t="s">
        <v>228</v>
      </c>
    </row>
    <row r="6" spans="1:12" customFormat="1" ht="231">
      <c r="A6" s="6" t="s">
        <v>128</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33">
      <c r="A7" s="27" t="s">
        <v>129</v>
      </c>
      <c r="B7" s="7">
        <v>3</v>
      </c>
      <c r="C7" s="7">
        <f t="shared" ca="1" si="0"/>
        <v>10</v>
      </c>
      <c r="D7" s="7">
        <f t="shared" ca="1" si="1"/>
        <v>8</v>
      </c>
      <c r="E7" s="7">
        <f t="shared" ca="1" si="2"/>
        <v>0</v>
      </c>
      <c r="F7" s="7">
        <f t="shared" ca="1" si="3"/>
        <v>10</v>
      </c>
      <c r="G7" s="7">
        <f t="shared" ca="1" si="4"/>
        <v>8</v>
      </c>
      <c r="H7" s="7" t="s">
        <v>10</v>
      </c>
      <c r="I7" s="22" t="s">
        <v>420</v>
      </c>
      <c r="J7" s="100" t="s">
        <v>228</v>
      </c>
    </row>
    <row r="8" spans="1:12" ht="16.5">
      <c r="A8" s="6" t="s">
        <v>206</v>
      </c>
      <c r="B8" s="7">
        <v>1</v>
      </c>
      <c r="C8" s="7">
        <f ca="1">D8+B8-1</f>
        <v>11</v>
      </c>
      <c r="D8" s="7">
        <f ca="1">INDIRECT(ADDRESS(ROW()-1,COLUMN()-1))+1</f>
        <v>11</v>
      </c>
      <c r="E8" s="7">
        <f ca="1">ROUNDDOWN(C8/32,0)</f>
        <v>0</v>
      </c>
      <c r="F8" s="7">
        <f ca="1">C8-E8*32</f>
        <v>11</v>
      </c>
      <c r="G8" s="7">
        <f ca="1">D8-E8*32</f>
        <v>11</v>
      </c>
      <c r="H8" s="7" t="s">
        <v>15</v>
      </c>
      <c r="I8" s="22" t="s">
        <v>206</v>
      </c>
      <c r="J8" s="100" t="s">
        <v>228</v>
      </c>
    </row>
    <row r="9" spans="1:12" s="204" customFormat="1" ht="148.5">
      <c r="A9" s="6" t="s">
        <v>55</v>
      </c>
      <c r="B9" s="217">
        <v>4</v>
      </c>
      <c r="C9" s="217">
        <f t="shared" ca="1" si="0"/>
        <v>15</v>
      </c>
      <c r="D9" s="217">
        <f t="shared" ref="D9:D31" ca="1" si="5">INDIRECT(ADDRESS(ROW()-1,COLUMN()-1))+1</f>
        <v>12</v>
      </c>
      <c r="E9" s="217">
        <f t="shared" ca="1" si="2"/>
        <v>0</v>
      </c>
      <c r="F9" s="217">
        <f t="shared" ca="1" si="3"/>
        <v>15</v>
      </c>
      <c r="G9" s="217">
        <f t="shared" ca="1" si="4"/>
        <v>12</v>
      </c>
      <c r="H9" s="217" t="s">
        <v>10</v>
      </c>
      <c r="I9" s="218" t="str">
        <f ca="1">CONCATENATE(INDIRECT("template!I9"))</f>
        <v>Source Data Format
0:INT8
1:FP16
2:FP32
3:INT16
4:INT32
5:BFP16
6:FP20
others：not support</v>
      </c>
      <c r="J9" s="203" t="s">
        <v>228</v>
      </c>
    </row>
    <row r="10" spans="1:12" ht="49.5">
      <c r="A10" s="6" t="s">
        <v>563</v>
      </c>
      <c r="B10" s="7">
        <v>13</v>
      </c>
      <c r="C10" s="7">
        <f ca="1">D10+B10-1</f>
        <v>28</v>
      </c>
      <c r="D10" s="7">
        <f t="shared" ca="1" si="5"/>
        <v>16</v>
      </c>
      <c r="E10" s="7">
        <f ca="1">ROUNDDOWN(C10/32,0)</f>
        <v>0</v>
      </c>
      <c r="F10" s="7">
        <f ca="1">C10-E10*32</f>
        <v>28</v>
      </c>
      <c r="G10" s="7">
        <f ca="1">D10-E10*32</f>
        <v>16</v>
      </c>
      <c r="H10" s="7" t="s">
        <v>10</v>
      </c>
      <c r="I10" s="22" t="s">
        <v>2389</v>
      </c>
      <c r="J10" s="102" t="s">
        <v>229</v>
      </c>
    </row>
    <row r="11" spans="1:12" s="204" customFormat="1" ht="49.5">
      <c r="A11" s="6" t="s">
        <v>551</v>
      </c>
      <c r="B11" s="217">
        <v>3</v>
      </c>
      <c r="C11" s="217">
        <f ca="1">D11+B11-1</f>
        <v>31</v>
      </c>
      <c r="D11" s="217">
        <f ca="1">INDIRECT(ADDRESS(ROW()-1,COLUMN()-1))+1</f>
        <v>29</v>
      </c>
      <c r="E11" s="217">
        <f t="shared" ref="E11" ca="1" si="6">ROUNDDOWN(C11/32,0)</f>
        <v>0</v>
      </c>
      <c r="F11" s="217">
        <f t="shared" ref="F11" ca="1" si="7">C11-E11*32</f>
        <v>31</v>
      </c>
      <c r="G11" s="217">
        <f ca="1">D11-E11*32</f>
        <v>29</v>
      </c>
      <c r="H11" s="217" t="s">
        <v>251</v>
      </c>
      <c r="I11" s="218" t="s">
        <v>555</v>
      </c>
      <c r="J11" s="227" t="s">
        <v>228</v>
      </c>
    </row>
    <row r="12" spans="1:12" ht="16.5">
      <c r="A12" s="6" t="s">
        <v>561</v>
      </c>
      <c r="B12" s="7">
        <v>13</v>
      </c>
      <c r="C12" s="7">
        <f ca="1">D12+B12-1</f>
        <v>44</v>
      </c>
      <c r="D12" s="7">
        <f t="shared" ca="1" si="5"/>
        <v>32</v>
      </c>
      <c r="E12" s="7">
        <f ca="1">ROUNDDOWN(C12/32,0)</f>
        <v>1</v>
      </c>
      <c r="F12" s="7">
        <f ca="1">C12-E12*32</f>
        <v>12</v>
      </c>
      <c r="G12" s="7">
        <f ca="1">D12-E12*32</f>
        <v>0</v>
      </c>
      <c r="H12" s="7" t="s">
        <v>10</v>
      </c>
      <c r="I12" s="22" t="str">
        <f ca="1">CONCATENATE(INDIRECT("template!I13"))</f>
        <v>reserved</v>
      </c>
      <c r="J12" s="102" t="s">
        <v>556</v>
      </c>
    </row>
    <row r="13" spans="1:12" s="204" customFormat="1" ht="99">
      <c r="A13" s="6" t="s">
        <v>553</v>
      </c>
      <c r="B13" s="217">
        <v>3</v>
      </c>
      <c r="C13" s="217">
        <f ca="1">D13+B13-1</f>
        <v>47</v>
      </c>
      <c r="D13" s="217">
        <f ca="1">INDIRECT(ADDRESS(ROW()-1,COLUMN()-1))+1</f>
        <v>45</v>
      </c>
      <c r="E13" s="217">
        <f ca="1">ROUNDDOWN(C13/32,0)</f>
        <v>1</v>
      </c>
      <c r="F13" s="217">
        <f ca="1">C13-E13*32</f>
        <v>15</v>
      </c>
      <c r="G13" s="217">
        <f ca="1">D13-E13*32</f>
        <v>13</v>
      </c>
      <c r="H13" s="217" t="s">
        <v>10</v>
      </c>
      <c r="I13" s="220" t="s">
        <v>1591</v>
      </c>
      <c r="J13" s="205" t="s">
        <v>228</v>
      </c>
    </row>
    <row r="14" spans="1:12" ht="16.5">
      <c r="A14" s="221" t="s">
        <v>206</v>
      </c>
      <c r="B14" s="7">
        <v>16</v>
      </c>
      <c r="C14" s="7">
        <f ca="1">D14+B14-1</f>
        <v>63</v>
      </c>
      <c r="D14" s="7">
        <f t="shared" ca="1" si="5"/>
        <v>48</v>
      </c>
      <c r="E14" s="7">
        <f ca="1">ROUNDDOWN(C14/32,0)</f>
        <v>1</v>
      </c>
      <c r="F14" s="7">
        <f ca="1">C14-E14*32</f>
        <v>31</v>
      </c>
      <c r="G14" s="7">
        <f ca="1">D14-E14*32</f>
        <v>16</v>
      </c>
      <c r="H14" s="7" t="s">
        <v>15</v>
      </c>
      <c r="I14" s="22" t="s">
        <v>206</v>
      </c>
      <c r="J14" s="101">
        <v>0</v>
      </c>
    </row>
    <row r="15" spans="1:12" ht="45">
      <c r="A15" s="6" t="s">
        <v>549</v>
      </c>
      <c r="B15" s="7">
        <v>32</v>
      </c>
      <c r="C15" s="7">
        <f t="shared" ref="C15:C31" ca="1" si="8">D15+B15-1</f>
        <v>95</v>
      </c>
      <c r="D15" s="7">
        <f t="shared" ca="1" si="5"/>
        <v>64</v>
      </c>
      <c r="E15" s="7">
        <f t="shared" ref="E15:E31" ca="1" si="9">ROUNDDOWN(C15/32,0)</f>
        <v>2</v>
      </c>
      <c r="F15" s="7">
        <f t="shared" ref="F15:F31" ca="1" si="10">C15-E15*32</f>
        <v>31</v>
      </c>
      <c r="G15" s="7">
        <f t="shared" ref="G15:G31" ca="1" si="11">D15-E15*32</f>
        <v>0</v>
      </c>
      <c r="H15" s="7" t="s">
        <v>10</v>
      </c>
      <c r="I15" s="22" t="s">
        <v>550</v>
      </c>
      <c r="J15" s="102" t="s">
        <v>421</v>
      </c>
    </row>
    <row r="16" spans="1:12" ht="45">
      <c r="A16" s="6" t="s">
        <v>71</v>
      </c>
      <c r="B16" s="7">
        <v>32</v>
      </c>
      <c r="C16" s="7">
        <f t="shared" ca="1" si="8"/>
        <v>127</v>
      </c>
      <c r="D16" s="7">
        <f t="shared" ca="1" si="5"/>
        <v>96</v>
      </c>
      <c r="E16" s="7">
        <f t="shared" ca="1" si="9"/>
        <v>3</v>
      </c>
      <c r="F16" s="7">
        <f t="shared" ca="1" si="10"/>
        <v>31</v>
      </c>
      <c r="G16" s="7">
        <f t="shared" ca="1" si="11"/>
        <v>0</v>
      </c>
      <c r="H16" s="7" t="s">
        <v>10</v>
      </c>
      <c r="I16" s="22" t="s">
        <v>2354</v>
      </c>
      <c r="J16" s="102" t="s">
        <v>421</v>
      </c>
    </row>
    <row r="17" spans="1:10" ht="45">
      <c r="A17" s="6" t="s">
        <v>73</v>
      </c>
      <c r="B17" s="7">
        <v>32</v>
      </c>
      <c r="C17" s="7">
        <f t="shared" ca="1" si="8"/>
        <v>159</v>
      </c>
      <c r="D17" s="7">
        <f t="shared" ca="1" si="5"/>
        <v>128</v>
      </c>
      <c r="E17" s="7">
        <f t="shared" ca="1" si="9"/>
        <v>4</v>
      </c>
      <c r="F17" s="7">
        <f t="shared" ca="1" si="10"/>
        <v>31</v>
      </c>
      <c r="G17" s="7">
        <f t="shared" ca="1" si="11"/>
        <v>0</v>
      </c>
      <c r="H17" s="7" t="s">
        <v>10</v>
      </c>
      <c r="I17" s="22" t="s">
        <v>2352</v>
      </c>
      <c r="J17" s="102" t="s">
        <v>421</v>
      </c>
    </row>
    <row r="18" spans="1:10" ht="30">
      <c r="A18" s="6" t="s">
        <v>77</v>
      </c>
      <c r="B18" s="7">
        <v>32</v>
      </c>
      <c r="C18" s="7">
        <f t="shared" ca="1" si="8"/>
        <v>191</v>
      </c>
      <c r="D18" s="7">
        <f t="shared" ca="1" si="5"/>
        <v>160</v>
      </c>
      <c r="E18" s="7">
        <f t="shared" ca="1" si="9"/>
        <v>5</v>
      </c>
      <c r="F18" s="7">
        <f t="shared" ca="1" si="10"/>
        <v>31</v>
      </c>
      <c r="G18" s="7">
        <f t="shared" ca="1" si="11"/>
        <v>0</v>
      </c>
      <c r="H18" s="7" t="s">
        <v>10</v>
      </c>
      <c r="I18" s="22" t="s">
        <v>409</v>
      </c>
      <c r="J18" s="102" t="s">
        <v>422</v>
      </c>
    </row>
    <row r="19" spans="1:10" ht="30">
      <c r="A19" s="6" t="s">
        <v>78</v>
      </c>
      <c r="B19" s="7">
        <v>32</v>
      </c>
      <c r="C19" s="7">
        <f t="shared" ca="1" si="8"/>
        <v>223</v>
      </c>
      <c r="D19" s="7">
        <f t="shared" ca="1" si="5"/>
        <v>192</v>
      </c>
      <c r="E19" s="7">
        <f t="shared" ca="1" si="9"/>
        <v>6</v>
      </c>
      <c r="F19" s="7">
        <f t="shared" ca="1" si="10"/>
        <v>31</v>
      </c>
      <c r="G19" s="7">
        <f t="shared" ca="1" si="11"/>
        <v>0</v>
      </c>
      <c r="H19" s="7" t="s">
        <v>10</v>
      </c>
      <c r="I19" s="22" t="s">
        <v>132</v>
      </c>
      <c r="J19" s="102" t="s">
        <v>422</v>
      </c>
    </row>
    <row r="20" spans="1:10" ht="30">
      <c r="A20" s="6" t="s">
        <v>80</v>
      </c>
      <c r="B20" s="7">
        <v>32</v>
      </c>
      <c r="C20" s="7">
        <f t="shared" ca="1" si="8"/>
        <v>255</v>
      </c>
      <c r="D20" s="7">
        <f t="shared" ca="1" si="5"/>
        <v>224</v>
      </c>
      <c r="E20" s="7">
        <f t="shared" ca="1" si="9"/>
        <v>7</v>
      </c>
      <c r="F20" s="7">
        <f t="shared" ca="1" si="10"/>
        <v>31</v>
      </c>
      <c r="G20" s="7">
        <f t="shared" ca="1" si="11"/>
        <v>0</v>
      </c>
      <c r="H20" s="7" t="s">
        <v>10</v>
      </c>
      <c r="I20" s="22" t="s">
        <v>133</v>
      </c>
      <c r="J20" s="102" t="s">
        <v>422</v>
      </c>
    </row>
    <row r="21" spans="1:10" ht="30">
      <c r="A21" s="6" t="s">
        <v>84</v>
      </c>
      <c r="B21" s="7">
        <v>16</v>
      </c>
      <c r="C21" s="7">
        <f t="shared" ca="1" si="8"/>
        <v>271</v>
      </c>
      <c r="D21" s="7">
        <f t="shared" ca="1" si="5"/>
        <v>256</v>
      </c>
      <c r="E21" s="7">
        <f t="shared" ca="1" si="9"/>
        <v>8</v>
      </c>
      <c r="F21" s="7">
        <f t="shared" ca="1" si="10"/>
        <v>15</v>
      </c>
      <c r="G21" s="7">
        <f t="shared" ca="1" si="11"/>
        <v>0</v>
      </c>
      <c r="H21" s="7" t="s">
        <v>10</v>
      </c>
      <c r="I21" s="22" t="s">
        <v>134</v>
      </c>
      <c r="J21" s="102" t="s">
        <v>229</v>
      </c>
    </row>
    <row r="22" spans="1:10" ht="30">
      <c r="A22" s="6" t="s">
        <v>87</v>
      </c>
      <c r="B22" s="7">
        <v>16</v>
      </c>
      <c r="C22" s="7">
        <f t="shared" ca="1" si="8"/>
        <v>287</v>
      </c>
      <c r="D22" s="7">
        <f t="shared" ca="1" si="5"/>
        <v>272</v>
      </c>
      <c r="E22" s="7">
        <f t="shared" ca="1" si="9"/>
        <v>8</v>
      </c>
      <c r="F22" s="7">
        <f t="shared" ca="1" si="10"/>
        <v>31</v>
      </c>
      <c r="G22" s="7">
        <f t="shared" ca="1" si="11"/>
        <v>16</v>
      </c>
      <c r="H22" s="7" t="s">
        <v>10</v>
      </c>
      <c r="I22" s="22" t="s">
        <v>135</v>
      </c>
      <c r="J22" s="102" t="s">
        <v>229</v>
      </c>
    </row>
    <row r="23" spans="1:10" ht="30">
      <c r="A23" s="6" t="s">
        <v>89</v>
      </c>
      <c r="B23" s="7">
        <v>32</v>
      </c>
      <c r="C23" s="7">
        <f t="shared" ca="1" si="8"/>
        <v>319</v>
      </c>
      <c r="D23" s="7">
        <f t="shared" ca="1" si="5"/>
        <v>288</v>
      </c>
      <c r="E23" s="7">
        <f t="shared" ca="1" si="9"/>
        <v>9</v>
      </c>
      <c r="F23" s="7">
        <f t="shared" ca="1" si="10"/>
        <v>31</v>
      </c>
      <c r="G23" s="7">
        <f t="shared" ca="1" si="11"/>
        <v>0</v>
      </c>
      <c r="H23" s="7" t="s">
        <v>10</v>
      </c>
      <c r="I23" s="22" t="s">
        <v>136</v>
      </c>
      <c r="J23" s="102" t="s">
        <v>229</v>
      </c>
    </row>
    <row r="24" spans="1:10" ht="30">
      <c r="A24" s="6" t="s">
        <v>91</v>
      </c>
      <c r="B24" s="7">
        <v>32</v>
      </c>
      <c r="C24" s="7">
        <f t="shared" ca="1" si="8"/>
        <v>351</v>
      </c>
      <c r="D24" s="7">
        <f t="shared" ca="1" si="5"/>
        <v>320</v>
      </c>
      <c r="E24" s="7">
        <f t="shared" ca="1" si="9"/>
        <v>10</v>
      </c>
      <c r="F24" s="7">
        <f t="shared" ca="1" si="10"/>
        <v>31</v>
      </c>
      <c r="G24" s="7">
        <f t="shared" ca="1" si="11"/>
        <v>0</v>
      </c>
      <c r="H24" s="7" t="s">
        <v>10</v>
      </c>
      <c r="I24" s="22" t="s">
        <v>137</v>
      </c>
      <c r="J24" s="102" t="s">
        <v>229</v>
      </c>
    </row>
    <row r="25" spans="1:10" ht="16.5">
      <c r="A25" s="221" t="s">
        <v>2376</v>
      </c>
      <c r="B25" s="7">
        <v>10</v>
      </c>
      <c r="C25" s="7">
        <f t="shared" ref="C25:C26" ca="1" si="12">D25+B25-1</f>
        <v>361</v>
      </c>
      <c r="D25" s="7">
        <f t="shared" ca="1" si="5"/>
        <v>352</v>
      </c>
      <c r="E25" s="7">
        <f t="shared" ref="E25:E26" ca="1" si="13">ROUNDDOWN(C25/32,0)</f>
        <v>11</v>
      </c>
      <c r="F25" s="7">
        <f t="shared" ref="F25:F26" ca="1" si="14">C25-E25*32</f>
        <v>9</v>
      </c>
      <c r="G25" s="7">
        <f t="shared" ref="G25:G26" ca="1" si="15">D25-E25*32</f>
        <v>0</v>
      </c>
      <c r="H25" s="7" t="s">
        <v>10</v>
      </c>
      <c r="I25" s="22" t="s">
        <v>2388</v>
      </c>
      <c r="J25" s="102"/>
    </row>
    <row r="26" spans="1:10" ht="16.5">
      <c r="A26" s="6" t="s">
        <v>2387</v>
      </c>
      <c r="B26" s="7">
        <v>10</v>
      </c>
      <c r="C26" s="7">
        <f t="shared" ca="1" si="12"/>
        <v>371</v>
      </c>
      <c r="D26" s="7">
        <f t="shared" ca="1" si="5"/>
        <v>362</v>
      </c>
      <c r="E26" s="7">
        <f t="shared" ca="1" si="13"/>
        <v>11</v>
      </c>
      <c r="F26" s="7">
        <f t="shared" ca="1" si="14"/>
        <v>19</v>
      </c>
      <c r="G26" s="7">
        <f t="shared" ca="1" si="15"/>
        <v>10</v>
      </c>
      <c r="H26" s="7" t="s">
        <v>10</v>
      </c>
      <c r="I26" s="22" t="s">
        <v>2388</v>
      </c>
      <c r="J26" s="102"/>
    </row>
    <row r="27" spans="1:10" ht="16.5">
      <c r="A27" s="221" t="s">
        <v>206</v>
      </c>
      <c r="B27" s="7">
        <v>12</v>
      </c>
      <c r="C27" s="7">
        <f ca="1">D27+B27-1</f>
        <v>383</v>
      </c>
      <c r="D27" s="7">
        <f t="shared" ca="1" si="5"/>
        <v>372</v>
      </c>
      <c r="E27" s="7">
        <f ca="1">ROUNDDOWN(C27/32,0)</f>
        <v>11</v>
      </c>
      <c r="F27" s="7">
        <f ca="1">C27-E27*32</f>
        <v>31</v>
      </c>
      <c r="G27" s="7">
        <f ca="1">D27-E27*32</f>
        <v>20</v>
      </c>
      <c r="H27" s="7" t="s">
        <v>15</v>
      </c>
      <c r="I27" s="22" t="s">
        <v>206</v>
      </c>
      <c r="J27" s="101">
        <v>0</v>
      </c>
    </row>
    <row r="28" spans="1:10" ht="16.5">
      <c r="A28" s="221" t="s">
        <v>206</v>
      </c>
      <c r="B28" s="7">
        <v>32</v>
      </c>
      <c r="C28" s="7">
        <f ca="1">D28+B28-1</f>
        <v>415</v>
      </c>
      <c r="D28" s="7">
        <f t="shared" ca="1" si="5"/>
        <v>384</v>
      </c>
      <c r="E28" s="7">
        <f ca="1">ROUNDDOWN(C28/32,0)</f>
        <v>12</v>
      </c>
      <c r="F28" s="7">
        <f ca="1">C28-E28*32</f>
        <v>31</v>
      </c>
      <c r="G28" s="7">
        <f ca="1">D28-E28*32</f>
        <v>0</v>
      </c>
      <c r="H28" s="7" t="s">
        <v>15</v>
      </c>
      <c r="I28" s="22" t="s">
        <v>206</v>
      </c>
      <c r="J28" s="101">
        <v>0</v>
      </c>
    </row>
    <row r="29" spans="1:10" ht="16.5">
      <c r="A29" s="221" t="s">
        <v>206</v>
      </c>
      <c r="B29" s="7">
        <v>32</v>
      </c>
      <c r="C29" s="7">
        <f ca="1">D29+B29-1</f>
        <v>447</v>
      </c>
      <c r="D29" s="7">
        <f t="shared" ca="1" si="5"/>
        <v>416</v>
      </c>
      <c r="E29" s="7">
        <f ca="1">ROUNDDOWN(C29/32,0)</f>
        <v>13</v>
      </c>
      <c r="F29" s="7">
        <f ca="1">C29-E29*32</f>
        <v>31</v>
      </c>
      <c r="G29" s="7">
        <f ca="1">D29-E29*32</f>
        <v>0</v>
      </c>
      <c r="H29" s="7" t="s">
        <v>15</v>
      </c>
      <c r="I29" s="22" t="s">
        <v>206</v>
      </c>
      <c r="J29" s="101">
        <v>0</v>
      </c>
    </row>
    <row r="30" spans="1:10" ht="30">
      <c r="A30" s="6" t="s">
        <v>247</v>
      </c>
      <c r="B30" s="7">
        <v>32</v>
      </c>
      <c r="C30" s="7">
        <f t="shared" ca="1" si="8"/>
        <v>479</v>
      </c>
      <c r="D30" s="7">
        <f t="shared" ca="1" si="5"/>
        <v>448</v>
      </c>
      <c r="E30" s="7">
        <f t="shared" ca="1" si="9"/>
        <v>14</v>
      </c>
      <c r="F30" s="7">
        <f t="shared" ca="1" si="10"/>
        <v>31</v>
      </c>
      <c r="G30" s="7">
        <f t="shared" ca="1" si="11"/>
        <v>0</v>
      </c>
      <c r="H30" s="7" t="s">
        <v>10</v>
      </c>
      <c r="I30" s="123" t="s">
        <v>252</v>
      </c>
      <c r="J30" s="102" t="s">
        <v>229</v>
      </c>
    </row>
    <row r="31" spans="1:10" ht="16.5">
      <c r="A31" s="6" t="s">
        <v>249</v>
      </c>
      <c r="B31" s="7">
        <v>32</v>
      </c>
      <c r="C31" s="7">
        <f t="shared" ca="1" si="8"/>
        <v>511</v>
      </c>
      <c r="D31" s="7">
        <f t="shared" ca="1" si="5"/>
        <v>480</v>
      </c>
      <c r="E31" s="7">
        <f t="shared" ca="1" si="9"/>
        <v>15</v>
      </c>
      <c r="F31" s="7">
        <f t="shared" ca="1" si="10"/>
        <v>31</v>
      </c>
      <c r="G31" s="7">
        <f t="shared" ca="1" si="11"/>
        <v>0</v>
      </c>
      <c r="H31" s="7" t="s">
        <v>10</v>
      </c>
      <c r="I31" s="24" t="s">
        <v>253</v>
      </c>
      <c r="J31" s="102" t="s">
        <v>556</v>
      </c>
    </row>
    <row r="32" spans="1:10">
      <c r="A32" s="28" t="s">
        <v>144</v>
      </c>
    </row>
    <row r="33" spans="1:1">
      <c r="A33" s="28" t="s">
        <v>123</v>
      </c>
    </row>
    <row r="34" spans="1:1">
      <c r="A34" s="28" t="s">
        <v>124</v>
      </c>
    </row>
    <row r="35" spans="1:1">
      <c r="A35" s="28" t="s">
        <v>125</v>
      </c>
    </row>
    <row r="36" spans="1:1">
      <c r="A36" s="28" t="s">
        <v>126</v>
      </c>
    </row>
  </sheetData>
  <phoneticPr fontId="24" type="noConversion"/>
  <pageMargins left="0.25" right="0.25" top="0.75" bottom="0.75" header="0.3" footer="0.3"/>
  <pageSetup paperSize="9" scale="38"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9"/>
  <sheetViews>
    <sheetView zoomScale="130" zoomScaleNormal="130" workbookViewId="0">
      <pane ySplit="1" topLeftCell="A17" activePane="bottomLeft" state="frozen"/>
      <selection pane="bottomLeft" activeCell="A26" sqref="A26:XFD26"/>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49.5">
      <c r="A3" s="6" t="s">
        <v>31</v>
      </c>
      <c r="B3" s="7">
        <v>1</v>
      </c>
      <c r="C3" s="7">
        <f t="shared" ref="C3:C9" ca="1" si="0">D3+B3-1</f>
        <v>1</v>
      </c>
      <c r="D3" s="7">
        <f t="shared" ref="D3:D8" ca="1" si="1">INDIRECT(ADDRESS(ROW()-1,COLUMN()-1))+1</f>
        <v>1</v>
      </c>
      <c r="E3" s="7">
        <f t="shared" ref="E3:E9" ca="1" si="2">ROUNDDOWN(C3/32,0)</f>
        <v>0</v>
      </c>
      <c r="F3" s="7">
        <f t="shared" ref="F3:F9" ca="1" si="3">C3-E3*32</f>
        <v>1</v>
      </c>
      <c r="G3" s="7">
        <f ca="1">D3-E3*32</f>
        <v>1</v>
      </c>
      <c r="H3" s="7" t="s">
        <v>10</v>
      </c>
      <c r="I3" s="22" t="str">
        <f ca="1">CONCATENATE(INDIRECT("template!I3"))</f>
        <v>Stride enable
0：No stride for all blob definition
1：Enable stride for all blob definition</v>
      </c>
      <c r="J3" s="100" t="s">
        <v>228</v>
      </c>
      <c r="L3" s="98" t="s">
        <v>226</v>
      </c>
    </row>
    <row r="4" spans="1:12" ht="49.5">
      <c r="A4" s="222" t="s">
        <v>2378</v>
      </c>
      <c r="B4" s="7">
        <v>1</v>
      </c>
      <c r="C4" s="7">
        <f t="shared" ca="1" si="0"/>
        <v>2</v>
      </c>
      <c r="D4" s="7">
        <f t="shared" ca="1" si="1"/>
        <v>2</v>
      </c>
      <c r="E4" s="7">
        <f t="shared" ca="1" si="2"/>
        <v>0</v>
      </c>
      <c r="F4" s="7">
        <f t="shared" ca="1" si="3"/>
        <v>2</v>
      </c>
      <c r="G4" s="7">
        <f t="shared" ref="G4:G9" ca="1" si="4">D4-E4*32</f>
        <v>2</v>
      </c>
      <c r="H4" s="7" t="s">
        <v>10</v>
      </c>
      <c r="I4" s="22" t="str">
        <f ca="1">CONCATENATE(INDIRECT("template!I4"))</f>
        <v>NCHW copy bit (need tie1)
0: use separate src and dst NCHW value setting
1: reuse src NCHW value for dst NCHW value</v>
      </c>
      <c r="J4" s="100" t="s">
        <v>228</v>
      </c>
      <c r="L4" s="104" t="s">
        <v>329</v>
      </c>
    </row>
    <row r="5" spans="1:12" ht="16.5">
      <c r="A5" s="6" t="s">
        <v>1012</v>
      </c>
      <c r="B5" s="7">
        <v>1</v>
      </c>
      <c r="C5" s="7">
        <f t="shared" ca="1" si="0"/>
        <v>3</v>
      </c>
      <c r="D5" s="7">
        <f ca="1">INDIRECT(ADDRESS(ROW()-1,COLUMN()-1))+1</f>
        <v>3</v>
      </c>
      <c r="E5" s="7">
        <f t="shared" ca="1" si="2"/>
        <v>0</v>
      </c>
      <c r="F5" s="7">
        <f t="shared" ca="1" si="3"/>
        <v>3</v>
      </c>
      <c r="G5" s="7">
        <f t="shared" ca="1" si="4"/>
        <v>3</v>
      </c>
      <c r="H5" s="7" t="s">
        <v>251</v>
      </c>
      <c r="I5" s="22" t="s">
        <v>1013</v>
      </c>
      <c r="J5" s="100" t="s">
        <v>228</v>
      </c>
    </row>
    <row r="6" spans="1:12" customFormat="1" ht="231">
      <c r="A6" s="6" t="s">
        <v>128</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33">
      <c r="A7" s="6" t="s">
        <v>129</v>
      </c>
      <c r="B7" s="7">
        <v>3</v>
      </c>
      <c r="C7" s="7">
        <f t="shared" ca="1" si="0"/>
        <v>10</v>
      </c>
      <c r="D7" s="7">
        <f t="shared" ca="1" si="1"/>
        <v>8</v>
      </c>
      <c r="E7" s="7">
        <f t="shared" ca="1" si="2"/>
        <v>0</v>
      </c>
      <c r="F7" s="7">
        <f t="shared" ca="1" si="3"/>
        <v>10</v>
      </c>
      <c r="G7" s="7">
        <f t="shared" ca="1" si="4"/>
        <v>8</v>
      </c>
      <c r="H7" s="7" t="s">
        <v>10</v>
      </c>
      <c r="I7" s="22" t="s">
        <v>420</v>
      </c>
      <c r="J7" s="100" t="s">
        <v>228</v>
      </c>
    </row>
    <row r="8" spans="1:12" ht="33">
      <c r="A8" s="6" t="s">
        <v>2375</v>
      </c>
      <c r="B8" s="7">
        <v>1</v>
      </c>
      <c r="C8" s="7">
        <f t="shared" ca="1" si="0"/>
        <v>11</v>
      </c>
      <c r="D8" s="7">
        <f t="shared" ca="1" si="1"/>
        <v>11</v>
      </c>
      <c r="E8" s="7">
        <f t="shared" ca="1" si="2"/>
        <v>0</v>
      </c>
      <c r="F8" s="7">
        <f t="shared" ca="1" si="3"/>
        <v>11</v>
      </c>
      <c r="G8" s="7">
        <f t="shared" ca="1" si="4"/>
        <v>11</v>
      </c>
      <c r="H8" s="7" t="s">
        <v>10</v>
      </c>
      <c r="I8" s="22" t="s">
        <v>268</v>
      </c>
      <c r="J8" s="100" t="s">
        <v>228</v>
      </c>
    </row>
    <row r="9" spans="1:12" ht="148.5">
      <c r="A9" s="6" t="s">
        <v>55</v>
      </c>
      <c r="B9" s="7">
        <v>4</v>
      </c>
      <c r="C9" s="7">
        <f t="shared" ca="1" si="0"/>
        <v>15</v>
      </c>
      <c r="D9" s="7">
        <f ca="1">INDIRECT(ADDRESS(ROW()-1,COLUMN()-1))+1</f>
        <v>12</v>
      </c>
      <c r="E9" s="7">
        <f t="shared" ca="1" si="2"/>
        <v>0</v>
      </c>
      <c r="F9" s="7">
        <f t="shared" ca="1" si="3"/>
        <v>15</v>
      </c>
      <c r="G9" s="7">
        <f t="shared" ca="1" si="4"/>
        <v>12</v>
      </c>
      <c r="H9" s="7" t="s">
        <v>10</v>
      </c>
      <c r="I9" s="22" t="s">
        <v>1539</v>
      </c>
      <c r="J9" s="100" t="s">
        <v>228</v>
      </c>
    </row>
    <row r="10" spans="1:12" ht="30">
      <c r="A10" s="6" t="s">
        <v>563</v>
      </c>
      <c r="B10" s="7">
        <v>13</v>
      </c>
      <c r="C10" s="7">
        <f ca="1">D10+B10-1</f>
        <v>28</v>
      </c>
      <c r="D10" s="7">
        <f t="shared" ref="D10:D34" ca="1" si="5">INDIRECT(ADDRESS(ROW()-1,COLUMN()-1))+1</f>
        <v>16</v>
      </c>
      <c r="E10" s="7">
        <f ca="1">ROUNDDOWN(C10/32,0)</f>
        <v>0</v>
      </c>
      <c r="F10" s="7">
        <f ca="1">C10-E10*32</f>
        <v>28</v>
      </c>
      <c r="G10" s="7">
        <f ca="1">D10-E10*32</f>
        <v>16</v>
      </c>
      <c r="H10" s="7" t="s">
        <v>10</v>
      </c>
      <c r="I10" s="22" t="s">
        <v>2349</v>
      </c>
      <c r="J10" s="102" t="s">
        <v>229</v>
      </c>
    </row>
    <row r="11" spans="1:12" s="204" customFormat="1" ht="49.5">
      <c r="A11" s="222" t="s">
        <v>551</v>
      </c>
      <c r="B11" s="217">
        <v>3</v>
      </c>
      <c r="C11" s="217">
        <f ca="1">D11+B11-1</f>
        <v>31</v>
      </c>
      <c r="D11" s="217">
        <f ca="1">INDIRECT(ADDRESS(ROW()-1,COLUMN()-1))+1</f>
        <v>29</v>
      </c>
      <c r="E11" s="217">
        <f t="shared" ref="E11" ca="1" si="6">ROUNDDOWN(C11/32,0)</f>
        <v>0</v>
      </c>
      <c r="F11" s="217">
        <f t="shared" ref="F11" ca="1" si="7">C11-E11*32</f>
        <v>31</v>
      </c>
      <c r="G11" s="217">
        <f ca="1">D11-E11*32</f>
        <v>29</v>
      </c>
      <c r="H11" s="217" t="s">
        <v>251</v>
      </c>
      <c r="I11" s="218" t="s">
        <v>555</v>
      </c>
      <c r="J11" s="227" t="s">
        <v>228</v>
      </c>
    </row>
    <row r="12" spans="1:12" ht="16.5">
      <c r="A12" s="6" t="s">
        <v>561</v>
      </c>
      <c r="B12" s="7">
        <v>13</v>
      </c>
      <c r="C12" s="7">
        <f ca="1">D12+B12-1</f>
        <v>44</v>
      </c>
      <c r="D12" s="7">
        <f t="shared" ca="1" si="5"/>
        <v>32</v>
      </c>
      <c r="E12" s="7">
        <f ca="1">ROUNDDOWN(C12/32,0)</f>
        <v>1</v>
      </c>
      <c r="F12" s="7">
        <f ca="1">C12-E12*32</f>
        <v>12</v>
      </c>
      <c r="G12" s="7">
        <f ca="1">D12-E12*32</f>
        <v>0</v>
      </c>
      <c r="H12" s="7" t="s">
        <v>10</v>
      </c>
      <c r="I12" s="22" t="s">
        <v>2350</v>
      </c>
      <c r="J12" s="102" t="s">
        <v>556</v>
      </c>
    </row>
    <row r="13" spans="1:12" s="204" customFormat="1" ht="99">
      <c r="A13" s="222" t="s">
        <v>553</v>
      </c>
      <c r="B13" s="217">
        <v>3</v>
      </c>
      <c r="C13" s="217">
        <f ca="1">D13+B13-1</f>
        <v>47</v>
      </c>
      <c r="D13" s="217">
        <f ca="1">INDIRECT(ADDRESS(ROW()-1,COLUMN()-1))+1</f>
        <v>45</v>
      </c>
      <c r="E13" s="217">
        <f ca="1">ROUNDDOWN(C13/32,0)</f>
        <v>1</v>
      </c>
      <c r="F13" s="217">
        <f ca="1">C13-E13*32</f>
        <v>15</v>
      </c>
      <c r="G13" s="217">
        <f ca="1">D13-E13*32</f>
        <v>13</v>
      </c>
      <c r="H13" s="217" t="s">
        <v>10</v>
      </c>
      <c r="I13" s="220" t="s">
        <v>1591</v>
      </c>
      <c r="J13" s="205" t="s">
        <v>228</v>
      </c>
    </row>
    <row r="14" spans="1:12" ht="16.5">
      <c r="A14" s="221" t="s">
        <v>206</v>
      </c>
      <c r="B14" s="7">
        <v>16</v>
      </c>
      <c r="C14" s="7">
        <f ca="1">D14+B14-1</f>
        <v>63</v>
      </c>
      <c r="D14" s="7">
        <f t="shared" ca="1" si="5"/>
        <v>48</v>
      </c>
      <c r="E14" s="7">
        <f ca="1">ROUNDDOWN(C14/32,0)</f>
        <v>1</v>
      </c>
      <c r="F14" s="7">
        <f ca="1">C14-E14*32</f>
        <v>31</v>
      </c>
      <c r="G14" s="7">
        <f ca="1">D14-E14*32</f>
        <v>16</v>
      </c>
      <c r="H14" s="7" t="s">
        <v>15</v>
      </c>
      <c r="I14" s="22" t="s">
        <v>206</v>
      </c>
      <c r="J14" s="101">
        <v>0</v>
      </c>
    </row>
    <row r="15" spans="1:12" ht="45">
      <c r="A15" s="6" t="s">
        <v>549</v>
      </c>
      <c r="B15" s="7">
        <v>32</v>
      </c>
      <c r="C15" s="7">
        <f t="shared" ref="C15:C34" ca="1" si="8">D15+B15-1</f>
        <v>95</v>
      </c>
      <c r="D15" s="7">
        <f t="shared" ca="1" si="5"/>
        <v>64</v>
      </c>
      <c r="E15" s="7">
        <f t="shared" ref="E15:E34" ca="1" si="9">ROUNDDOWN(C15/32,0)</f>
        <v>2</v>
      </c>
      <c r="F15" s="7">
        <f t="shared" ref="F15:F34" ca="1" si="10">C15-E15*32</f>
        <v>31</v>
      </c>
      <c r="G15" s="7">
        <f t="shared" ref="G15:G34" ca="1" si="11">D15-E15*32</f>
        <v>0</v>
      </c>
      <c r="H15" s="7" t="s">
        <v>10</v>
      </c>
      <c r="I15" s="22" t="s">
        <v>550</v>
      </c>
      <c r="J15" s="102" t="s">
        <v>421</v>
      </c>
    </row>
    <row r="16" spans="1:12" ht="45">
      <c r="A16" s="6" t="s">
        <v>71</v>
      </c>
      <c r="B16" s="7">
        <v>32</v>
      </c>
      <c r="C16" s="7">
        <f t="shared" ca="1" si="8"/>
        <v>127</v>
      </c>
      <c r="D16" s="7">
        <f t="shared" ca="1" si="5"/>
        <v>96</v>
      </c>
      <c r="E16" s="7">
        <f t="shared" ca="1" si="9"/>
        <v>3</v>
      </c>
      <c r="F16" s="7">
        <f t="shared" ca="1" si="10"/>
        <v>31</v>
      </c>
      <c r="G16" s="7">
        <f t="shared" ca="1" si="11"/>
        <v>0</v>
      </c>
      <c r="H16" s="7" t="s">
        <v>10</v>
      </c>
      <c r="I16" s="22" t="s">
        <v>130</v>
      </c>
      <c r="J16" s="102" t="s">
        <v>421</v>
      </c>
    </row>
    <row r="17" spans="1:10" ht="45">
      <c r="A17" s="6" t="s">
        <v>73</v>
      </c>
      <c r="B17" s="7">
        <v>32</v>
      </c>
      <c r="C17" s="7">
        <f t="shared" ca="1" si="8"/>
        <v>159</v>
      </c>
      <c r="D17" s="7">
        <f t="shared" ca="1" si="5"/>
        <v>128</v>
      </c>
      <c r="E17" s="7">
        <f t="shared" ca="1" si="9"/>
        <v>4</v>
      </c>
      <c r="F17" s="7">
        <f t="shared" ca="1" si="10"/>
        <v>31</v>
      </c>
      <c r="G17" s="7">
        <f t="shared" ca="1" si="11"/>
        <v>0</v>
      </c>
      <c r="H17" s="7" t="s">
        <v>10</v>
      </c>
      <c r="I17" s="22" t="s">
        <v>131</v>
      </c>
      <c r="J17" s="102" t="s">
        <v>421</v>
      </c>
    </row>
    <row r="18" spans="1:10" ht="30">
      <c r="A18" s="6" t="s">
        <v>77</v>
      </c>
      <c r="B18" s="7">
        <v>32</v>
      </c>
      <c r="C18" s="7">
        <f t="shared" ca="1" si="8"/>
        <v>191</v>
      </c>
      <c r="D18" s="7">
        <f t="shared" ca="1" si="5"/>
        <v>160</v>
      </c>
      <c r="E18" s="7">
        <f t="shared" ca="1" si="9"/>
        <v>5</v>
      </c>
      <c r="F18" s="7">
        <f t="shared" ca="1" si="10"/>
        <v>31</v>
      </c>
      <c r="G18" s="7">
        <f t="shared" ca="1" si="11"/>
        <v>0</v>
      </c>
      <c r="H18" s="7" t="s">
        <v>10</v>
      </c>
      <c r="I18" s="22" t="s">
        <v>409</v>
      </c>
      <c r="J18" s="102" t="s">
        <v>422</v>
      </c>
    </row>
    <row r="19" spans="1:10" ht="30">
      <c r="A19" s="6" t="s">
        <v>78</v>
      </c>
      <c r="B19" s="7">
        <v>32</v>
      </c>
      <c r="C19" s="7">
        <f t="shared" ca="1" si="8"/>
        <v>223</v>
      </c>
      <c r="D19" s="7">
        <f t="shared" ca="1" si="5"/>
        <v>192</v>
      </c>
      <c r="E19" s="7">
        <f t="shared" ca="1" si="9"/>
        <v>6</v>
      </c>
      <c r="F19" s="7">
        <f t="shared" ca="1" si="10"/>
        <v>31</v>
      </c>
      <c r="G19" s="7">
        <f t="shared" ca="1" si="11"/>
        <v>0</v>
      </c>
      <c r="H19" s="7" t="s">
        <v>10</v>
      </c>
      <c r="I19" s="22" t="s">
        <v>2353</v>
      </c>
      <c r="J19" s="102" t="s">
        <v>422</v>
      </c>
    </row>
    <row r="20" spans="1:10" ht="30">
      <c r="A20" s="6" t="s">
        <v>80</v>
      </c>
      <c r="B20" s="7">
        <v>32</v>
      </c>
      <c r="C20" s="7">
        <f t="shared" ca="1" si="8"/>
        <v>255</v>
      </c>
      <c r="D20" s="7">
        <f t="shared" ca="1" si="5"/>
        <v>224</v>
      </c>
      <c r="E20" s="7">
        <f t="shared" ca="1" si="9"/>
        <v>7</v>
      </c>
      <c r="F20" s="7">
        <f t="shared" ca="1" si="10"/>
        <v>31</v>
      </c>
      <c r="G20" s="7">
        <f t="shared" ca="1" si="11"/>
        <v>0</v>
      </c>
      <c r="H20" s="7" t="s">
        <v>10</v>
      </c>
      <c r="I20" s="22" t="s">
        <v>133</v>
      </c>
      <c r="J20" s="102" t="s">
        <v>422</v>
      </c>
    </row>
    <row r="21" spans="1:10" ht="30">
      <c r="A21" s="6" t="s">
        <v>84</v>
      </c>
      <c r="B21" s="7">
        <v>16</v>
      </c>
      <c r="C21" s="7">
        <f t="shared" ca="1" si="8"/>
        <v>271</v>
      </c>
      <c r="D21" s="7">
        <f t="shared" ca="1" si="5"/>
        <v>256</v>
      </c>
      <c r="E21" s="7">
        <f t="shared" ca="1" si="9"/>
        <v>8</v>
      </c>
      <c r="F21" s="7">
        <f t="shared" ca="1" si="10"/>
        <v>15</v>
      </c>
      <c r="G21" s="7">
        <f t="shared" ca="1" si="11"/>
        <v>0</v>
      </c>
      <c r="H21" s="7" t="s">
        <v>10</v>
      </c>
      <c r="I21" s="22" t="s">
        <v>134</v>
      </c>
      <c r="J21" s="102" t="s">
        <v>229</v>
      </c>
    </row>
    <row r="22" spans="1:10" ht="30">
      <c r="A22" s="6" t="s">
        <v>87</v>
      </c>
      <c r="B22" s="7">
        <v>16</v>
      </c>
      <c r="C22" s="7">
        <f t="shared" ca="1" si="8"/>
        <v>287</v>
      </c>
      <c r="D22" s="7">
        <f t="shared" ca="1" si="5"/>
        <v>272</v>
      </c>
      <c r="E22" s="7">
        <f t="shared" ca="1" si="9"/>
        <v>8</v>
      </c>
      <c r="F22" s="7">
        <f t="shared" ca="1" si="10"/>
        <v>31</v>
      </c>
      <c r="G22" s="7">
        <f t="shared" ca="1" si="11"/>
        <v>16</v>
      </c>
      <c r="H22" s="7" t="s">
        <v>10</v>
      </c>
      <c r="I22" s="22" t="s">
        <v>135</v>
      </c>
      <c r="J22" s="102" t="s">
        <v>229</v>
      </c>
    </row>
    <row r="23" spans="1:10" ht="30">
      <c r="A23" s="6" t="s">
        <v>89</v>
      </c>
      <c r="B23" s="7">
        <v>32</v>
      </c>
      <c r="C23" s="7">
        <f t="shared" ca="1" si="8"/>
        <v>319</v>
      </c>
      <c r="D23" s="7">
        <f t="shared" ca="1" si="5"/>
        <v>288</v>
      </c>
      <c r="E23" s="7">
        <f t="shared" ca="1" si="9"/>
        <v>9</v>
      </c>
      <c r="F23" s="7">
        <f t="shared" ca="1" si="10"/>
        <v>31</v>
      </c>
      <c r="G23" s="7">
        <f t="shared" ca="1" si="11"/>
        <v>0</v>
      </c>
      <c r="H23" s="7" t="s">
        <v>10</v>
      </c>
      <c r="I23" s="22" t="s">
        <v>136</v>
      </c>
      <c r="J23" s="102" t="s">
        <v>229</v>
      </c>
    </row>
    <row r="24" spans="1:10" ht="30">
      <c r="A24" s="6" t="s">
        <v>91</v>
      </c>
      <c r="B24" s="7">
        <v>32</v>
      </c>
      <c r="C24" s="7">
        <f t="shared" ca="1" si="8"/>
        <v>351</v>
      </c>
      <c r="D24" s="7">
        <f t="shared" ca="1" si="5"/>
        <v>320</v>
      </c>
      <c r="E24" s="7">
        <f t="shared" ca="1" si="9"/>
        <v>10</v>
      </c>
      <c r="F24" s="7">
        <f t="shared" ca="1" si="10"/>
        <v>31</v>
      </c>
      <c r="G24" s="7">
        <f t="shared" ca="1" si="11"/>
        <v>0</v>
      </c>
      <c r="H24" s="7" t="s">
        <v>10</v>
      </c>
      <c r="I24" s="22" t="s">
        <v>137</v>
      </c>
      <c r="J24" s="102" t="s">
        <v>229</v>
      </c>
    </row>
    <row r="25" spans="1:10" ht="16.5">
      <c r="A25" s="221" t="s">
        <v>2387</v>
      </c>
      <c r="B25" s="7">
        <v>10</v>
      </c>
      <c r="C25" s="7">
        <f t="shared" ref="C25:C26" ca="1" si="12">D25+B25-1</f>
        <v>361</v>
      </c>
      <c r="D25" s="7">
        <f t="shared" ca="1" si="5"/>
        <v>352</v>
      </c>
      <c r="E25" s="7">
        <f t="shared" ref="E25:E26" ca="1" si="13">ROUNDDOWN(C25/32,0)</f>
        <v>11</v>
      </c>
      <c r="F25" s="7">
        <f t="shared" ref="F25:F26" ca="1" si="14">C25-E25*32</f>
        <v>9</v>
      </c>
      <c r="G25" s="7">
        <f t="shared" ref="G25:G26" ca="1" si="15">D25-E25*32</f>
        <v>0</v>
      </c>
      <c r="H25" s="7" t="s">
        <v>10</v>
      </c>
      <c r="I25" s="22" t="s">
        <v>2388</v>
      </c>
      <c r="J25" s="102"/>
    </row>
    <row r="26" spans="1:10" ht="16.5">
      <c r="A26" s="6" t="s">
        <v>2376</v>
      </c>
      <c r="B26" s="7">
        <v>10</v>
      </c>
      <c r="C26" s="7">
        <f t="shared" ca="1" si="12"/>
        <v>371</v>
      </c>
      <c r="D26" s="7">
        <f t="shared" ca="1" si="5"/>
        <v>362</v>
      </c>
      <c r="E26" s="7">
        <f t="shared" ca="1" si="13"/>
        <v>11</v>
      </c>
      <c r="F26" s="7">
        <f t="shared" ca="1" si="14"/>
        <v>19</v>
      </c>
      <c r="G26" s="7">
        <f t="shared" ca="1" si="15"/>
        <v>10</v>
      </c>
      <c r="H26" s="7" t="s">
        <v>10</v>
      </c>
      <c r="I26" s="22" t="s">
        <v>2388</v>
      </c>
      <c r="J26" s="102"/>
    </row>
    <row r="27" spans="1:10" ht="16.5">
      <c r="A27" s="221" t="s">
        <v>206</v>
      </c>
      <c r="B27" s="7">
        <v>12</v>
      </c>
      <c r="C27" s="7">
        <f ca="1">D27+B27-1</f>
        <v>383</v>
      </c>
      <c r="D27" s="7">
        <f t="shared" ca="1" si="5"/>
        <v>372</v>
      </c>
      <c r="E27" s="7">
        <f ca="1">ROUNDDOWN(C27/32,0)</f>
        <v>11</v>
      </c>
      <c r="F27" s="7">
        <f ca="1">C27-E27*32</f>
        <v>31</v>
      </c>
      <c r="G27" s="7">
        <f ca="1">D27-E27*32</f>
        <v>20</v>
      </c>
      <c r="H27" s="7" t="s">
        <v>15</v>
      </c>
      <c r="I27" s="22" t="s">
        <v>206</v>
      </c>
      <c r="J27" s="101">
        <v>0</v>
      </c>
    </row>
    <row r="28" spans="1:10" ht="15.75" customHeight="1">
      <c r="A28" s="6" t="s">
        <v>2374</v>
      </c>
      <c r="B28" s="7">
        <v>1</v>
      </c>
      <c r="C28" s="7">
        <f ca="1">D28+B28-1</f>
        <v>384</v>
      </c>
      <c r="D28" s="7">
        <f t="shared" ca="1" si="5"/>
        <v>384</v>
      </c>
      <c r="E28" s="7">
        <f ca="1">ROUNDDOWN(C28/32,0)</f>
        <v>12</v>
      </c>
      <c r="F28" s="7">
        <f ca="1">C28-E28*32</f>
        <v>0</v>
      </c>
      <c r="G28" s="7">
        <f ca="1">D28-E28*32</f>
        <v>0</v>
      </c>
      <c r="H28" s="7" t="s">
        <v>251</v>
      </c>
      <c r="I28" s="22" t="s">
        <v>2357</v>
      </c>
      <c r="J28" s="101">
        <v>0</v>
      </c>
    </row>
    <row r="29" spans="1:10" ht="16.5">
      <c r="A29" s="6" t="s">
        <v>2377</v>
      </c>
      <c r="B29" s="7">
        <v>10</v>
      </c>
      <c r="C29" s="7">
        <f ca="1">D29+B29-1</f>
        <v>394</v>
      </c>
      <c r="D29" s="7">
        <f ca="1">INDIRECT(ADDRESS(ROW()-1,COLUMN()-1))+1</f>
        <v>385</v>
      </c>
      <c r="E29" s="7">
        <f ca="1">ROUNDDOWN(C29/32,0)</f>
        <v>12</v>
      </c>
      <c r="F29" s="7">
        <f ca="1">C29-E29*32</f>
        <v>10</v>
      </c>
      <c r="G29" s="7">
        <f ca="1">D29-E29*32</f>
        <v>1</v>
      </c>
      <c r="H29" s="7" t="s">
        <v>15</v>
      </c>
      <c r="I29" s="22" t="s">
        <v>2381</v>
      </c>
      <c r="J29" s="101">
        <v>0</v>
      </c>
    </row>
    <row r="30" spans="1:10" ht="30">
      <c r="A30" s="6" t="s">
        <v>2379</v>
      </c>
      <c r="B30" s="7">
        <v>7</v>
      </c>
      <c r="C30" s="7">
        <f t="shared" ca="1" si="8"/>
        <v>401</v>
      </c>
      <c r="D30" s="7">
        <f t="shared" ca="1" si="5"/>
        <v>395</v>
      </c>
      <c r="E30" s="7">
        <f t="shared" ca="1" si="9"/>
        <v>12</v>
      </c>
      <c r="F30" s="7">
        <f t="shared" ca="1" si="10"/>
        <v>17</v>
      </c>
      <c r="G30" s="7">
        <f t="shared" ca="1" si="11"/>
        <v>11</v>
      </c>
      <c r="H30" s="7" t="s">
        <v>10</v>
      </c>
      <c r="I30" s="22" t="s">
        <v>2382</v>
      </c>
      <c r="J30" s="102" t="s">
        <v>557</v>
      </c>
    </row>
    <row r="31" spans="1:10" ht="16.5">
      <c r="A31" s="221" t="s">
        <v>206</v>
      </c>
      <c r="B31" s="7">
        <v>14</v>
      </c>
      <c r="C31" s="7">
        <f ca="1">D31+B31-1</f>
        <v>415</v>
      </c>
      <c r="D31" s="7">
        <f t="shared" ca="1" si="5"/>
        <v>402</v>
      </c>
      <c r="E31" s="7">
        <f ca="1">ROUNDDOWN(C31/32,0)</f>
        <v>12</v>
      </c>
      <c r="F31" s="7">
        <f ca="1">C31-E31*32</f>
        <v>31</v>
      </c>
      <c r="G31" s="7">
        <f ca="1">D31-E31*32</f>
        <v>18</v>
      </c>
      <c r="H31" s="7" t="s">
        <v>15</v>
      </c>
      <c r="I31" s="22" t="s">
        <v>206</v>
      </c>
      <c r="J31" s="101">
        <v>0</v>
      </c>
    </row>
    <row r="32" spans="1:10" ht="16.5">
      <c r="A32" s="221" t="s">
        <v>206</v>
      </c>
      <c r="B32" s="7">
        <v>32</v>
      </c>
      <c r="C32" s="7">
        <f ca="1">D32+B32-1</f>
        <v>447</v>
      </c>
      <c r="D32" s="7">
        <f t="shared" ca="1" si="5"/>
        <v>416</v>
      </c>
      <c r="E32" s="7">
        <f ca="1">ROUNDDOWN(C32/32,0)</f>
        <v>13</v>
      </c>
      <c r="F32" s="7">
        <f ca="1">C32-E32*32</f>
        <v>31</v>
      </c>
      <c r="G32" s="7">
        <f ca="1">D32-E32*32</f>
        <v>0</v>
      </c>
      <c r="H32" s="7" t="s">
        <v>15</v>
      </c>
      <c r="I32" s="22" t="s">
        <v>206</v>
      </c>
      <c r="J32" s="101">
        <v>0</v>
      </c>
    </row>
    <row r="33" spans="1:10" ht="30">
      <c r="A33" s="6" t="s">
        <v>247</v>
      </c>
      <c r="B33" s="7">
        <v>32</v>
      </c>
      <c r="C33" s="7">
        <f t="shared" ca="1" si="8"/>
        <v>479</v>
      </c>
      <c r="D33" s="7">
        <f t="shared" ca="1" si="5"/>
        <v>448</v>
      </c>
      <c r="E33" s="7">
        <f t="shared" ca="1" si="9"/>
        <v>14</v>
      </c>
      <c r="F33" s="7">
        <f t="shared" ca="1" si="10"/>
        <v>31</v>
      </c>
      <c r="G33" s="7">
        <f t="shared" ca="1" si="11"/>
        <v>0</v>
      </c>
      <c r="H33" s="7" t="s">
        <v>10</v>
      </c>
      <c r="I33" s="123" t="s">
        <v>252</v>
      </c>
      <c r="J33" s="102" t="s">
        <v>229</v>
      </c>
    </row>
    <row r="34" spans="1:10" ht="16.5">
      <c r="A34" s="6" t="s">
        <v>249</v>
      </c>
      <c r="B34" s="7">
        <v>32</v>
      </c>
      <c r="C34" s="7">
        <f t="shared" ca="1" si="8"/>
        <v>511</v>
      </c>
      <c r="D34" s="7">
        <f t="shared" ca="1" si="5"/>
        <v>480</v>
      </c>
      <c r="E34" s="7">
        <f t="shared" ca="1" si="9"/>
        <v>15</v>
      </c>
      <c r="F34" s="7">
        <f t="shared" ca="1" si="10"/>
        <v>31</v>
      </c>
      <c r="G34" s="7">
        <f t="shared" ca="1" si="11"/>
        <v>0</v>
      </c>
      <c r="H34" s="7" t="s">
        <v>10</v>
      </c>
      <c r="I34" s="24" t="s">
        <v>253</v>
      </c>
      <c r="J34" s="102" t="s">
        <v>556</v>
      </c>
    </row>
    <row r="35" spans="1:10">
      <c r="A35" s="28" t="s">
        <v>144</v>
      </c>
    </row>
    <row r="36" spans="1:10">
      <c r="A36" s="28" t="s">
        <v>123</v>
      </c>
    </row>
    <row r="37" spans="1:10">
      <c r="A37" s="28" t="s">
        <v>124</v>
      </c>
      <c r="C37" s="223"/>
    </row>
    <row r="38" spans="1:10">
      <c r="A38" s="28" t="s">
        <v>125</v>
      </c>
    </row>
    <row r="39" spans="1:10">
      <c r="A39" s="28" t="s">
        <v>126</v>
      </c>
    </row>
  </sheetData>
  <phoneticPr fontId="24" type="noConversion"/>
  <pageMargins left="0.25" right="0.25" top="0.75" bottom="0.75" header="0.3" footer="0.3"/>
  <pageSetup paperSize="9" scale="3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
  <sheetViews>
    <sheetView zoomScale="145" zoomScaleNormal="145" workbookViewId="0">
      <pane ySplit="1" topLeftCell="A8" activePane="bottomLeft" state="frozen"/>
      <selection pane="bottomLeft" activeCell="A18" sqref="A18"/>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16.5">
      <c r="A3" s="219" t="s">
        <v>206</v>
      </c>
      <c r="B3" s="7">
        <v>1</v>
      </c>
      <c r="C3" s="7">
        <v>1</v>
      </c>
      <c r="D3" s="7">
        <v>1</v>
      </c>
      <c r="E3" s="7">
        <f>ROUNDDOWN(C3/32,0)</f>
        <v>0</v>
      </c>
      <c r="F3" s="7">
        <f>C3-E3*32</f>
        <v>1</v>
      </c>
      <c r="G3" s="7">
        <f>D3-E3*32</f>
        <v>1</v>
      </c>
      <c r="H3" s="7" t="s">
        <v>246</v>
      </c>
      <c r="I3" s="22" t="s">
        <v>206</v>
      </c>
      <c r="J3" s="100" t="s">
        <v>228</v>
      </c>
      <c r="L3" s="152"/>
    </row>
    <row r="4" spans="1:12" ht="16.5">
      <c r="A4" s="219" t="s">
        <v>206</v>
      </c>
      <c r="B4" s="7">
        <v>1</v>
      </c>
      <c r="C4" s="7">
        <v>2</v>
      </c>
      <c r="D4" s="7">
        <f ca="1">INDIRECT(ADDRESS(ROW()-1,COLUMN()-1))+1</f>
        <v>2</v>
      </c>
      <c r="E4" s="7">
        <f>ROUNDDOWN(C4/32,0)</f>
        <v>0</v>
      </c>
      <c r="F4" s="7">
        <f>C4-E4*32</f>
        <v>2</v>
      </c>
      <c r="G4" s="7">
        <f ca="1">D4-E4*32</f>
        <v>2</v>
      </c>
      <c r="H4" s="7" t="s">
        <v>15</v>
      </c>
      <c r="I4" s="22" t="s">
        <v>206</v>
      </c>
      <c r="J4" s="101">
        <v>0</v>
      </c>
    </row>
    <row r="5" spans="1:12" ht="16.5">
      <c r="A5" s="6" t="s">
        <v>1012</v>
      </c>
      <c r="B5" s="7">
        <v>1</v>
      </c>
      <c r="C5" s="7">
        <f t="shared" ref="C5:C6" ca="1" si="0">D5+B5-1</f>
        <v>3</v>
      </c>
      <c r="D5" s="7">
        <f ca="1">INDIRECT(ADDRESS(ROW()-1,COLUMN()-1))+1</f>
        <v>3</v>
      </c>
      <c r="E5" s="7">
        <f t="shared" ref="E5:E6" ca="1" si="1">ROUNDDOWN(C5/32,0)</f>
        <v>0</v>
      </c>
      <c r="F5" s="7">
        <f t="shared" ref="F5:F6" ca="1" si="2">C5-E5*32</f>
        <v>3</v>
      </c>
      <c r="G5" s="7">
        <f t="shared" ref="G5:G6" ca="1" si="3">D5-E5*32</f>
        <v>3</v>
      </c>
      <c r="H5" s="7" t="s">
        <v>251</v>
      </c>
      <c r="I5" s="22" t="s">
        <v>1013</v>
      </c>
      <c r="J5" s="100" t="s">
        <v>228</v>
      </c>
    </row>
    <row r="6" spans="1:12" customFormat="1" ht="231">
      <c r="A6" s="6" t="s">
        <v>128</v>
      </c>
      <c r="B6" s="7">
        <v>4</v>
      </c>
      <c r="C6" s="7">
        <f t="shared" ca="1" si="0"/>
        <v>7</v>
      </c>
      <c r="D6" s="7">
        <f t="shared" ref="D6:D22" ca="1" si="4">INDIRECT(ADDRESS(ROW()-1,COLUMN()-1))+1</f>
        <v>4</v>
      </c>
      <c r="E6" s="7">
        <f t="shared" ca="1" si="1"/>
        <v>0</v>
      </c>
      <c r="F6" s="7">
        <f t="shared" ca="1" si="2"/>
        <v>7</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16.5">
      <c r="A7" s="219" t="s">
        <v>206</v>
      </c>
      <c r="B7" s="7">
        <v>4</v>
      </c>
      <c r="C7" s="7">
        <f t="shared" ref="C7" ca="1" si="5">D7+B7-1</f>
        <v>11</v>
      </c>
      <c r="D7" s="7">
        <f t="shared" ca="1" si="4"/>
        <v>8</v>
      </c>
      <c r="E7" s="7">
        <f t="shared" ref="E7" ca="1" si="6">ROUNDDOWN(C7/32,0)</f>
        <v>0</v>
      </c>
      <c r="F7" s="7">
        <f t="shared" ref="F7" ca="1" si="7">C7-E7*32</f>
        <v>11</v>
      </c>
      <c r="G7" s="7">
        <f t="shared" ref="G7" ca="1" si="8">D7-E7*32</f>
        <v>8</v>
      </c>
      <c r="H7" s="7" t="s">
        <v>246</v>
      </c>
      <c r="I7" s="22" t="s">
        <v>110</v>
      </c>
      <c r="J7" s="100" t="s">
        <v>228</v>
      </c>
    </row>
    <row r="8" spans="1:12" s="204" customFormat="1" ht="148.5">
      <c r="A8" s="6" t="s">
        <v>55</v>
      </c>
      <c r="B8" s="217">
        <v>4</v>
      </c>
      <c r="C8" s="217">
        <f t="shared" ref="C8:C9" ca="1" si="9">D8+B8-1</f>
        <v>15</v>
      </c>
      <c r="D8" s="217">
        <f ca="1">INDIRECT(ADDRESS(ROW()-1,COLUMN()-1))+1</f>
        <v>12</v>
      </c>
      <c r="E8" s="217">
        <f t="shared" ref="E8:E11" ca="1" si="10">ROUNDDOWN(C8/32,0)</f>
        <v>0</v>
      </c>
      <c r="F8" s="217">
        <f t="shared" ref="F8:F11" ca="1" si="11">C8-E8*32</f>
        <v>15</v>
      </c>
      <c r="G8" s="217">
        <f t="shared" ref="G8:G9" ca="1" si="12">D8-E8*32</f>
        <v>12</v>
      </c>
      <c r="H8" s="217" t="s">
        <v>10</v>
      </c>
      <c r="I8" s="218" t="str">
        <f ca="1">CONCATENATE(INDIRECT("template!I9"))</f>
        <v>Source Data Format
0:INT8
1:FP16
2:FP32
3:INT16
4:INT32
5:BFP16
6:FP20
others：not support</v>
      </c>
      <c r="J8" s="203" t="s">
        <v>228</v>
      </c>
    </row>
    <row r="9" spans="1:12" ht="16.5">
      <c r="A9" s="219" t="s">
        <v>206</v>
      </c>
      <c r="B9" s="7">
        <v>10</v>
      </c>
      <c r="C9" s="7">
        <f t="shared" ca="1" si="9"/>
        <v>25</v>
      </c>
      <c r="D9" s="7">
        <f t="shared" ca="1" si="4"/>
        <v>16</v>
      </c>
      <c r="E9" s="7">
        <f t="shared" ca="1" si="10"/>
        <v>0</v>
      </c>
      <c r="F9" s="7">
        <f t="shared" ca="1" si="11"/>
        <v>25</v>
      </c>
      <c r="G9" s="7">
        <f t="shared" ca="1" si="12"/>
        <v>16</v>
      </c>
      <c r="H9" s="7" t="s">
        <v>246</v>
      </c>
      <c r="I9" s="22" t="s">
        <v>110</v>
      </c>
      <c r="J9" s="100" t="s">
        <v>228</v>
      </c>
    </row>
    <row r="10" spans="1:12" s="204" customFormat="1" ht="99">
      <c r="A10" s="6" t="s">
        <v>553</v>
      </c>
      <c r="B10" s="217">
        <v>3</v>
      </c>
      <c r="C10" s="217">
        <f ca="1">D10+B10-1</f>
        <v>28</v>
      </c>
      <c r="D10" s="217">
        <f ca="1">INDIRECT(ADDRESS(ROW()-1,COLUMN()-1))+1</f>
        <v>26</v>
      </c>
      <c r="E10" s="217">
        <f ca="1">ROUNDDOWN(C10/32,0)</f>
        <v>0</v>
      </c>
      <c r="F10" s="217">
        <f ca="1">C10-E10*32</f>
        <v>28</v>
      </c>
      <c r="G10" s="217">
        <f ca="1">D10-E10*32</f>
        <v>26</v>
      </c>
      <c r="H10" s="217" t="s">
        <v>10</v>
      </c>
      <c r="I10" s="220" t="s">
        <v>1591</v>
      </c>
      <c r="J10" s="205" t="s">
        <v>228</v>
      </c>
    </row>
    <row r="11" spans="1:12" s="204" customFormat="1" ht="49.5">
      <c r="A11" s="6" t="s">
        <v>551</v>
      </c>
      <c r="B11" s="217">
        <v>3</v>
      </c>
      <c r="C11" s="217">
        <f ca="1">D11+B11-1</f>
        <v>31</v>
      </c>
      <c r="D11" s="217">
        <f ca="1">INDIRECT(ADDRESS(ROW()-1,COLUMN()-1))+1</f>
        <v>29</v>
      </c>
      <c r="E11" s="217">
        <f t="shared" ca="1" si="10"/>
        <v>0</v>
      </c>
      <c r="F11" s="217">
        <f t="shared" ca="1" si="11"/>
        <v>31</v>
      </c>
      <c r="G11" s="217">
        <f ca="1">D11-E11*32</f>
        <v>29</v>
      </c>
      <c r="H11" s="217" t="s">
        <v>251</v>
      </c>
      <c r="I11" s="218" t="s">
        <v>555</v>
      </c>
      <c r="J11" s="227" t="s">
        <v>228</v>
      </c>
    </row>
    <row r="12" spans="1:12" ht="16.5">
      <c r="A12" s="6" t="s">
        <v>2362</v>
      </c>
      <c r="B12" s="7">
        <v>32</v>
      </c>
      <c r="C12" s="7">
        <f ca="1">D12+B12-1</f>
        <v>63</v>
      </c>
      <c r="D12" s="7">
        <f ca="1">INDIRECT(ADDRESS(ROW()-1,COLUMN()-1))+1</f>
        <v>32</v>
      </c>
      <c r="E12" s="7">
        <f ca="1">ROUNDDOWN(C12/32,0)</f>
        <v>1</v>
      </c>
      <c r="F12" s="7">
        <f ca="1">C12-E12*32</f>
        <v>31</v>
      </c>
      <c r="G12" s="7">
        <f ca="1">D12-E12*32</f>
        <v>0</v>
      </c>
      <c r="H12" s="7" t="s">
        <v>251</v>
      </c>
      <c r="I12" s="22" t="s">
        <v>2355</v>
      </c>
      <c r="J12" s="101"/>
    </row>
    <row r="13" spans="1:12" ht="16.5">
      <c r="A13" s="6" t="s">
        <v>2361</v>
      </c>
      <c r="B13" s="7">
        <v>13</v>
      </c>
      <c r="C13" s="7">
        <f ca="1">D13+B13-1</f>
        <v>76</v>
      </c>
      <c r="D13" s="7">
        <f ca="1">INDIRECT(ADDRESS(ROW()-1,COLUMN()-1))+1</f>
        <v>64</v>
      </c>
      <c r="E13" s="7">
        <f ca="1">ROUNDDOWN(C13/32,0)</f>
        <v>2</v>
      </c>
      <c r="F13" s="7">
        <f ca="1">C13-E13*32</f>
        <v>12</v>
      </c>
      <c r="G13" s="7">
        <f ca="1">D13-E13*32</f>
        <v>0</v>
      </c>
      <c r="H13" s="7" t="s">
        <v>251</v>
      </c>
      <c r="I13" s="22" t="s">
        <v>2373</v>
      </c>
      <c r="J13" s="101">
        <v>0</v>
      </c>
    </row>
    <row r="14" spans="1:12" ht="16.5">
      <c r="A14" s="219" t="s">
        <v>2363</v>
      </c>
      <c r="B14" s="7">
        <v>10</v>
      </c>
      <c r="C14" s="7">
        <f ca="1">D14+B14-1</f>
        <v>86</v>
      </c>
      <c r="D14" s="7">
        <f ca="1">INDIRECT(ADDRESS(ROW()-1,COLUMN()-1))+1</f>
        <v>77</v>
      </c>
      <c r="E14" s="7">
        <f ca="1">ROUNDDOWN(C14/32,0)</f>
        <v>2</v>
      </c>
      <c r="F14" s="7">
        <f ca="1">C14-E14*32</f>
        <v>22</v>
      </c>
      <c r="G14" s="7">
        <f ca="1">D14-E14*32</f>
        <v>13</v>
      </c>
      <c r="H14" s="7" t="s">
        <v>251</v>
      </c>
      <c r="I14" s="22" t="s">
        <v>2356</v>
      </c>
      <c r="J14" s="101">
        <v>0</v>
      </c>
    </row>
    <row r="15" spans="1:12" ht="16.5">
      <c r="A15" s="219" t="s">
        <v>206</v>
      </c>
      <c r="B15" s="7">
        <v>9</v>
      </c>
      <c r="C15" s="7">
        <f t="shared" ref="C15:C16" ca="1" si="13">D15+B15-1</f>
        <v>95</v>
      </c>
      <c r="D15" s="7">
        <f t="shared" ca="1" si="4"/>
        <v>87</v>
      </c>
      <c r="E15" s="7">
        <f t="shared" ref="E15:E16" ca="1" si="14">ROUNDDOWN(C15/32,0)</f>
        <v>2</v>
      </c>
      <c r="F15" s="7">
        <f t="shared" ref="F15:F16" ca="1" si="15">C15-E15*32</f>
        <v>31</v>
      </c>
      <c r="G15" s="7">
        <f t="shared" ref="G15:G16" ca="1" si="16">D15-E15*32</f>
        <v>23</v>
      </c>
      <c r="H15" s="7" t="s">
        <v>246</v>
      </c>
      <c r="I15" s="22" t="s">
        <v>206</v>
      </c>
      <c r="J15" s="102"/>
    </row>
    <row r="16" spans="1:12" ht="16.5">
      <c r="A16" s="6" t="s">
        <v>2368</v>
      </c>
      <c r="B16" s="7">
        <v>32</v>
      </c>
      <c r="C16" s="7">
        <f t="shared" ca="1" si="13"/>
        <v>127</v>
      </c>
      <c r="D16" s="7">
        <f t="shared" ca="1" si="4"/>
        <v>96</v>
      </c>
      <c r="E16" s="7">
        <f t="shared" ca="1" si="14"/>
        <v>3</v>
      </c>
      <c r="F16" s="7">
        <f t="shared" ca="1" si="15"/>
        <v>31</v>
      </c>
      <c r="G16" s="7">
        <f t="shared" ca="1" si="16"/>
        <v>0</v>
      </c>
      <c r="H16" s="7" t="s">
        <v>10</v>
      </c>
      <c r="I16" s="22" t="str">
        <f ca="1">INDIRECT("template!I30")</f>
        <v xml:space="preserve">addr eq addr[49:40] </v>
      </c>
      <c r="J16" s="102" t="s">
        <v>556</v>
      </c>
    </row>
    <row r="17" spans="1:12" ht="16.5">
      <c r="A17" s="6" t="s">
        <v>2367</v>
      </c>
      <c r="B17" s="7">
        <v>13</v>
      </c>
      <c r="C17" s="7">
        <f ca="1">D17+B17-1</f>
        <v>140</v>
      </c>
      <c r="D17" s="7">
        <f t="shared" ca="1" si="4"/>
        <v>128</v>
      </c>
      <c r="E17" s="7">
        <f ca="1">ROUNDDOWN(C17/32,0)</f>
        <v>4</v>
      </c>
      <c r="F17" s="7">
        <f ca="1">C17-E17*32</f>
        <v>12</v>
      </c>
      <c r="G17" s="7">
        <f ca="1">D17-E17*32</f>
        <v>0</v>
      </c>
      <c r="H17" s="7" t="s">
        <v>10</v>
      </c>
      <c r="I17" s="22" t="s">
        <v>2372</v>
      </c>
      <c r="J17" s="102" t="s">
        <v>556</v>
      </c>
    </row>
    <row r="18" spans="1:12" ht="16.5">
      <c r="A18" s="219" t="s">
        <v>2366</v>
      </c>
      <c r="B18" s="7">
        <v>10</v>
      </c>
      <c r="C18" s="7">
        <f t="shared" ref="C18:C20" ca="1" si="17">D18+B18-1</f>
        <v>150</v>
      </c>
      <c r="D18" s="7">
        <f t="shared" ca="1" si="4"/>
        <v>141</v>
      </c>
      <c r="E18" s="7">
        <f t="shared" ref="E18:E20" ca="1" si="18">ROUNDDOWN(C18/32,0)</f>
        <v>4</v>
      </c>
      <c r="F18" s="7">
        <f t="shared" ref="F18:F20" ca="1" si="19">C18-E18*32</f>
        <v>22</v>
      </c>
      <c r="G18" s="7">
        <f t="shared" ref="G18:G20" ca="1" si="20">D18-E18*32</f>
        <v>13</v>
      </c>
      <c r="H18" s="7" t="s">
        <v>10</v>
      </c>
      <c r="I18" s="22" t="s">
        <v>2351</v>
      </c>
      <c r="J18" s="102"/>
    </row>
    <row r="19" spans="1:12" ht="16.5">
      <c r="A19" s="219" t="s">
        <v>206</v>
      </c>
      <c r="B19" s="7">
        <v>9</v>
      </c>
      <c r="C19" s="7">
        <f t="shared" ca="1" si="17"/>
        <v>159</v>
      </c>
      <c r="D19" s="7">
        <f t="shared" ca="1" si="4"/>
        <v>151</v>
      </c>
      <c r="E19" s="7">
        <f t="shared" ca="1" si="18"/>
        <v>4</v>
      </c>
      <c r="F19" s="7">
        <f t="shared" ca="1" si="19"/>
        <v>31</v>
      </c>
      <c r="G19" s="7">
        <f t="shared" ca="1" si="20"/>
        <v>23</v>
      </c>
      <c r="H19" s="7" t="s">
        <v>246</v>
      </c>
      <c r="I19" s="22" t="s">
        <v>206</v>
      </c>
      <c r="J19" s="102"/>
    </row>
    <row r="20" spans="1:12" s="2" customFormat="1" ht="16.5">
      <c r="A20" s="6" t="s">
        <v>2364</v>
      </c>
      <c r="B20" s="7">
        <v>16</v>
      </c>
      <c r="C20" s="7">
        <f t="shared" ca="1" si="17"/>
        <v>175</v>
      </c>
      <c r="D20" s="7">
        <f t="shared" ca="1" si="4"/>
        <v>160</v>
      </c>
      <c r="E20" s="7">
        <f t="shared" ca="1" si="18"/>
        <v>5</v>
      </c>
      <c r="F20" s="7">
        <f t="shared" ca="1" si="19"/>
        <v>15</v>
      </c>
      <c r="G20" s="7">
        <f t="shared" ca="1" si="20"/>
        <v>0</v>
      </c>
      <c r="H20" s="7" t="s">
        <v>10</v>
      </c>
      <c r="I20" s="22" t="s">
        <v>2342</v>
      </c>
      <c r="J20" s="102" t="s">
        <v>228</v>
      </c>
    </row>
    <row r="21" spans="1:12" ht="16.5">
      <c r="A21" s="6" t="s">
        <v>2370</v>
      </c>
      <c r="B21" s="7">
        <v>4</v>
      </c>
      <c r="C21" s="7">
        <f ca="1">D21+B21-1</f>
        <v>179</v>
      </c>
      <c r="D21" s="7">
        <f ca="1">INDIRECT(ADDRESS(ROW()-1,COLUMN()-1))+1</f>
        <v>176</v>
      </c>
      <c r="E21" s="7">
        <f ca="1">ROUNDDOWN(C21/32,0)</f>
        <v>5</v>
      </c>
      <c r="F21" s="7">
        <f ca="1">C21-E21*32</f>
        <v>19</v>
      </c>
      <c r="G21" s="7">
        <f ca="1">D21-E21*32</f>
        <v>16</v>
      </c>
      <c r="H21" s="7" t="s">
        <v>251</v>
      </c>
      <c r="I21" s="22" t="s">
        <v>2371</v>
      </c>
      <c r="J21" s="101">
        <v>0</v>
      </c>
    </row>
    <row r="22" spans="1:12" ht="16.5">
      <c r="A22" s="219" t="s">
        <v>206</v>
      </c>
      <c r="B22" s="7">
        <v>12</v>
      </c>
      <c r="C22" s="7">
        <f t="shared" ref="C22" ca="1" si="21">D22+B22-1</f>
        <v>191</v>
      </c>
      <c r="D22" s="7">
        <f t="shared" ca="1" si="4"/>
        <v>180</v>
      </c>
      <c r="E22" s="7">
        <f t="shared" ref="E22" ca="1" si="22">ROUNDDOWN(C22/32,0)</f>
        <v>5</v>
      </c>
      <c r="F22" s="7">
        <f t="shared" ref="F22" ca="1" si="23">C22-E22*32</f>
        <v>31</v>
      </c>
      <c r="G22" s="7">
        <f t="shared" ref="G22" ca="1" si="24">D22-E22*32</f>
        <v>20</v>
      </c>
      <c r="H22" s="7" t="s">
        <v>246</v>
      </c>
      <c r="I22" s="22" t="s">
        <v>206</v>
      </c>
      <c r="J22" s="102"/>
    </row>
    <row r="23" spans="1:12" ht="16.5">
      <c r="A23" s="219" t="s">
        <v>206</v>
      </c>
      <c r="B23" s="7">
        <v>32</v>
      </c>
      <c r="C23" s="7">
        <f ca="1">D23+B23-1</f>
        <v>223</v>
      </c>
      <c r="D23" s="7">
        <f ca="1">INDIRECT(ADDRESS(ROW()-1,COLUMN()-1))+1</f>
        <v>192</v>
      </c>
      <c r="E23" s="7">
        <f ca="1">ROUNDDOWN(C23/32,0)</f>
        <v>6</v>
      </c>
      <c r="F23" s="7">
        <f ca="1">C23-E23*32</f>
        <v>31</v>
      </c>
      <c r="G23" s="7">
        <f ca="1">D23-E23*32</f>
        <v>0</v>
      </c>
      <c r="H23" s="7" t="s">
        <v>15</v>
      </c>
      <c r="I23" s="22" t="s">
        <v>206</v>
      </c>
      <c r="J23" s="101">
        <v>0</v>
      </c>
    </row>
    <row r="24" spans="1:12" ht="16.5">
      <c r="A24" s="219" t="s">
        <v>206</v>
      </c>
      <c r="B24" s="7">
        <v>32</v>
      </c>
      <c r="C24" s="7">
        <f ca="1">D24+B24-1</f>
        <v>255</v>
      </c>
      <c r="D24" s="7">
        <f ca="1">INDIRECT(ADDRESS(ROW()-1,COLUMN()-1))+1</f>
        <v>224</v>
      </c>
      <c r="E24" s="7">
        <f ca="1">ROUNDDOWN(C24/32,0)</f>
        <v>7</v>
      </c>
      <c r="F24" s="7">
        <f ca="1">C24-E24*32</f>
        <v>31</v>
      </c>
      <c r="G24" s="7">
        <f ca="1">D24-E24*32</f>
        <v>0</v>
      </c>
      <c r="H24" s="7" t="s">
        <v>15</v>
      </c>
      <c r="I24" s="22" t="s">
        <v>206</v>
      </c>
      <c r="J24" s="101">
        <v>0</v>
      </c>
    </row>
    <row r="25" spans="1:12">
      <c r="A25" s="28" t="s">
        <v>144</v>
      </c>
    </row>
    <row r="26" spans="1:12">
      <c r="A26" s="28" t="s">
        <v>123</v>
      </c>
    </row>
    <row r="27" spans="1:12">
      <c r="A27" s="28" t="s">
        <v>124</v>
      </c>
    </row>
    <row r="28" spans="1:12" s="29" customFormat="1">
      <c r="A28" s="28" t="s">
        <v>125</v>
      </c>
      <c r="H28" s="1"/>
      <c r="I28" s="31"/>
      <c r="J28" s="1"/>
      <c r="K28" s="1"/>
      <c r="L28" s="1"/>
    </row>
    <row r="29" spans="1:12" s="29" customFormat="1">
      <c r="A29" s="28" t="s">
        <v>126</v>
      </c>
      <c r="H29" s="1"/>
      <c r="I29" s="31"/>
      <c r="J29" s="1"/>
      <c r="K29" s="1"/>
      <c r="L29" s="1"/>
    </row>
  </sheetData>
  <phoneticPr fontId="24" type="noConversion"/>
  <pageMargins left="0.25" right="0.25" top="0.75" bottom="0.75" header="0.3" footer="0.3"/>
  <pageSetup paperSize="9" scale="38"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2"/>
  <sheetViews>
    <sheetView zoomScale="130" zoomScaleNormal="130" workbookViewId="0">
      <pane ySplit="1" topLeftCell="A8" activePane="bottomLeft" state="frozen"/>
      <selection pane="bottomLeft" activeCell="A18" sqref="A18"/>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16.5">
      <c r="A3" s="219" t="s">
        <v>206</v>
      </c>
      <c r="B3" s="7">
        <v>1</v>
      </c>
      <c r="C3" s="7">
        <v>1</v>
      </c>
      <c r="D3" s="7">
        <v>1</v>
      </c>
      <c r="E3" s="7">
        <f>ROUNDDOWN(C3/32,0)</f>
        <v>0</v>
      </c>
      <c r="F3" s="7">
        <f>C3-E3*32</f>
        <v>1</v>
      </c>
      <c r="G3" s="7">
        <f>D3-E3*32</f>
        <v>1</v>
      </c>
      <c r="H3" s="7" t="s">
        <v>246</v>
      </c>
      <c r="I3" s="22" t="s">
        <v>206</v>
      </c>
      <c r="J3" s="100" t="s">
        <v>228</v>
      </c>
      <c r="L3" s="152"/>
    </row>
    <row r="4" spans="1:12" ht="16.5">
      <c r="A4" s="219" t="s">
        <v>206</v>
      </c>
      <c r="B4" s="7">
        <v>1</v>
      </c>
      <c r="C4" s="7">
        <v>2</v>
      </c>
      <c r="D4" s="7">
        <f ca="1">INDIRECT(ADDRESS(ROW()-1,COLUMN()-1))+1</f>
        <v>2</v>
      </c>
      <c r="E4" s="7">
        <f>ROUNDDOWN(C4/32,0)</f>
        <v>0</v>
      </c>
      <c r="F4" s="7">
        <f>C4-E4*32</f>
        <v>2</v>
      </c>
      <c r="G4" s="7">
        <f ca="1">D4-E4*32</f>
        <v>2</v>
      </c>
      <c r="H4" s="7" t="s">
        <v>15</v>
      </c>
      <c r="I4" s="22" t="s">
        <v>206</v>
      </c>
      <c r="J4" s="101">
        <v>0</v>
      </c>
    </row>
    <row r="5" spans="1:12" ht="16.5">
      <c r="A5" s="6" t="s">
        <v>1012</v>
      </c>
      <c r="B5" s="7">
        <v>1</v>
      </c>
      <c r="C5" s="7">
        <f t="shared" ref="C5:C7" ca="1" si="0">D5+B5-1</f>
        <v>3</v>
      </c>
      <c r="D5" s="7">
        <f ca="1">INDIRECT(ADDRESS(ROW()-1,COLUMN()-1))+1</f>
        <v>3</v>
      </c>
      <c r="E5" s="7">
        <f t="shared" ref="E5:E7" ca="1" si="1">ROUNDDOWN(C5/32,0)</f>
        <v>0</v>
      </c>
      <c r="F5" s="7">
        <f t="shared" ref="F5:F7" ca="1" si="2">C5-E5*32</f>
        <v>3</v>
      </c>
      <c r="G5" s="7">
        <f t="shared" ref="G5:G7" ca="1" si="3">D5-E5*32</f>
        <v>3</v>
      </c>
      <c r="H5" s="7" t="s">
        <v>251</v>
      </c>
      <c r="I5" s="22" t="s">
        <v>1013</v>
      </c>
      <c r="J5" s="100" t="s">
        <v>228</v>
      </c>
    </row>
    <row r="6" spans="1:12" customFormat="1" ht="231">
      <c r="A6" s="6" t="s">
        <v>128</v>
      </c>
      <c r="B6" s="7">
        <v>4</v>
      </c>
      <c r="C6" s="7">
        <f t="shared" ca="1" si="0"/>
        <v>7</v>
      </c>
      <c r="D6" s="7">
        <f t="shared" ref="D6:D25" ca="1" si="4">INDIRECT(ADDRESS(ROW()-1,COLUMN()-1))+1</f>
        <v>4</v>
      </c>
      <c r="E6" s="7">
        <f t="shared" ca="1" si="1"/>
        <v>0</v>
      </c>
      <c r="F6" s="7">
        <f t="shared" ca="1" si="2"/>
        <v>7</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16.5">
      <c r="A7" s="219" t="s">
        <v>206</v>
      </c>
      <c r="B7" s="7">
        <v>4</v>
      </c>
      <c r="C7" s="7">
        <f t="shared" ca="1" si="0"/>
        <v>11</v>
      </c>
      <c r="D7" s="7">
        <f t="shared" ca="1" si="4"/>
        <v>8</v>
      </c>
      <c r="E7" s="7">
        <f t="shared" ca="1" si="1"/>
        <v>0</v>
      </c>
      <c r="F7" s="7">
        <f t="shared" ca="1" si="2"/>
        <v>11</v>
      </c>
      <c r="G7" s="7">
        <f t="shared" ca="1" si="3"/>
        <v>8</v>
      </c>
      <c r="H7" s="7" t="s">
        <v>246</v>
      </c>
      <c r="I7" s="22" t="s">
        <v>110</v>
      </c>
      <c r="J7" s="100" t="s">
        <v>228</v>
      </c>
    </row>
    <row r="8" spans="1:12" s="204" customFormat="1" ht="148.5">
      <c r="A8" s="6" t="s">
        <v>55</v>
      </c>
      <c r="B8" s="217">
        <v>4</v>
      </c>
      <c r="C8" s="217">
        <f t="shared" ref="C8" ca="1" si="5">D8+B8-1</f>
        <v>15</v>
      </c>
      <c r="D8" s="217">
        <f ca="1">INDIRECT(ADDRESS(ROW()-1,COLUMN()-1))+1</f>
        <v>12</v>
      </c>
      <c r="E8" s="217">
        <f t="shared" ref="E8" ca="1" si="6">ROUNDDOWN(C8/32,0)</f>
        <v>0</v>
      </c>
      <c r="F8" s="217">
        <f t="shared" ref="F8" ca="1" si="7">C8-E8*32</f>
        <v>15</v>
      </c>
      <c r="G8" s="217">
        <f t="shared" ref="G8" ca="1" si="8">D8-E8*32</f>
        <v>12</v>
      </c>
      <c r="H8" s="217" t="s">
        <v>10</v>
      </c>
      <c r="I8" s="218" t="str">
        <f ca="1">CONCATENATE(INDIRECT("template!I9"))</f>
        <v>Source Data Format
0:INT8
1:FP16
2:FP32
3:INT16
4:INT32
5:BFP16
6:FP20
others：not support</v>
      </c>
      <c r="J8" s="203" t="s">
        <v>228</v>
      </c>
    </row>
    <row r="9" spans="1:12" s="204" customFormat="1" ht="99">
      <c r="A9" s="222" t="s">
        <v>553</v>
      </c>
      <c r="B9" s="217">
        <v>3</v>
      </c>
      <c r="C9" s="217">
        <f ca="1">D9+B9-1</f>
        <v>18</v>
      </c>
      <c r="D9" s="217">
        <f ca="1">INDIRECT(ADDRESS(ROW()-1,COLUMN()-1))+1</f>
        <v>16</v>
      </c>
      <c r="E9" s="217">
        <f ca="1">ROUNDDOWN(C9/32,0)</f>
        <v>0</v>
      </c>
      <c r="F9" s="217">
        <f ca="1">C9-E9*32</f>
        <v>18</v>
      </c>
      <c r="G9" s="217">
        <f ca="1">D9-E9*32</f>
        <v>16</v>
      </c>
      <c r="H9" s="217" t="s">
        <v>10</v>
      </c>
      <c r="I9" s="220" t="s">
        <v>1591</v>
      </c>
      <c r="J9" s="205" t="s">
        <v>228</v>
      </c>
    </row>
    <row r="10" spans="1:12" ht="16.5">
      <c r="A10" s="219" t="s">
        <v>206</v>
      </c>
      <c r="B10" s="7">
        <v>10</v>
      </c>
      <c r="C10" s="7">
        <f t="shared" ref="C10" ca="1" si="9">D10+B10-1</f>
        <v>28</v>
      </c>
      <c r="D10" s="7">
        <f t="shared" ca="1" si="4"/>
        <v>19</v>
      </c>
      <c r="E10" s="7">
        <f t="shared" ref="E10:E11" ca="1" si="10">ROUNDDOWN(C10/32,0)</f>
        <v>0</v>
      </c>
      <c r="F10" s="7">
        <f t="shared" ref="F10:F11" ca="1" si="11">C10-E10*32</f>
        <v>28</v>
      </c>
      <c r="G10" s="7">
        <f t="shared" ref="G10" ca="1" si="12">D10-E10*32</f>
        <v>19</v>
      </c>
      <c r="H10" s="7" t="s">
        <v>246</v>
      </c>
      <c r="I10" s="22" t="s">
        <v>110</v>
      </c>
      <c r="J10" s="100" t="s">
        <v>228</v>
      </c>
    </row>
    <row r="11" spans="1:12" s="204" customFormat="1" ht="49.5">
      <c r="A11" s="222" t="s">
        <v>551</v>
      </c>
      <c r="B11" s="217">
        <v>3</v>
      </c>
      <c r="C11" s="217">
        <f ca="1">D11+B11-1</f>
        <v>31</v>
      </c>
      <c r="D11" s="217">
        <f ca="1">INDIRECT(ADDRESS(ROW()-1,COLUMN()-1))+1</f>
        <v>29</v>
      </c>
      <c r="E11" s="217">
        <f t="shared" ca="1" si="10"/>
        <v>0</v>
      </c>
      <c r="F11" s="217">
        <f t="shared" ca="1" si="11"/>
        <v>31</v>
      </c>
      <c r="G11" s="217">
        <f ca="1">D11-E11*32</f>
        <v>29</v>
      </c>
      <c r="H11" s="217" t="s">
        <v>251</v>
      </c>
      <c r="I11" s="218" t="s">
        <v>555</v>
      </c>
      <c r="J11" s="227" t="s">
        <v>228</v>
      </c>
    </row>
    <row r="12" spans="1:12" ht="16.5">
      <c r="A12" s="6" t="s">
        <v>2362</v>
      </c>
      <c r="B12" s="7">
        <v>32</v>
      </c>
      <c r="C12" s="7">
        <f ca="1">D12+B12-1</f>
        <v>63</v>
      </c>
      <c r="D12" s="7">
        <f ca="1">INDIRECT(ADDRESS(ROW()-1,COLUMN()-1))+1</f>
        <v>32</v>
      </c>
      <c r="E12" s="7">
        <f ca="1">ROUNDDOWN(C12/32,0)</f>
        <v>1</v>
      </c>
      <c r="F12" s="7">
        <f ca="1">C12-E12*32</f>
        <v>31</v>
      </c>
      <c r="G12" s="7">
        <f ca="1">D12-E12*32</f>
        <v>0</v>
      </c>
      <c r="H12" s="7" t="s">
        <v>251</v>
      </c>
      <c r="I12" s="22" t="s">
        <v>2355</v>
      </c>
      <c r="J12" s="101"/>
    </row>
    <row r="13" spans="1:12" ht="16.5">
      <c r="A13" s="6" t="s">
        <v>2361</v>
      </c>
      <c r="B13" s="7">
        <v>13</v>
      </c>
      <c r="C13" s="7">
        <f ca="1">D13+B13-1</f>
        <v>76</v>
      </c>
      <c r="D13" s="7">
        <f ca="1">INDIRECT(ADDRESS(ROW()-1,COLUMN()-1))+1</f>
        <v>64</v>
      </c>
      <c r="E13" s="7">
        <f ca="1">ROUNDDOWN(C13/32,0)</f>
        <v>2</v>
      </c>
      <c r="F13" s="7">
        <f ca="1">C13-E13*32</f>
        <v>12</v>
      </c>
      <c r="G13" s="7">
        <f ca="1">D13-E13*32</f>
        <v>0</v>
      </c>
      <c r="H13" s="7" t="s">
        <v>251</v>
      </c>
      <c r="I13" s="22" t="s">
        <v>2373</v>
      </c>
      <c r="J13" s="101">
        <v>0</v>
      </c>
    </row>
    <row r="14" spans="1:12" ht="16.5">
      <c r="A14" s="219" t="s">
        <v>2363</v>
      </c>
      <c r="B14" s="7">
        <v>10</v>
      </c>
      <c r="C14" s="7">
        <f ca="1">D14+B14-1</f>
        <v>86</v>
      </c>
      <c r="D14" s="7">
        <f ca="1">INDIRECT(ADDRESS(ROW()-1,COLUMN()-1))+1</f>
        <v>77</v>
      </c>
      <c r="E14" s="7">
        <f ca="1">ROUNDDOWN(C14/32,0)</f>
        <v>2</v>
      </c>
      <c r="F14" s="7">
        <f ca="1">C14-E14*32</f>
        <v>22</v>
      </c>
      <c r="G14" s="7">
        <f ca="1">D14-E14*32</f>
        <v>13</v>
      </c>
      <c r="H14" s="7" t="s">
        <v>251</v>
      </c>
      <c r="I14" s="22" t="s">
        <v>2356</v>
      </c>
      <c r="J14" s="101">
        <v>0</v>
      </c>
    </row>
    <row r="15" spans="1:12" ht="16.5">
      <c r="A15" s="219" t="s">
        <v>206</v>
      </c>
      <c r="B15" s="7">
        <v>9</v>
      </c>
      <c r="C15" s="7">
        <f t="shared" ref="C15:C16" ca="1" si="13">D15+B15-1</f>
        <v>95</v>
      </c>
      <c r="D15" s="7">
        <f t="shared" ca="1" si="4"/>
        <v>87</v>
      </c>
      <c r="E15" s="7">
        <f t="shared" ref="E15:E16" ca="1" si="14">ROUNDDOWN(C15/32,0)</f>
        <v>2</v>
      </c>
      <c r="F15" s="7">
        <f t="shared" ref="F15:F16" ca="1" si="15">C15-E15*32</f>
        <v>31</v>
      </c>
      <c r="G15" s="7">
        <f t="shared" ref="G15:G16" ca="1" si="16">D15-E15*32</f>
        <v>23</v>
      </c>
      <c r="H15" s="7" t="s">
        <v>246</v>
      </c>
      <c r="I15" s="22" t="s">
        <v>206</v>
      </c>
      <c r="J15" s="102"/>
    </row>
    <row r="16" spans="1:12" ht="16.5">
      <c r="A16" s="6" t="s">
        <v>2369</v>
      </c>
      <c r="B16" s="7">
        <v>32</v>
      </c>
      <c r="C16" s="7">
        <f t="shared" ca="1" si="13"/>
        <v>127</v>
      </c>
      <c r="D16" s="7">
        <f t="shared" ca="1" si="4"/>
        <v>96</v>
      </c>
      <c r="E16" s="7">
        <f t="shared" ca="1" si="14"/>
        <v>3</v>
      </c>
      <c r="F16" s="7">
        <f t="shared" ca="1" si="15"/>
        <v>31</v>
      </c>
      <c r="G16" s="7">
        <f t="shared" ca="1" si="16"/>
        <v>0</v>
      </c>
      <c r="H16" s="7" t="s">
        <v>10</v>
      </c>
      <c r="I16" s="22" t="str">
        <f ca="1">INDIRECT("template!I30")</f>
        <v xml:space="preserve">addr eq addr[49:40] </v>
      </c>
      <c r="J16" s="102" t="s">
        <v>556</v>
      </c>
    </row>
    <row r="17" spans="1:12" ht="16.5">
      <c r="A17" s="6" t="s">
        <v>2365</v>
      </c>
      <c r="B17" s="7">
        <v>13</v>
      </c>
      <c r="C17" s="7">
        <f ca="1">D17+B17-1</f>
        <v>140</v>
      </c>
      <c r="D17" s="7">
        <f t="shared" ca="1" si="4"/>
        <v>128</v>
      </c>
      <c r="E17" s="7">
        <f ca="1">ROUNDDOWN(C17/32,0)</f>
        <v>4</v>
      </c>
      <c r="F17" s="7">
        <f ca="1">C17-E17*32</f>
        <v>12</v>
      </c>
      <c r="G17" s="7">
        <f ca="1">D17-E17*32</f>
        <v>0</v>
      </c>
      <c r="H17" s="7" t="s">
        <v>10</v>
      </c>
      <c r="I17" s="22" t="s">
        <v>2372</v>
      </c>
      <c r="J17" s="102" t="s">
        <v>556</v>
      </c>
    </row>
    <row r="18" spans="1:12" ht="16.5">
      <c r="A18" s="219" t="s">
        <v>2396</v>
      </c>
      <c r="B18" s="7">
        <v>10</v>
      </c>
      <c r="C18" s="7">
        <f t="shared" ref="C18:C20" ca="1" si="17">D18+B18-1</f>
        <v>150</v>
      </c>
      <c r="D18" s="7">
        <f t="shared" ca="1" si="4"/>
        <v>141</v>
      </c>
      <c r="E18" s="7">
        <f t="shared" ref="E18:E20" ca="1" si="18">ROUNDDOWN(C18/32,0)</f>
        <v>4</v>
      </c>
      <c r="F18" s="7">
        <f t="shared" ref="F18:F20" ca="1" si="19">C18-E18*32</f>
        <v>22</v>
      </c>
      <c r="G18" s="7">
        <f t="shared" ref="G18:G20" ca="1" si="20">D18-E18*32</f>
        <v>13</v>
      </c>
      <c r="H18" s="7" t="s">
        <v>10</v>
      </c>
      <c r="I18" s="22" t="s">
        <v>2351</v>
      </c>
      <c r="J18" s="102"/>
    </row>
    <row r="19" spans="1:12" ht="16.5">
      <c r="A19" s="219" t="s">
        <v>206</v>
      </c>
      <c r="B19" s="7">
        <v>9</v>
      </c>
      <c r="C19" s="7">
        <f t="shared" ca="1" si="17"/>
        <v>159</v>
      </c>
      <c r="D19" s="7">
        <f t="shared" ca="1" si="4"/>
        <v>151</v>
      </c>
      <c r="E19" s="7">
        <f t="shared" ca="1" si="18"/>
        <v>4</v>
      </c>
      <c r="F19" s="7">
        <f t="shared" ca="1" si="19"/>
        <v>31</v>
      </c>
      <c r="G19" s="7">
        <f t="shared" ca="1" si="20"/>
        <v>23</v>
      </c>
      <c r="H19" s="7" t="s">
        <v>246</v>
      </c>
      <c r="I19" s="22" t="s">
        <v>206</v>
      </c>
      <c r="J19" s="102"/>
    </row>
    <row r="20" spans="1:12" s="2" customFormat="1" ht="16.5">
      <c r="A20" s="6" t="s">
        <v>2364</v>
      </c>
      <c r="B20" s="7">
        <v>16</v>
      </c>
      <c r="C20" s="7">
        <f t="shared" ca="1" si="17"/>
        <v>175</v>
      </c>
      <c r="D20" s="7">
        <f t="shared" ca="1" si="4"/>
        <v>160</v>
      </c>
      <c r="E20" s="7">
        <f t="shared" ca="1" si="18"/>
        <v>5</v>
      </c>
      <c r="F20" s="7">
        <f t="shared" ca="1" si="19"/>
        <v>15</v>
      </c>
      <c r="G20" s="7">
        <f t="shared" ca="1" si="20"/>
        <v>0</v>
      </c>
      <c r="H20" s="7" t="s">
        <v>10</v>
      </c>
      <c r="I20" s="22" t="s">
        <v>2342</v>
      </c>
      <c r="J20" s="102" t="s">
        <v>228</v>
      </c>
    </row>
    <row r="21" spans="1:12" ht="16.5">
      <c r="A21" s="6" t="s">
        <v>2370</v>
      </c>
      <c r="B21" s="7">
        <v>4</v>
      </c>
      <c r="C21" s="7">
        <f ca="1">D21+B21-1</f>
        <v>179</v>
      </c>
      <c r="D21" s="7">
        <f ca="1">INDIRECT(ADDRESS(ROW()-1,COLUMN()-1))+1</f>
        <v>176</v>
      </c>
      <c r="E21" s="7">
        <f ca="1">ROUNDDOWN(C21/32,0)</f>
        <v>5</v>
      </c>
      <c r="F21" s="7">
        <f ca="1">C21-E21*32</f>
        <v>19</v>
      </c>
      <c r="G21" s="7">
        <f ca="1">D21-E21*32</f>
        <v>16</v>
      </c>
      <c r="H21" s="7" t="s">
        <v>251</v>
      </c>
      <c r="I21" s="22" t="s">
        <v>2371</v>
      </c>
      <c r="J21" s="101">
        <v>0</v>
      </c>
    </row>
    <row r="22" spans="1:12" ht="16.5">
      <c r="A22" s="219" t="s">
        <v>206</v>
      </c>
      <c r="B22" s="7">
        <v>12</v>
      </c>
      <c r="C22" s="7">
        <f t="shared" ref="C22" ca="1" si="21">D22+B22-1</f>
        <v>191</v>
      </c>
      <c r="D22" s="7">
        <f t="shared" ca="1" si="4"/>
        <v>180</v>
      </c>
      <c r="E22" s="7">
        <f t="shared" ref="E22" ca="1" si="22">ROUNDDOWN(C22/32,0)</f>
        <v>5</v>
      </c>
      <c r="F22" s="7">
        <f t="shared" ref="F22" ca="1" si="23">C22-E22*32</f>
        <v>31</v>
      </c>
      <c r="G22" s="7">
        <f t="shared" ref="G22" ca="1" si="24">D22-E22*32</f>
        <v>20</v>
      </c>
      <c r="H22" s="7" t="s">
        <v>246</v>
      </c>
      <c r="I22" s="22" t="s">
        <v>206</v>
      </c>
      <c r="J22" s="102"/>
    </row>
    <row r="23" spans="1:12" ht="16.5">
      <c r="A23" s="6" t="s">
        <v>2374</v>
      </c>
      <c r="B23" s="7">
        <v>1</v>
      </c>
      <c r="C23" s="7">
        <f ca="1">D23+B23-1</f>
        <v>192</v>
      </c>
      <c r="D23" s="7">
        <f t="shared" ca="1" si="4"/>
        <v>192</v>
      </c>
      <c r="E23" s="7">
        <f ca="1">ROUNDDOWN(C23/32,0)</f>
        <v>6</v>
      </c>
      <c r="F23" s="7">
        <f ca="1">C23-E23*32</f>
        <v>0</v>
      </c>
      <c r="G23" s="7">
        <f ca="1">D23-E23*32</f>
        <v>0</v>
      </c>
      <c r="H23" s="7" t="s">
        <v>251</v>
      </c>
      <c r="I23" s="22" t="s">
        <v>2357</v>
      </c>
      <c r="J23" s="101">
        <v>0</v>
      </c>
    </row>
    <row r="24" spans="1:12" ht="16.5">
      <c r="A24" s="6" t="s">
        <v>2377</v>
      </c>
      <c r="B24" s="7">
        <v>10</v>
      </c>
      <c r="C24" s="7">
        <f ca="1">D24+B24-1</f>
        <v>202</v>
      </c>
      <c r="D24" s="7">
        <f ca="1">INDIRECT(ADDRESS(ROW()-1,COLUMN()-1))+1</f>
        <v>193</v>
      </c>
      <c r="E24" s="7">
        <f ca="1">ROUNDDOWN(C24/32,0)</f>
        <v>6</v>
      </c>
      <c r="F24" s="7">
        <f ca="1">C24-E24*32</f>
        <v>10</v>
      </c>
      <c r="G24" s="7">
        <f ca="1">D24-E24*32</f>
        <v>1</v>
      </c>
      <c r="H24" s="7" t="s">
        <v>251</v>
      </c>
      <c r="I24" s="22" t="s">
        <v>2381</v>
      </c>
      <c r="J24" s="101">
        <v>0</v>
      </c>
    </row>
    <row r="25" spans="1:12" ht="16.5">
      <c r="A25" s="6" t="s">
        <v>2380</v>
      </c>
      <c r="B25" s="7">
        <v>7</v>
      </c>
      <c r="C25" s="7">
        <f t="shared" ref="C25" ca="1" si="25">D25+B25-1</f>
        <v>209</v>
      </c>
      <c r="D25" s="7">
        <f t="shared" ca="1" si="4"/>
        <v>203</v>
      </c>
      <c r="E25" s="7">
        <f t="shared" ref="E25" ca="1" si="26">ROUNDDOWN(C25/32,0)</f>
        <v>6</v>
      </c>
      <c r="F25" s="7">
        <f t="shared" ref="F25" ca="1" si="27">C25-E25*32</f>
        <v>17</v>
      </c>
      <c r="G25" s="7">
        <f t="shared" ref="G25" ca="1" si="28">D25-E25*32</f>
        <v>11</v>
      </c>
      <c r="H25" s="7" t="s">
        <v>251</v>
      </c>
      <c r="I25" s="22" t="s">
        <v>2382</v>
      </c>
      <c r="J25" s="102"/>
    </row>
    <row r="26" spans="1:12" ht="16.5">
      <c r="A26" s="219" t="s">
        <v>206</v>
      </c>
      <c r="B26" s="7">
        <v>14</v>
      </c>
      <c r="C26" s="7">
        <f ca="1">D26+B26-1</f>
        <v>223</v>
      </c>
      <c r="D26" s="7">
        <f ca="1">INDIRECT(ADDRESS(ROW()-1,COLUMN()-1))+1</f>
        <v>210</v>
      </c>
      <c r="E26" s="7">
        <f ca="1">ROUNDDOWN(C26/32,0)</f>
        <v>6</v>
      </c>
      <c r="F26" s="7">
        <f ca="1">C26-E26*32</f>
        <v>31</v>
      </c>
      <c r="G26" s="7">
        <f ca="1">D26-E26*32</f>
        <v>18</v>
      </c>
      <c r="H26" s="7" t="s">
        <v>15</v>
      </c>
      <c r="I26" s="22" t="s">
        <v>206</v>
      </c>
      <c r="J26" s="101">
        <v>0</v>
      </c>
    </row>
    <row r="27" spans="1:12" ht="16.5">
      <c r="A27" s="219" t="s">
        <v>206</v>
      </c>
      <c r="B27" s="7">
        <v>32</v>
      </c>
      <c r="C27" s="7">
        <f ca="1">D27+B27-1</f>
        <v>255</v>
      </c>
      <c r="D27" s="7">
        <f ca="1">INDIRECT(ADDRESS(ROW()-1,COLUMN()-1))+1</f>
        <v>224</v>
      </c>
      <c r="E27" s="7">
        <f ca="1">ROUNDDOWN(C27/32,0)</f>
        <v>7</v>
      </c>
      <c r="F27" s="7">
        <f ca="1">C27-E27*32</f>
        <v>31</v>
      </c>
      <c r="G27" s="7">
        <f ca="1">D27-E27*32</f>
        <v>0</v>
      </c>
      <c r="H27" s="7" t="s">
        <v>15</v>
      </c>
      <c r="I27" s="22" t="s">
        <v>206</v>
      </c>
      <c r="J27" s="101">
        <v>0</v>
      </c>
    </row>
    <row r="28" spans="1:12">
      <c r="A28" s="28" t="s">
        <v>144</v>
      </c>
    </row>
    <row r="29" spans="1:12">
      <c r="A29" s="28" t="s">
        <v>123</v>
      </c>
    </row>
    <row r="30" spans="1:12">
      <c r="A30" s="28" t="s">
        <v>124</v>
      </c>
    </row>
    <row r="31" spans="1:12" s="29" customFormat="1">
      <c r="A31" s="28" t="s">
        <v>125</v>
      </c>
      <c r="H31" s="1"/>
      <c r="I31" s="31"/>
      <c r="J31" s="1"/>
      <c r="K31" s="1"/>
      <c r="L31" s="1"/>
    </row>
    <row r="32" spans="1:12" s="29" customFormat="1">
      <c r="A32" s="28" t="s">
        <v>126</v>
      </c>
      <c r="H32" s="1"/>
      <c r="I32" s="31"/>
      <c r="J32" s="1"/>
      <c r="K32" s="1"/>
      <c r="L32" s="1"/>
    </row>
  </sheetData>
  <phoneticPr fontId="24" type="noConversion"/>
  <pageMargins left="0.25" right="0.25" top="0.75" bottom="0.75" header="0.3" footer="0.3"/>
  <pageSetup paperSize="9" scale="38"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zoomScale="115" zoomScaleNormal="115" workbookViewId="0">
      <pane ySplit="1" topLeftCell="A5" activePane="bottomLeft" state="frozen"/>
      <selection pane="bottomLeft" activeCell="A19" sqref="A19"/>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49.5">
      <c r="A3" s="6" t="s">
        <v>31</v>
      </c>
      <c r="B3" s="7">
        <v>1</v>
      </c>
      <c r="C3" s="7">
        <f t="shared" ref="C3:C19" ca="1" si="0">D3+B3-1</f>
        <v>1</v>
      </c>
      <c r="D3" s="7">
        <f t="shared" ref="D3:D23" ca="1" si="1">INDIRECT(ADDRESS(ROW()-1,COLUMN()-1))+1</f>
        <v>1</v>
      </c>
      <c r="E3" s="7">
        <f t="shared" ref="E3:E19" ca="1" si="2">ROUNDDOWN(C3/32,0)</f>
        <v>0</v>
      </c>
      <c r="F3" s="7">
        <f t="shared" ref="F3:F19" ca="1" si="3">C3-E3*32</f>
        <v>1</v>
      </c>
      <c r="G3" s="7">
        <f ca="1">D3-E3*32</f>
        <v>1</v>
      </c>
      <c r="H3" s="7" t="s">
        <v>10</v>
      </c>
      <c r="I3" s="22" t="str">
        <f ca="1">CONCATENATE(INDIRECT("template!I3"))</f>
        <v>Stride enable
0：No stride for all blob definition
1：Enable stride for all blob definition</v>
      </c>
      <c r="J3" s="101">
        <v>1</v>
      </c>
      <c r="L3" s="98" t="s">
        <v>226</v>
      </c>
    </row>
    <row r="4" spans="1:12" ht="16.5">
      <c r="A4" s="219" t="s">
        <v>206</v>
      </c>
      <c r="B4" s="7">
        <v>1</v>
      </c>
      <c r="C4" s="7">
        <f t="shared" ca="1" si="0"/>
        <v>2</v>
      </c>
      <c r="D4" s="7">
        <f t="shared" ca="1" si="1"/>
        <v>2</v>
      </c>
      <c r="E4" s="7">
        <f t="shared" ca="1" si="2"/>
        <v>0</v>
      </c>
      <c r="F4" s="7">
        <f t="shared" ca="1" si="3"/>
        <v>2</v>
      </c>
      <c r="G4" s="7">
        <f t="shared" ref="G4:G19" ca="1" si="4">D4-E4*32</f>
        <v>2</v>
      </c>
      <c r="H4" s="7" t="s">
        <v>246</v>
      </c>
      <c r="I4" s="22" t="s">
        <v>206</v>
      </c>
      <c r="J4" s="101">
        <v>0</v>
      </c>
    </row>
    <row r="5" spans="1:12" ht="16.5">
      <c r="A5" s="6" t="s">
        <v>1012</v>
      </c>
      <c r="B5" s="7">
        <v>1</v>
      </c>
      <c r="C5" s="7">
        <f t="shared" ca="1" si="0"/>
        <v>3</v>
      </c>
      <c r="D5" s="7">
        <f ca="1">INDIRECT(ADDRESS(ROW()-1,COLUMN()-1))+1</f>
        <v>3</v>
      </c>
      <c r="E5" s="7">
        <f t="shared" ca="1" si="2"/>
        <v>0</v>
      </c>
      <c r="F5" s="7">
        <f t="shared" ca="1" si="3"/>
        <v>3</v>
      </c>
      <c r="G5" s="7">
        <f t="shared" ca="1" si="4"/>
        <v>3</v>
      </c>
      <c r="H5" s="7" t="s">
        <v>251</v>
      </c>
      <c r="I5" s="22" t="s">
        <v>1013</v>
      </c>
      <c r="J5" s="100" t="s">
        <v>228</v>
      </c>
    </row>
    <row r="6" spans="1:12" customFormat="1" ht="231">
      <c r="A6" s="6" t="s">
        <v>128</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33">
      <c r="A7" s="27" t="s">
        <v>129</v>
      </c>
      <c r="B7" s="7">
        <v>3</v>
      </c>
      <c r="C7" s="7">
        <f t="shared" ca="1" si="0"/>
        <v>10</v>
      </c>
      <c r="D7" s="7">
        <f t="shared" ca="1" si="1"/>
        <v>8</v>
      </c>
      <c r="E7" s="7">
        <f t="shared" ca="1" si="2"/>
        <v>0</v>
      </c>
      <c r="F7" s="7">
        <f t="shared" ca="1" si="3"/>
        <v>10</v>
      </c>
      <c r="G7" s="7">
        <f t="shared" ca="1" si="4"/>
        <v>8</v>
      </c>
      <c r="H7" s="7" t="s">
        <v>10</v>
      </c>
      <c r="I7" s="22" t="s">
        <v>420</v>
      </c>
      <c r="J7" s="100" t="s">
        <v>228</v>
      </c>
    </row>
    <row r="8" spans="1:12" ht="16.5">
      <c r="A8" s="219" t="s">
        <v>206</v>
      </c>
      <c r="B8" s="7">
        <v>5</v>
      </c>
      <c r="C8" s="7">
        <f ca="1">D8+B8-1</f>
        <v>15</v>
      </c>
      <c r="D8" s="7">
        <f ca="1">INDIRECT(ADDRESS(ROW()-1,COLUMN()-1))+1</f>
        <v>11</v>
      </c>
      <c r="E8" s="7">
        <f ca="1">ROUNDDOWN(C8/32,0)</f>
        <v>0</v>
      </c>
      <c r="F8" s="7">
        <f ca="1">C8-E8*32</f>
        <v>15</v>
      </c>
      <c r="G8" s="7">
        <f ca="1">D8-E8*32</f>
        <v>11</v>
      </c>
      <c r="H8" s="7" t="s">
        <v>15</v>
      </c>
      <c r="I8" s="22" t="s">
        <v>206</v>
      </c>
      <c r="J8" s="101">
        <v>0</v>
      </c>
    </row>
    <row r="9" spans="1:12" ht="49.5">
      <c r="A9" s="6" t="s">
        <v>561</v>
      </c>
      <c r="B9" s="7">
        <v>13</v>
      </c>
      <c r="C9" s="7">
        <f ca="1">D9+B9-1</f>
        <v>28</v>
      </c>
      <c r="D9" s="7">
        <f ca="1">INDIRECT(ADDRESS(ROW()-1,COLUMN()-1))+1</f>
        <v>16</v>
      </c>
      <c r="E9" s="7">
        <f ca="1">ROUNDDOWN(C9/32,0)</f>
        <v>0</v>
      </c>
      <c r="F9" s="7">
        <f ca="1">C9-E9*32</f>
        <v>28</v>
      </c>
      <c r="G9" s="7">
        <f ca="1">D9-E9*32</f>
        <v>16</v>
      </c>
      <c r="H9" s="7" t="s">
        <v>10</v>
      </c>
      <c r="I9" s="22" t="str">
        <f ca="1">CONCATENATE(INDIRECT("template!I12"))</f>
        <v>Destination blob start address[44:32]:
addr[44:40] means tag
addr eq addr[39:0] + base_addr_region[addr[44:40]]</v>
      </c>
      <c r="J9" s="102" t="s">
        <v>228</v>
      </c>
    </row>
    <row r="10" spans="1:12" s="204" customFormat="1" ht="99">
      <c r="A10" s="6" t="s">
        <v>553</v>
      </c>
      <c r="B10" s="217">
        <v>3</v>
      </c>
      <c r="C10" s="217">
        <f ca="1">D10+B10-1</f>
        <v>31</v>
      </c>
      <c r="D10" s="217">
        <f ca="1">INDIRECT(ADDRESS(ROW()-1,COLUMN()-1))+1</f>
        <v>29</v>
      </c>
      <c r="E10" s="217">
        <f ca="1">ROUNDDOWN(C10/32,0)</f>
        <v>0</v>
      </c>
      <c r="F10" s="217">
        <f ca="1">C10-E10*32</f>
        <v>31</v>
      </c>
      <c r="G10" s="217">
        <f ca="1">D10-E10*32</f>
        <v>29</v>
      </c>
      <c r="H10" s="217" t="s">
        <v>10</v>
      </c>
      <c r="I10" s="220" t="s">
        <v>1591</v>
      </c>
      <c r="J10" s="205" t="s">
        <v>228</v>
      </c>
    </row>
    <row r="11" spans="1:12" ht="30">
      <c r="A11" s="6" t="s">
        <v>77</v>
      </c>
      <c r="B11" s="7">
        <v>32</v>
      </c>
      <c r="C11" s="7">
        <f t="shared" ca="1" si="0"/>
        <v>63</v>
      </c>
      <c r="D11" s="7">
        <f t="shared" ca="1" si="1"/>
        <v>32</v>
      </c>
      <c r="E11" s="7">
        <f t="shared" ca="1" si="2"/>
        <v>1</v>
      </c>
      <c r="F11" s="7">
        <f t="shared" ca="1" si="3"/>
        <v>31</v>
      </c>
      <c r="G11" s="7">
        <f t="shared" ca="1" si="4"/>
        <v>0</v>
      </c>
      <c r="H11" s="7" t="s">
        <v>10</v>
      </c>
      <c r="I11" s="22" t="str">
        <f ca="1">CONCATENATE(INDIRECT("template!I17"))</f>
        <v>unsigned number; desitination blob N stride</v>
      </c>
      <c r="J11" s="102" t="s">
        <v>422</v>
      </c>
    </row>
    <row r="12" spans="1:12" ht="30">
      <c r="A12" s="6" t="s">
        <v>78</v>
      </c>
      <c r="B12" s="7">
        <v>32</v>
      </c>
      <c r="C12" s="7">
        <f t="shared" ca="1" si="0"/>
        <v>95</v>
      </c>
      <c r="D12" s="7">
        <f t="shared" ca="1" si="1"/>
        <v>64</v>
      </c>
      <c r="E12" s="7">
        <f t="shared" ca="1" si="2"/>
        <v>2</v>
      </c>
      <c r="F12" s="7">
        <f t="shared" ca="1" si="3"/>
        <v>31</v>
      </c>
      <c r="G12" s="7">
        <f t="shared" ca="1" si="4"/>
        <v>0</v>
      </c>
      <c r="H12" s="7" t="s">
        <v>10</v>
      </c>
      <c r="I12" s="22" t="str">
        <f ca="1">CONCATENATE(INDIRECT("template!I18"))</f>
        <v>unsigned number.desitination blob C stride</v>
      </c>
      <c r="J12" s="102" t="s">
        <v>422</v>
      </c>
    </row>
    <row r="13" spans="1:12" ht="30">
      <c r="A13" s="6" t="s">
        <v>80</v>
      </c>
      <c r="B13" s="7">
        <v>32</v>
      </c>
      <c r="C13" s="7">
        <f t="shared" ca="1" si="0"/>
        <v>127</v>
      </c>
      <c r="D13" s="7">
        <f t="shared" ca="1" si="1"/>
        <v>96</v>
      </c>
      <c r="E13" s="7">
        <f t="shared" ca="1" si="2"/>
        <v>3</v>
      </c>
      <c r="F13" s="7">
        <f t="shared" ca="1" si="3"/>
        <v>31</v>
      </c>
      <c r="G13" s="7">
        <f t="shared" ca="1" si="4"/>
        <v>0</v>
      </c>
      <c r="H13" s="7" t="s">
        <v>10</v>
      </c>
      <c r="I13" s="22" t="str">
        <f ca="1">CONCATENATE(INDIRECT("template!I19"))</f>
        <v>unsigned number; desitination blob H stride</v>
      </c>
      <c r="J13" s="102" t="s">
        <v>422</v>
      </c>
    </row>
    <row r="14" spans="1:12" ht="16.5">
      <c r="A14" s="6" t="s">
        <v>93</v>
      </c>
      <c r="B14" s="7">
        <v>16</v>
      </c>
      <c r="C14" s="7">
        <f t="shared" ca="1" si="0"/>
        <v>143</v>
      </c>
      <c r="D14" s="7">
        <f t="shared" ca="1" si="1"/>
        <v>128</v>
      </c>
      <c r="E14" s="7">
        <f t="shared" ca="1" si="2"/>
        <v>4</v>
      </c>
      <c r="F14" s="7">
        <f t="shared" ca="1" si="3"/>
        <v>15</v>
      </c>
      <c r="G14" s="7">
        <f t="shared" ca="1" si="4"/>
        <v>0</v>
      </c>
      <c r="H14" s="7" t="s">
        <v>10</v>
      </c>
      <c r="I14" s="22" t="str">
        <f ca="1">INDIRECT("template!I24")</f>
        <v xml:space="preserve">Destination Blob Number </v>
      </c>
      <c r="J14" s="102" t="s">
        <v>228</v>
      </c>
    </row>
    <row r="15" spans="1:12" ht="16.5">
      <c r="A15" s="6" t="s">
        <v>95</v>
      </c>
      <c r="B15" s="7">
        <v>16</v>
      </c>
      <c r="C15" s="7">
        <f t="shared" ca="1" si="0"/>
        <v>159</v>
      </c>
      <c r="D15" s="7">
        <f t="shared" ca="1" si="1"/>
        <v>144</v>
      </c>
      <c r="E15" s="7">
        <f t="shared" ca="1" si="2"/>
        <v>4</v>
      </c>
      <c r="F15" s="7">
        <f t="shared" ca="1" si="3"/>
        <v>31</v>
      </c>
      <c r="G15" s="7">
        <f t="shared" ca="1" si="4"/>
        <v>16</v>
      </c>
      <c r="H15" s="7" t="s">
        <v>10</v>
      </c>
      <c r="I15" s="22" t="str">
        <f ca="1">INDIRECT("template!I25")</f>
        <v xml:space="preserve">Destination blob C </v>
      </c>
      <c r="J15" s="102" t="s">
        <v>228</v>
      </c>
    </row>
    <row r="16" spans="1:12" ht="16.5">
      <c r="A16" s="6" t="s">
        <v>97</v>
      </c>
      <c r="B16" s="7">
        <v>32</v>
      </c>
      <c r="C16" s="7">
        <f t="shared" ca="1" si="0"/>
        <v>191</v>
      </c>
      <c r="D16" s="7">
        <f t="shared" ca="1" si="1"/>
        <v>160</v>
      </c>
      <c r="E16" s="7">
        <f t="shared" ca="1" si="2"/>
        <v>5</v>
      </c>
      <c r="F16" s="7">
        <f t="shared" ca="1" si="3"/>
        <v>31</v>
      </c>
      <c r="G16" s="7">
        <f t="shared" ca="1" si="4"/>
        <v>0</v>
      </c>
      <c r="H16" s="7" t="s">
        <v>10</v>
      </c>
      <c r="I16" s="22" t="str">
        <f ca="1">INDIRECT("template!I26")</f>
        <v>Destination blob H</v>
      </c>
      <c r="J16" s="102" t="s">
        <v>228</v>
      </c>
    </row>
    <row r="17" spans="1:10" s="2" customFormat="1" ht="16.5">
      <c r="A17" s="6" t="s">
        <v>99</v>
      </c>
      <c r="B17" s="7">
        <v>32</v>
      </c>
      <c r="C17" s="7">
        <f t="shared" ca="1" si="0"/>
        <v>223</v>
      </c>
      <c r="D17" s="7">
        <f t="shared" ca="1" si="1"/>
        <v>192</v>
      </c>
      <c r="E17" s="7">
        <f t="shared" ca="1" si="2"/>
        <v>6</v>
      </c>
      <c r="F17" s="7">
        <f t="shared" ca="1" si="3"/>
        <v>31</v>
      </c>
      <c r="G17" s="7">
        <f t="shared" ca="1" si="4"/>
        <v>0</v>
      </c>
      <c r="H17" s="7" t="s">
        <v>10</v>
      </c>
      <c r="I17" s="22" t="str">
        <f ca="1">INDIRECT("template!I27")</f>
        <v xml:space="preserve">Destination blob W </v>
      </c>
      <c r="J17" s="102" t="s">
        <v>228</v>
      </c>
    </row>
    <row r="18" spans="1:10" ht="16.5">
      <c r="A18" s="6" t="s">
        <v>249</v>
      </c>
      <c r="B18" s="7">
        <v>32</v>
      </c>
      <c r="C18" s="7">
        <f t="shared" ca="1" si="0"/>
        <v>255</v>
      </c>
      <c r="D18" s="7">
        <f t="shared" ca="1" si="1"/>
        <v>224</v>
      </c>
      <c r="E18" s="7">
        <f t="shared" ca="1" si="2"/>
        <v>7</v>
      </c>
      <c r="F18" s="7">
        <f t="shared" ca="1" si="3"/>
        <v>31</v>
      </c>
      <c r="G18" s="7">
        <f t="shared" ca="1" si="4"/>
        <v>0</v>
      </c>
      <c r="H18" s="7" t="s">
        <v>10</v>
      </c>
      <c r="I18" s="22" t="str">
        <f ca="1">INDIRECT("template!I28")</f>
        <v>source blob start address[31:0]</v>
      </c>
      <c r="J18" s="102" t="s">
        <v>228</v>
      </c>
    </row>
    <row r="19" spans="1:10" ht="16.5">
      <c r="A19" s="6" t="s">
        <v>2376</v>
      </c>
      <c r="B19" s="217">
        <v>10</v>
      </c>
      <c r="C19" s="217">
        <f t="shared" ca="1" si="0"/>
        <v>265</v>
      </c>
      <c r="D19" s="217">
        <f t="shared" ca="1" si="1"/>
        <v>256</v>
      </c>
      <c r="E19" s="217">
        <f t="shared" ca="1" si="2"/>
        <v>8</v>
      </c>
      <c r="F19" s="217">
        <f t="shared" ca="1" si="3"/>
        <v>9</v>
      </c>
      <c r="G19" s="217">
        <f t="shared" ca="1" si="4"/>
        <v>0</v>
      </c>
      <c r="H19" s="217" t="s">
        <v>10</v>
      </c>
      <c r="I19" s="218" t="s">
        <v>2388</v>
      </c>
      <c r="J19" s="224"/>
    </row>
    <row r="20" spans="1:10" ht="16.5">
      <c r="A20" s="221" t="s">
        <v>206</v>
      </c>
      <c r="B20" s="7">
        <v>22</v>
      </c>
      <c r="C20" s="7">
        <f ca="1">D20+B20-1</f>
        <v>287</v>
      </c>
      <c r="D20" s="7">
        <f t="shared" ca="1" si="1"/>
        <v>266</v>
      </c>
      <c r="E20" s="7">
        <f ca="1">ROUNDDOWN(C20/32,0)</f>
        <v>8</v>
      </c>
      <c r="F20" s="7">
        <f ca="1">C20-E20*32</f>
        <v>31</v>
      </c>
      <c r="G20" s="7">
        <f ca="1">D20-E20*32</f>
        <v>10</v>
      </c>
      <c r="H20" s="7" t="s">
        <v>15</v>
      </c>
      <c r="I20" s="22" t="s">
        <v>206</v>
      </c>
      <c r="J20" s="224"/>
    </row>
    <row r="21" spans="1:10" ht="16.5">
      <c r="A21" s="221" t="s">
        <v>206</v>
      </c>
      <c r="B21" s="7">
        <v>32</v>
      </c>
      <c r="C21" s="7">
        <f ca="1">D21+B21-1</f>
        <v>319</v>
      </c>
      <c r="D21" s="7">
        <f t="shared" ca="1" si="1"/>
        <v>288</v>
      </c>
      <c r="E21" s="7">
        <f ca="1">ROUNDDOWN(C21/32,0)</f>
        <v>9</v>
      </c>
      <c r="F21" s="7">
        <f ca="1">C21-E21*32</f>
        <v>31</v>
      </c>
      <c r="G21" s="7">
        <f ca="1">D21-E21*32</f>
        <v>0</v>
      </c>
      <c r="H21" s="7" t="s">
        <v>15</v>
      </c>
      <c r="I21" s="22" t="s">
        <v>206</v>
      </c>
      <c r="J21" s="224"/>
    </row>
    <row r="22" spans="1:10" ht="16.5">
      <c r="A22" s="221" t="s">
        <v>206</v>
      </c>
      <c r="B22" s="7">
        <v>32</v>
      </c>
      <c r="C22" s="7">
        <f ca="1">D22+B22-1</f>
        <v>351</v>
      </c>
      <c r="D22" s="7">
        <f t="shared" ca="1" si="1"/>
        <v>320</v>
      </c>
      <c r="E22" s="7">
        <f ca="1">ROUNDDOWN(C22/32,0)</f>
        <v>10</v>
      </c>
      <c r="F22" s="7">
        <f ca="1">C22-E22*32</f>
        <v>31</v>
      </c>
      <c r="G22" s="7">
        <f ca="1">D22-E22*32</f>
        <v>0</v>
      </c>
      <c r="H22" s="7" t="s">
        <v>15</v>
      </c>
      <c r="I22" s="22" t="s">
        <v>206</v>
      </c>
      <c r="J22" s="224"/>
    </row>
    <row r="23" spans="1:10" ht="16.5">
      <c r="A23" s="221" t="s">
        <v>206</v>
      </c>
      <c r="B23" s="7">
        <v>32</v>
      </c>
      <c r="C23" s="7">
        <f ca="1">D23+B23-1</f>
        <v>383</v>
      </c>
      <c r="D23" s="7">
        <f t="shared" ca="1" si="1"/>
        <v>352</v>
      </c>
      <c r="E23" s="7">
        <f ca="1">ROUNDDOWN(C23/32,0)</f>
        <v>11</v>
      </c>
      <c r="F23" s="7">
        <f ca="1">C23-E23*32</f>
        <v>31</v>
      </c>
      <c r="G23" s="7">
        <f ca="1">D23-E23*32</f>
        <v>0</v>
      </c>
      <c r="H23" s="7" t="s">
        <v>15</v>
      </c>
      <c r="I23" s="22" t="s">
        <v>206</v>
      </c>
      <c r="J23" s="224"/>
    </row>
    <row r="24" spans="1:10">
      <c r="A24" s="28" t="s">
        <v>144</v>
      </c>
    </row>
    <row r="25" spans="1:10">
      <c r="A25" s="28" t="s">
        <v>123</v>
      </c>
    </row>
    <row r="26" spans="1:10">
      <c r="A26" s="28" t="s">
        <v>124</v>
      </c>
    </row>
    <row r="27" spans="1:10">
      <c r="A27" s="28" t="s">
        <v>125</v>
      </c>
    </row>
    <row r="28" spans="1:10">
      <c r="A28" s="28" t="s">
        <v>126</v>
      </c>
    </row>
  </sheetData>
  <phoneticPr fontId="24" type="noConversion"/>
  <pageMargins left="0.25" right="0.25" top="0.75" bottom="0.75" header="0.3" footer="0.3"/>
  <pageSetup paperSize="9" scale="38"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3"/>
  <sheetViews>
    <sheetView zoomScale="115" zoomScaleNormal="115" workbookViewId="0">
      <pane ySplit="1" topLeftCell="A8" activePane="bottomLeft" state="frozen"/>
      <selection pane="bottomLeft" activeCell="B21" sqref="B21"/>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16.5">
      <c r="A3" s="219" t="s">
        <v>206</v>
      </c>
      <c r="B3" s="7">
        <v>1</v>
      </c>
      <c r="C3" s="7">
        <v>1</v>
      </c>
      <c r="D3" s="7">
        <v>1</v>
      </c>
      <c r="E3" s="7">
        <f>ROUNDDOWN(C3/32,0)</f>
        <v>0</v>
      </c>
      <c r="F3" s="7">
        <f>C3-E3*32</f>
        <v>1</v>
      </c>
      <c r="G3" s="7">
        <f>D3-E3*32</f>
        <v>1</v>
      </c>
      <c r="H3" s="7" t="s">
        <v>246</v>
      </c>
      <c r="I3" s="22" t="s">
        <v>206</v>
      </c>
      <c r="J3" s="100" t="s">
        <v>228</v>
      </c>
      <c r="L3" s="98" t="s">
        <v>226</v>
      </c>
    </row>
    <row r="4" spans="1:12" ht="16.5">
      <c r="A4" s="219" t="s">
        <v>206</v>
      </c>
      <c r="B4" s="7">
        <v>1</v>
      </c>
      <c r="C4" s="7">
        <v>2</v>
      </c>
      <c r="D4" s="7">
        <f ca="1">INDIRECT(ADDRESS(ROW()-1,COLUMN()-1))+1</f>
        <v>2</v>
      </c>
      <c r="E4" s="7">
        <f>ROUNDDOWN(C4/32,0)</f>
        <v>0</v>
      </c>
      <c r="F4" s="7">
        <f>C4-E4*32</f>
        <v>2</v>
      </c>
      <c r="G4" s="7">
        <f ca="1">D4-E4*32</f>
        <v>2</v>
      </c>
      <c r="H4" s="7" t="s">
        <v>15</v>
      </c>
      <c r="I4" s="22" t="s">
        <v>206</v>
      </c>
      <c r="J4" s="101">
        <v>0</v>
      </c>
      <c r="L4" s="104" t="s">
        <v>329</v>
      </c>
    </row>
    <row r="5" spans="1:12" ht="16.5">
      <c r="A5" s="6" t="s">
        <v>1012</v>
      </c>
      <c r="B5" s="7">
        <v>1</v>
      </c>
      <c r="C5" s="7">
        <f t="shared" ref="C5:C9" ca="1" si="0">D5+B5-1</f>
        <v>3</v>
      </c>
      <c r="D5" s="7">
        <f ca="1">INDIRECT(ADDRESS(ROW()-1,COLUMN()-1))+1</f>
        <v>3</v>
      </c>
      <c r="E5" s="7">
        <f t="shared" ref="E5:E10" ca="1" si="1">ROUNDDOWN(C5/32,0)</f>
        <v>0</v>
      </c>
      <c r="F5" s="7">
        <f t="shared" ref="F5:F10" ca="1" si="2">C5-E5*32</f>
        <v>3</v>
      </c>
      <c r="G5" s="7">
        <f t="shared" ref="G5:G9" ca="1" si="3">D5-E5*32</f>
        <v>3</v>
      </c>
      <c r="H5" s="7" t="s">
        <v>251</v>
      </c>
      <c r="I5" s="22" t="s">
        <v>1013</v>
      </c>
      <c r="J5" s="100" t="s">
        <v>228</v>
      </c>
    </row>
    <row r="6" spans="1:12" customFormat="1" ht="231">
      <c r="A6" s="6" t="s">
        <v>128</v>
      </c>
      <c r="B6" s="7">
        <v>4</v>
      </c>
      <c r="C6" s="7">
        <f t="shared" ca="1" si="0"/>
        <v>7</v>
      </c>
      <c r="D6" s="7">
        <f t="shared" ref="D6:D26" ca="1" si="4">INDIRECT(ADDRESS(ROW()-1,COLUMN()-1))+1</f>
        <v>4</v>
      </c>
      <c r="E6" s="7">
        <f t="shared" ca="1" si="1"/>
        <v>0</v>
      </c>
      <c r="F6" s="7">
        <f t="shared" ca="1" si="2"/>
        <v>7</v>
      </c>
      <c r="G6" s="7">
        <f t="shared" ca="1" si="3"/>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16.5">
      <c r="A7" s="219" t="s">
        <v>206</v>
      </c>
      <c r="B7" s="7">
        <v>4</v>
      </c>
      <c r="C7" s="7">
        <f t="shared" ca="1" si="0"/>
        <v>11</v>
      </c>
      <c r="D7" s="7">
        <f t="shared" ca="1" si="4"/>
        <v>8</v>
      </c>
      <c r="E7" s="7">
        <f t="shared" ca="1" si="1"/>
        <v>0</v>
      </c>
      <c r="F7" s="7">
        <f t="shared" ca="1" si="2"/>
        <v>11</v>
      </c>
      <c r="G7" s="7">
        <f t="shared" ca="1" si="3"/>
        <v>8</v>
      </c>
      <c r="H7" s="7" t="s">
        <v>246</v>
      </c>
      <c r="I7" s="22" t="s">
        <v>110</v>
      </c>
      <c r="J7" s="100" t="s">
        <v>228</v>
      </c>
    </row>
    <row r="8" spans="1:12" ht="148.5">
      <c r="A8" s="219" t="s">
        <v>206</v>
      </c>
      <c r="B8" s="217">
        <v>4</v>
      </c>
      <c r="C8" s="217">
        <f t="shared" ca="1" si="0"/>
        <v>15</v>
      </c>
      <c r="D8" s="217">
        <f ca="1">INDIRECT(ADDRESS(ROW()-1,COLUMN()-1))+1</f>
        <v>12</v>
      </c>
      <c r="E8" s="217">
        <f t="shared" ca="1" si="1"/>
        <v>0</v>
      </c>
      <c r="F8" s="217">
        <f t="shared" ca="1" si="2"/>
        <v>15</v>
      </c>
      <c r="G8" s="217">
        <f t="shared" ca="1" si="3"/>
        <v>12</v>
      </c>
      <c r="H8" s="217" t="s">
        <v>10</v>
      </c>
      <c r="I8" s="218" t="str">
        <f ca="1">CONCATENATE(INDIRECT("template!I9"))</f>
        <v>Source Data Format
0:INT8
1:FP16
2:FP32
3:INT16
4:INT32
5:BFP16
6:FP20
others：not support</v>
      </c>
      <c r="J8" s="203" t="s">
        <v>228</v>
      </c>
    </row>
    <row r="9" spans="1:12" ht="16.5">
      <c r="A9" s="219" t="s">
        <v>206</v>
      </c>
      <c r="B9" s="7">
        <v>13</v>
      </c>
      <c r="C9" s="7">
        <f t="shared" ca="1" si="0"/>
        <v>28</v>
      </c>
      <c r="D9" s="7">
        <f t="shared" ca="1" si="4"/>
        <v>16</v>
      </c>
      <c r="E9" s="7">
        <f t="shared" ca="1" si="1"/>
        <v>0</v>
      </c>
      <c r="F9" s="7">
        <f t="shared" ca="1" si="2"/>
        <v>28</v>
      </c>
      <c r="G9" s="7">
        <f t="shared" ca="1" si="3"/>
        <v>16</v>
      </c>
      <c r="H9" s="7" t="s">
        <v>246</v>
      </c>
      <c r="I9" s="22" t="s">
        <v>110</v>
      </c>
      <c r="J9" s="100" t="s">
        <v>228</v>
      </c>
    </row>
    <row r="10" spans="1:12" ht="49.5">
      <c r="A10" s="229" t="s">
        <v>206</v>
      </c>
      <c r="B10" s="217">
        <v>3</v>
      </c>
      <c r="C10" s="217">
        <f ca="1">D10+B10-1</f>
        <v>31</v>
      </c>
      <c r="D10" s="217">
        <f ca="1">INDIRECT(ADDRESS(ROW()-1,COLUMN()-1))+1</f>
        <v>29</v>
      </c>
      <c r="E10" s="217">
        <f t="shared" ca="1" si="1"/>
        <v>0</v>
      </c>
      <c r="F10" s="217">
        <f t="shared" ca="1" si="2"/>
        <v>31</v>
      </c>
      <c r="G10" s="217">
        <f ca="1">D10-E10*32</f>
        <v>29</v>
      </c>
      <c r="H10" s="217" t="s">
        <v>251</v>
      </c>
      <c r="I10" s="218" t="s">
        <v>555</v>
      </c>
      <c r="J10" s="227" t="s">
        <v>228</v>
      </c>
    </row>
    <row r="11" spans="1:12" s="204" customFormat="1" ht="16.5">
      <c r="A11" s="6" t="s">
        <v>2362</v>
      </c>
      <c r="B11" s="7">
        <v>32</v>
      </c>
      <c r="C11" s="7">
        <f ca="1">D11+B11-1</f>
        <v>63</v>
      </c>
      <c r="D11" s="7">
        <f ca="1">INDIRECT(ADDRESS(ROW()-1,COLUMN()-1))+1</f>
        <v>32</v>
      </c>
      <c r="E11" s="7">
        <f ca="1">ROUNDDOWN(C11/32,0)</f>
        <v>1</v>
      </c>
      <c r="F11" s="7">
        <f ca="1">C11-E11*32</f>
        <v>31</v>
      </c>
      <c r="G11" s="7">
        <f ca="1">D11-E11*32</f>
        <v>0</v>
      </c>
      <c r="H11" s="7" t="s">
        <v>251</v>
      </c>
      <c r="I11" s="22" t="s">
        <v>2355</v>
      </c>
      <c r="J11" s="101"/>
    </row>
    <row r="12" spans="1:12" ht="16.5">
      <c r="A12" s="6" t="s">
        <v>2361</v>
      </c>
      <c r="B12" s="7">
        <v>13</v>
      </c>
      <c r="C12" s="7">
        <f ca="1">D12+B12-1</f>
        <v>76</v>
      </c>
      <c r="D12" s="7">
        <f ca="1">INDIRECT(ADDRESS(ROW()-1,COLUMN()-1))+1</f>
        <v>64</v>
      </c>
      <c r="E12" s="7">
        <f ca="1">ROUNDDOWN(C12/32,0)</f>
        <v>2</v>
      </c>
      <c r="F12" s="7">
        <f ca="1">C12-E12*32</f>
        <v>12</v>
      </c>
      <c r="G12" s="7">
        <f ca="1">D12-E12*32</f>
        <v>0</v>
      </c>
      <c r="H12" s="7" t="s">
        <v>251</v>
      </c>
      <c r="I12" s="22" t="s">
        <v>2373</v>
      </c>
      <c r="J12" s="101">
        <v>0</v>
      </c>
    </row>
    <row r="13" spans="1:12" ht="16.5">
      <c r="A13" s="6" t="s">
        <v>2377</v>
      </c>
      <c r="B13" s="7">
        <v>10</v>
      </c>
      <c r="C13" s="7">
        <f ca="1">D13+B13-1</f>
        <v>86</v>
      </c>
      <c r="D13" s="7">
        <f ca="1">INDIRECT(ADDRESS(ROW()-1,COLUMN()-1))+1</f>
        <v>77</v>
      </c>
      <c r="E13" s="7">
        <f ca="1">ROUNDDOWN(C13/32,0)</f>
        <v>2</v>
      </c>
      <c r="F13" s="7">
        <f ca="1">C13-E13*32</f>
        <v>22</v>
      </c>
      <c r="G13" s="7">
        <f ca="1">D13-E13*32</f>
        <v>13</v>
      </c>
      <c r="H13" s="7" t="s">
        <v>251</v>
      </c>
      <c r="I13" s="22" t="s">
        <v>2381</v>
      </c>
      <c r="J13" s="101">
        <v>0</v>
      </c>
    </row>
    <row r="14" spans="1:12" ht="16.5">
      <c r="A14" s="6" t="s">
        <v>2379</v>
      </c>
      <c r="B14" s="7">
        <v>7</v>
      </c>
      <c r="C14" s="7">
        <f t="shared" ref="C14" ca="1" si="5">D14+B14-1</f>
        <v>93</v>
      </c>
      <c r="D14" s="7">
        <f t="shared" ca="1" si="4"/>
        <v>87</v>
      </c>
      <c r="E14" s="7">
        <f t="shared" ref="E14" ca="1" si="6">ROUNDDOWN(C14/32,0)</f>
        <v>2</v>
      </c>
      <c r="F14" s="7">
        <f t="shared" ref="F14" ca="1" si="7">C14-E14*32</f>
        <v>29</v>
      </c>
      <c r="G14" s="7">
        <f t="shared" ref="G14" ca="1" si="8">D14-E14*32</f>
        <v>23</v>
      </c>
      <c r="H14" s="7" t="s">
        <v>251</v>
      </c>
      <c r="I14" s="22" t="s">
        <v>2382</v>
      </c>
      <c r="J14" s="102"/>
    </row>
    <row r="15" spans="1:12" ht="16.5">
      <c r="A15" s="219" t="s">
        <v>206</v>
      </c>
      <c r="B15" s="7">
        <v>2</v>
      </c>
      <c r="C15" s="7">
        <f t="shared" ref="C15:C16" ca="1" si="9">D15+B15-1</f>
        <v>95</v>
      </c>
      <c r="D15" s="7">
        <f t="shared" ca="1" si="4"/>
        <v>94</v>
      </c>
      <c r="E15" s="7">
        <f t="shared" ref="E15:E16" ca="1" si="10">ROUNDDOWN(C15/32,0)</f>
        <v>2</v>
      </c>
      <c r="F15" s="7">
        <f t="shared" ref="F15:F16" ca="1" si="11">C15-E15*32</f>
        <v>31</v>
      </c>
      <c r="G15" s="7">
        <f t="shared" ref="G15:G16" ca="1" si="12">D15-E15*32</f>
        <v>30</v>
      </c>
      <c r="H15" s="7" t="s">
        <v>246</v>
      </c>
      <c r="I15" s="22" t="s">
        <v>206</v>
      </c>
      <c r="J15" s="102"/>
    </row>
    <row r="16" spans="1:12" ht="16.5">
      <c r="A16" s="6" t="s">
        <v>2364</v>
      </c>
      <c r="B16" s="7">
        <v>16</v>
      </c>
      <c r="C16" s="7">
        <f t="shared" ca="1" si="9"/>
        <v>111</v>
      </c>
      <c r="D16" s="7">
        <f t="shared" ca="1" si="4"/>
        <v>96</v>
      </c>
      <c r="E16" s="7">
        <f t="shared" ca="1" si="10"/>
        <v>3</v>
      </c>
      <c r="F16" s="7">
        <f t="shared" ca="1" si="11"/>
        <v>15</v>
      </c>
      <c r="G16" s="7">
        <f t="shared" ca="1" si="12"/>
        <v>0</v>
      </c>
      <c r="H16" s="7" t="s">
        <v>10</v>
      </c>
      <c r="I16" s="22" t="s">
        <v>2342</v>
      </c>
      <c r="J16" s="102" t="s">
        <v>228</v>
      </c>
    </row>
    <row r="17" spans="1:10" ht="16.5">
      <c r="A17" s="219" t="s">
        <v>206</v>
      </c>
      <c r="B17" s="7">
        <v>16</v>
      </c>
      <c r="C17" s="7">
        <f t="shared" ref="C17" ca="1" si="13">D17+B17-1</f>
        <v>127</v>
      </c>
      <c r="D17" s="7">
        <f t="shared" ca="1" si="4"/>
        <v>112</v>
      </c>
      <c r="E17" s="7">
        <f t="shared" ref="E17" ca="1" si="14">ROUNDDOWN(C17/32,0)</f>
        <v>3</v>
      </c>
      <c r="F17" s="7">
        <f t="shared" ref="F17" ca="1" si="15">C17-E17*32</f>
        <v>31</v>
      </c>
      <c r="G17" s="7">
        <f t="shared" ref="G17" ca="1" si="16">D17-E17*32</f>
        <v>16</v>
      </c>
      <c r="H17" s="7" t="s">
        <v>10</v>
      </c>
      <c r="I17" s="22" t="str">
        <f ca="1">INDIRECT("template!I30")</f>
        <v xml:space="preserve">addr eq addr[49:40] </v>
      </c>
      <c r="J17" s="102" t="s">
        <v>556</v>
      </c>
    </row>
    <row r="18" spans="1:10" ht="16.5">
      <c r="A18" s="219" t="s">
        <v>206</v>
      </c>
      <c r="B18" s="7">
        <v>13</v>
      </c>
      <c r="C18" s="7">
        <f ca="1">D18+B18-1</f>
        <v>140</v>
      </c>
      <c r="D18" s="7">
        <f t="shared" ca="1" si="4"/>
        <v>128</v>
      </c>
      <c r="E18" s="7">
        <f ca="1">ROUNDDOWN(C18/32,0)</f>
        <v>4</v>
      </c>
      <c r="F18" s="7">
        <f ca="1">C18-E18*32</f>
        <v>12</v>
      </c>
      <c r="G18" s="7">
        <f ca="1">D18-E18*32</f>
        <v>0</v>
      </c>
      <c r="H18" s="7" t="s">
        <v>10</v>
      </c>
      <c r="I18" s="22" t="s">
        <v>2372</v>
      </c>
      <c r="J18" s="102" t="s">
        <v>556</v>
      </c>
    </row>
    <row r="19" spans="1:10" ht="16.5">
      <c r="A19" s="219" t="s">
        <v>206</v>
      </c>
      <c r="B19" s="7">
        <v>10</v>
      </c>
      <c r="C19" s="7">
        <f t="shared" ref="C19:C21" ca="1" si="17">D19+B19-1</f>
        <v>150</v>
      </c>
      <c r="D19" s="7">
        <f t="shared" ca="1" si="4"/>
        <v>141</v>
      </c>
      <c r="E19" s="7">
        <f t="shared" ref="E19:E21" ca="1" si="18">ROUNDDOWN(C19/32,0)</f>
        <v>4</v>
      </c>
      <c r="F19" s="7">
        <f t="shared" ref="F19:F21" ca="1" si="19">C19-E19*32</f>
        <v>22</v>
      </c>
      <c r="G19" s="7">
        <f t="shared" ref="G19:G21" ca="1" si="20">D19-E19*32</f>
        <v>13</v>
      </c>
      <c r="H19" s="7" t="s">
        <v>10</v>
      </c>
      <c r="I19" s="22" t="s">
        <v>2351</v>
      </c>
      <c r="J19" s="102"/>
    </row>
    <row r="20" spans="1:10" ht="16.5">
      <c r="A20" s="219" t="s">
        <v>206</v>
      </c>
      <c r="B20" s="7">
        <v>9</v>
      </c>
      <c r="C20" s="7">
        <f t="shared" ca="1" si="17"/>
        <v>159</v>
      </c>
      <c r="D20" s="7">
        <f t="shared" ca="1" si="4"/>
        <v>151</v>
      </c>
      <c r="E20" s="7">
        <f t="shared" ca="1" si="18"/>
        <v>4</v>
      </c>
      <c r="F20" s="7">
        <f t="shared" ca="1" si="19"/>
        <v>31</v>
      </c>
      <c r="G20" s="7">
        <f t="shared" ca="1" si="20"/>
        <v>23</v>
      </c>
      <c r="H20" s="7" t="s">
        <v>246</v>
      </c>
      <c r="I20" s="22" t="s">
        <v>206</v>
      </c>
      <c r="J20" s="102"/>
    </row>
    <row r="21" spans="1:10" ht="16.5">
      <c r="A21" s="219" t="s">
        <v>206</v>
      </c>
      <c r="B21" s="7">
        <v>16</v>
      </c>
      <c r="C21" s="7">
        <f t="shared" ca="1" si="17"/>
        <v>175</v>
      </c>
      <c r="D21" s="7">
        <f t="shared" ca="1" si="4"/>
        <v>160</v>
      </c>
      <c r="E21" s="7">
        <f t="shared" ca="1" si="18"/>
        <v>5</v>
      </c>
      <c r="F21" s="7">
        <f t="shared" ca="1" si="19"/>
        <v>15</v>
      </c>
      <c r="G21" s="7">
        <f t="shared" ca="1" si="20"/>
        <v>0</v>
      </c>
      <c r="H21" s="7" t="s">
        <v>10</v>
      </c>
      <c r="I21" s="22" t="s">
        <v>2342</v>
      </c>
      <c r="J21" s="102" t="s">
        <v>228</v>
      </c>
    </row>
    <row r="22" spans="1:10" ht="16.5">
      <c r="A22" s="219" t="s">
        <v>206</v>
      </c>
      <c r="B22" s="7">
        <v>4</v>
      </c>
      <c r="C22" s="7">
        <f ca="1">D22+B22-1</f>
        <v>179</v>
      </c>
      <c r="D22" s="7">
        <f ca="1">INDIRECT(ADDRESS(ROW()-1,COLUMN()-1))+1</f>
        <v>176</v>
      </c>
      <c r="E22" s="7">
        <f ca="1">ROUNDDOWN(C22/32,0)</f>
        <v>5</v>
      </c>
      <c r="F22" s="7">
        <f ca="1">C22-E22*32</f>
        <v>19</v>
      </c>
      <c r="G22" s="7">
        <f ca="1">D22-E22*32</f>
        <v>16</v>
      </c>
      <c r="H22" s="7" t="s">
        <v>251</v>
      </c>
      <c r="I22" s="22" t="s">
        <v>2371</v>
      </c>
      <c r="J22" s="101">
        <v>0</v>
      </c>
    </row>
    <row r="23" spans="1:10" ht="16.5">
      <c r="A23" s="219" t="s">
        <v>206</v>
      </c>
      <c r="B23" s="7">
        <v>12</v>
      </c>
      <c r="C23" s="7">
        <f t="shared" ref="C23" ca="1" si="21">D23+B23-1</f>
        <v>191</v>
      </c>
      <c r="D23" s="7">
        <f t="shared" ca="1" si="4"/>
        <v>180</v>
      </c>
      <c r="E23" s="7">
        <f t="shared" ref="E23" ca="1" si="22">ROUNDDOWN(C23/32,0)</f>
        <v>5</v>
      </c>
      <c r="F23" s="7">
        <f t="shared" ref="F23" ca="1" si="23">C23-E23*32</f>
        <v>31</v>
      </c>
      <c r="G23" s="7">
        <f t="shared" ref="G23" ca="1" si="24">D23-E23*32</f>
        <v>20</v>
      </c>
      <c r="H23" s="7" t="s">
        <v>246</v>
      </c>
      <c r="I23" s="22" t="s">
        <v>206</v>
      </c>
      <c r="J23" s="102"/>
    </row>
    <row r="24" spans="1:10" ht="16.5">
      <c r="A24" s="221" t="s">
        <v>206</v>
      </c>
      <c r="B24" s="7">
        <v>1</v>
      </c>
      <c r="C24" s="7">
        <f ca="1">D24+B24-1</f>
        <v>192</v>
      </c>
      <c r="D24" s="7">
        <f t="shared" ca="1" si="4"/>
        <v>192</v>
      </c>
      <c r="E24" s="7">
        <f ca="1">ROUNDDOWN(C24/32,0)</f>
        <v>6</v>
      </c>
      <c r="F24" s="7">
        <f ca="1">C24-E24*32</f>
        <v>0</v>
      </c>
      <c r="G24" s="7">
        <f ca="1">D24-E24*32</f>
        <v>0</v>
      </c>
      <c r="H24" s="7" t="s">
        <v>251</v>
      </c>
      <c r="I24" s="22" t="s">
        <v>2357</v>
      </c>
      <c r="J24" s="101">
        <v>0</v>
      </c>
    </row>
    <row r="25" spans="1:10" ht="16.5">
      <c r="A25" s="219" t="s">
        <v>206</v>
      </c>
      <c r="B25" s="7">
        <v>10</v>
      </c>
      <c r="C25" s="7">
        <f ca="1">D25+B25-1</f>
        <v>202</v>
      </c>
      <c r="D25" s="7">
        <f ca="1">INDIRECT(ADDRESS(ROW()-1,COLUMN()-1))+1</f>
        <v>193</v>
      </c>
      <c r="E25" s="7">
        <f ca="1">ROUNDDOWN(C25/32,0)</f>
        <v>6</v>
      </c>
      <c r="F25" s="7">
        <f ca="1">C25-E25*32</f>
        <v>10</v>
      </c>
      <c r="G25" s="7">
        <f ca="1">D25-E25*32</f>
        <v>1</v>
      </c>
      <c r="H25" s="7" t="s">
        <v>251</v>
      </c>
      <c r="I25" s="22" t="s">
        <v>2381</v>
      </c>
      <c r="J25" s="101">
        <v>0</v>
      </c>
    </row>
    <row r="26" spans="1:10" ht="16.5">
      <c r="A26" s="219" t="s">
        <v>206</v>
      </c>
      <c r="B26" s="7">
        <v>7</v>
      </c>
      <c r="C26" s="7">
        <f t="shared" ref="C26" ca="1" si="25">D26+B26-1</f>
        <v>209</v>
      </c>
      <c r="D26" s="7">
        <f t="shared" ca="1" si="4"/>
        <v>203</v>
      </c>
      <c r="E26" s="7">
        <f t="shared" ref="E26" ca="1" si="26">ROUNDDOWN(C26/32,0)</f>
        <v>6</v>
      </c>
      <c r="F26" s="7">
        <f t="shared" ref="F26" ca="1" si="27">C26-E26*32</f>
        <v>17</v>
      </c>
      <c r="G26" s="7">
        <f t="shared" ref="G26" ca="1" si="28">D26-E26*32</f>
        <v>11</v>
      </c>
      <c r="H26" s="7" t="s">
        <v>251</v>
      </c>
      <c r="I26" s="22" t="s">
        <v>2382</v>
      </c>
      <c r="J26" s="102"/>
    </row>
    <row r="27" spans="1:10" ht="16.5">
      <c r="A27" s="219" t="s">
        <v>206</v>
      </c>
      <c r="B27" s="7">
        <v>14</v>
      </c>
      <c r="C27" s="7">
        <f ca="1">D27+B27-1</f>
        <v>223</v>
      </c>
      <c r="D27" s="7">
        <f ca="1">INDIRECT(ADDRESS(ROW()-1,COLUMN()-1))+1</f>
        <v>210</v>
      </c>
      <c r="E27" s="7">
        <f ca="1">ROUNDDOWN(C27/32,0)</f>
        <v>6</v>
      </c>
      <c r="F27" s="7">
        <f ca="1">C27-E27*32</f>
        <v>31</v>
      </c>
      <c r="G27" s="7">
        <f ca="1">D27-E27*32</f>
        <v>18</v>
      </c>
      <c r="H27" s="7" t="s">
        <v>15</v>
      </c>
      <c r="I27" s="22" t="s">
        <v>206</v>
      </c>
      <c r="J27" s="101">
        <v>0</v>
      </c>
    </row>
    <row r="28" spans="1:10" ht="16.5">
      <c r="A28" s="219" t="s">
        <v>206</v>
      </c>
      <c r="B28" s="7">
        <v>32</v>
      </c>
      <c r="C28" s="7">
        <f ca="1">D28+B28-1</f>
        <v>255</v>
      </c>
      <c r="D28" s="7">
        <f ca="1">INDIRECT(ADDRESS(ROW()-1,COLUMN()-1))+1</f>
        <v>224</v>
      </c>
      <c r="E28" s="7">
        <f ca="1">ROUNDDOWN(C28/32,0)</f>
        <v>7</v>
      </c>
      <c r="F28" s="7">
        <f ca="1">C28-E28*32</f>
        <v>31</v>
      </c>
      <c r="G28" s="7">
        <f ca="1">D28-E28*32</f>
        <v>0</v>
      </c>
      <c r="H28" s="7" t="s">
        <v>15</v>
      </c>
      <c r="I28" s="22" t="s">
        <v>206</v>
      </c>
      <c r="J28" s="101">
        <v>0</v>
      </c>
    </row>
    <row r="29" spans="1:10" ht="15.75" customHeight="1">
      <c r="A29" s="28" t="s">
        <v>144</v>
      </c>
    </row>
    <row r="30" spans="1:10">
      <c r="A30" s="28" t="s">
        <v>123</v>
      </c>
    </row>
    <row r="31" spans="1:10">
      <c r="A31" s="28" t="s">
        <v>124</v>
      </c>
    </row>
    <row r="32" spans="1:10">
      <c r="A32" s="28" t="s">
        <v>125</v>
      </c>
    </row>
    <row r="33" spans="1:1">
      <c r="A33" s="28" t="s">
        <v>126</v>
      </c>
    </row>
  </sheetData>
  <phoneticPr fontId="24" type="noConversion"/>
  <pageMargins left="0.25" right="0.25" top="0.75" bottom="0.75" header="0.3" footer="0.3"/>
  <pageSetup paperSize="9" scale="38"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zoomScale="115" zoomScaleNormal="115" workbookViewId="0">
      <pane ySplit="1" topLeftCell="A8" activePane="bottomLeft" state="frozen"/>
      <selection pane="bottomLeft" activeCell="A18" sqref="A18"/>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49.5">
      <c r="A3" s="6" t="s">
        <v>31</v>
      </c>
      <c r="B3" s="7">
        <v>1</v>
      </c>
      <c r="C3" s="7">
        <f ca="1">D3+B3-1</f>
        <v>1</v>
      </c>
      <c r="D3" s="7">
        <f ca="1">INDIRECT(ADDRESS(ROW()-1,COLUMN()-1))+1</f>
        <v>1</v>
      </c>
      <c r="E3" s="7">
        <f ca="1">ROUNDDOWN(C3/32,0)</f>
        <v>0</v>
      </c>
      <c r="F3" s="7">
        <f ca="1">C3-E3*32</f>
        <v>1</v>
      </c>
      <c r="G3" s="7">
        <f ca="1">D3-E3*32</f>
        <v>1</v>
      </c>
      <c r="H3" s="7" t="s">
        <v>251</v>
      </c>
      <c r="I3" s="22" t="str">
        <f ca="1">CONCATENATE(INDIRECT("template!I3"))</f>
        <v>Stride enable
0：No stride for all blob definition
1：Enable stride for all blob definition</v>
      </c>
      <c r="J3" s="101">
        <v>1</v>
      </c>
      <c r="L3" s="98" t="s">
        <v>226</v>
      </c>
    </row>
    <row r="4" spans="1:12" ht="49.5">
      <c r="A4" s="6" t="s">
        <v>127</v>
      </c>
      <c r="B4" s="7">
        <v>1</v>
      </c>
      <c r="C4" s="7">
        <f t="shared" ref="C4:C21" ca="1" si="0">D4+B4-1</f>
        <v>2</v>
      </c>
      <c r="D4" s="7">
        <f t="shared" ref="D4:D22" ca="1" si="1">INDIRECT(ADDRESS(ROW()-1,COLUMN()-1))+1</f>
        <v>2</v>
      </c>
      <c r="E4" s="7">
        <f t="shared" ref="E4:E18" ca="1" si="2">ROUNDDOWN(C4/32,0)</f>
        <v>0</v>
      </c>
      <c r="F4" s="7">
        <f t="shared" ref="F4:F18" ca="1" si="3">C4-E4*32</f>
        <v>2</v>
      </c>
      <c r="G4" s="7">
        <f t="shared" ref="G4:G18" ca="1" si="4">D4-E4*32</f>
        <v>2</v>
      </c>
      <c r="H4" s="7" t="s">
        <v>10</v>
      </c>
      <c r="I4" s="22" t="str">
        <f ca="1">CONCATENATE(INDIRECT("template!I4"))</f>
        <v>NCHW copy bit (need tie1)
0: use separate src and dst NCHW value setting
1: reuse src NCHW value for dst NCHW value</v>
      </c>
      <c r="J4" s="101">
        <v>0</v>
      </c>
      <c r="L4" s="104" t="s">
        <v>329</v>
      </c>
    </row>
    <row r="5" spans="1:12" ht="16.5">
      <c r="A5" s="6" t="s">
        <v>1012</v>
      </c>
      <c r="B5" s="7">
        <v>1</v>
      </c>
      <c r="C5" s="7">
        <f t="shared" ca="1" si="0"/>
        <v>3</v>
      </c>
      <c r="D5" s="7">
        <f ca="1">INDIRECT(ADDRESS(ROW()-1,COLUMN()-1))+1</f>
        <v>3</v>
      </c>
      <c r="E5" s="7">
        <f t="shared" ca="1" si="2"/>
        <v>0</v>
      </c>
      <c r="F5" s="7">
        <f t="shared" ca="1" si="3"/>
        <v>3</v>
      </c>
      <c r="G5" s="7">
        <f t="shared" ca="1" si="4"/>
        <v>3</v>
      </c>
      <c r="H5" s="7" t="s">
        <v>251</v>
      </c>
      <c r="I5" s="22" t="s">
        <v>1013</v>
      </c>
      <c r="J5" s="100" t="s">
        <v>228</v>
      </c>
    </row>
    <row r="6" spans="1:12" customFormat="1" ht="231">
      <c r="A6" s="6" t="s">
        <v>128</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33">
      <c r="A7" s="27" t="s">
        <v>129</v>
      </c>
      <c r="B7" s="7">
        <v>3</v>
      </c>
      <c r="C7" s="7">
        <f t="shared" ca="1" si="0"/>
        <v>10</v>
      </c>
      <c r="D7" s="7">
        <f t="shared" ca="1" si="1"/>
        <v>8</v>
      </c>
      <c r="E7" s="7">
        <f t="shared" ca="1" si="2"/>
        <v>0</v>
      </c>
      <c r="F7" s="7">
        <f t="shared" ca="1" si="3"/>
        <v>10</v>
      </c>
      <c r="G7" s="7">
        <f t="shared" ca="1" si="4"/>
        <v>8</v>
      </c>
      <c r="H7" s="7" t="s">
        <v>10</v>
      </c>
      <c r="I7" s="22" t="s">
        <v>420</v>
      </c>
      <c r="J7" s="100" t="s">
        <v>228</v>
      </c>
    </row>
    <row r="8" spans="1:12" ht="16.5">
      <c r="A8" s="6" t="s">
        <v>206</v>
      </c>
      <c r="B8" s="7">
        <v>1</v>
      </c>
      <c r="C8" s="7">
        <f ca="1">D8+B8-1</f>
        <v>11</v>
      </c>
      <c r="D8" s="7">
        <f t="shared" ref="D8:D10" ca="1" si="5">INDIRECT(ADDRESS(ROW()-1,COLUMN()-1))+1</f>
        <v>11</v>
      </c>
      <c r="E8" s="7">
        <f ca="1">ROUNDDOWN(C8/32,0)</f>
        <v>0</v>
      </c>
      <c r="F8" s="7">
        <f ca="1">C8-E8*32</f>
        <v>11</v>
      </c>
      <c r="G8" s="7">
        <f ca="1">D8-E8*32</f>
        <v>11</v>
      </c>
      <c r="H8" s="7" t="s">
        <v>15</v>
      </c>
      <c r="I8" s="22" t="s">
        <v>206</v>
      </c>
      <c r="J8" s="101">
        <v>0</v>
      </c>
    </row>
    <row r="9" spans="1:12" ht="148.5">
      <c r="A9" s="6" t="s">
        <v>55</v>
      </c>
      <c r="B9" s="7">
        <v>4</v>
      </c>
      <c r="C9" s="7">
        <f t="shared" ca="1" si="0"/>
        <v>15</v>
      </c>
      <c r="D9" s="7">
        <f t="shared" ca="1" si="5"/>
        <v>12</v>
      </c>
      <c r="E9" s="7">
        <f t="shared" ca="1" si="2"/>
        <v>0</v>
      </c>
      <c r="F9" s="7">
        <f t="shared" ca="1" si="3"/>
        <v>15</v>
      </c>
      <c r="G9" s="7">
        <f t="shared" ca="1" si="4"/>
        <v>12</v>
      </c>
      <c r="H9" s="7" t="s">
        <v>10</v>
      </c>
      <c r="I9" s="22" t="str">
        <f ca="1">CONCATENATE(INDIRECT("template!I9"))</f>
        <v>Source Data Format
0:INT8
1:FP16
2:FP32
3:INT16
4:INT32
5:BFP16
6:FP20
others：not support</v>
      </c>
      <c r="J9" s="104" t="s">
        <v>552</v>
      </c>
    </row>
    <row r="10" spans="1:12" ht="16.5">
      <c r="A10" s="6" t="s">
        <v>563</v>
      </c>
      <c r="B10" s="7">
        <v>13</v>
      </c>
      <c r="C10" s="7">
        <f ca="1">D10+B10-1</f>
        <v>28</v>
      </c>
      <c r="D10" s="7">
        <f t="shared" ca="1" si="5"/>
        <v>16</v>
      </c>
      <c r="E10" s="7">
        <f ca="1">ROUNDDOWN(C10/32,0)</f>
        <v>0</v>
      </c>
      <c r="F10" s="7">
        <f ca="1">C10-E10*32</f>
        <v>28</v>
      </c>
      <c r="G10" s="7">
        <f ca="1">D10-E10*32</f>
        <v>16</v>
      </c>
      <c r="H10" s="7" t="s">
        <v>10</v>
      </c>
      <c r="I10" s="22" t="str">
        <f ca="1">CONCATENATE(INDIRECT("template!I11"))</f>
        <v>reserved</v>
      </c>
      <c r="J10" s="102" t="s">
        <v>228</v>
      </c>
    </row>
    <row r="11" spans="1:12" ht="49.5">
      <c r="A11" s="6" t="s">
        <v>551</v>
      </c>
      <c r="B11" s="7">
        <v>3</v>
      </c>
      <c r="C11" s="7">
        <f ca="1">D11+B11-1</f>
        <v>31</v>
      </c>
      <c r="D11" s="7">
        <f ca="1">INDIRECT(ADDRESS(ROW()-1,COLUMN()-1))+1</f>
        <v>29</v>
      </c>
      <c r="E11" s="7">
        <f ca="1">ROUNDDOWN(C11/32,0)</f>
        <v>0</v>
      </c>
      <c r="F11" s="7">
        <f ca="1">C11-E11*32</f>
        <v>31</v>
      </c>
      <c r="G11" s="7">
        <f ca="1">D11-E11*32</f>
        <v>29</v>
      </c>
      <c r="H11" s="7" t="s">
        <v>251</v>
      </c>
      <c r="I11" s="22" t="s">
        <v>555</v>
      </c>
      <c r="J11" s="100" t="s">
        <v>228</v>
      </c>
    </row>
    <row r="12" spans="1:12" ht="30">
      <c r="A12" s="6" t="s">
        <v>211</v>
      </c>
      <c r="B12" s="7">
        <v>32</v>
      </c>
      <c r="C12" s="7">
        <f t="shared" ca="1" si="0"/>
        <v>63</v>
      </c>
      <c r="D12" s="7">
        <f t="shared" ca="1" si="1"/>
        <v>32</v>
      </c>
      <c r="E12" s="7">
        <f t="shared" ca="1" si="2"/>
        <v>1</v>
      </c>
      <c r="F12" s="7">
        <f t="shared" ca="1" si="3"/>
        <v>31</v>
      </c>
      <c r="G12" s="7">
        <f t="shared" ca="1" si="4"/>
        <v>0</v>
      </c>
      <c r="H12" s="7" t="s">
        <v>10</v>
      </c>
      <c r="I12" s="22" t="str">
        <f ca="1">CONCATENATE(INDIRECT("template!I15"))</f>
        <v>unsigned number. Source blob C stride</v>
      </c>
      <c r="J12" s="102" t="s">
        <v>422</v>
      </c>
    </row>
    <row r="13" spans="1:12" ht="30">
      <c r="A13" s="6" t="s">
        <v>208</v>
      </c>
      <c r="B13" s="7">
        <v>32</v>
      </c>
      <c r="C13" s="7">
        <f t="shared" ca="1" si="0"/>
        <v>95</v>
      </c>
      <c r="D13" s="7">
        <f t="shared" ca="1" si="1"/>
        <v>64</v>
      </c>
      <c r="E13" s="7">
        <f t="shared" ca="1" si="2"/>
        <v>2</v>
      </c>
      <c r="F13" s="7">
        <f t="shared" ca="1" si="3"/>
        <v>31</v>
      </c>
      <c r="G13" s="7">
        <f t="shared" ca="1" si="4"/>
        <v>0</v>
      </c>
      <c r="H13" s="7" t="s">
        <v>10</v>
      </c>
      <c r="I13" s="22" t="str">
        <f ca="1">CONCATENATE(INDIRECT("template!I16"))</f>
        <v>unsigned number; Source blob H stride</v>
      </c>
      <c r="J13" s="102" t="s">
        <v>422</v>
      </c>
    </row>
    <row r="14" spans="1:12" ht="30">
      <c r="A14" s="6" t="s">
        <v>73</v>
      </c>
      <c r="B14" s="7">
        <v>32</v>
      </c>
      <c r="C14" s="7">
        <f t="shared" ca="1" si="0"/>
        <v>127</v>
      </c>
      <c r="D14" s="7">
        <f t="shared" ca="1" si="1"/>
        <v>96</v>
      </c>
      <c r="E14" s="7">
        <f t="shared" ca="1" si="2"/>
        <v>3</v>
      </c>
      <c r="F14" s="7">
        <f t="shared" ca="1" si="3"/>
        <v>31</v>
      </c>
      <c r="G14" s="7">
        <f t="shared" ca="1" si="4"/>
        <v>0</v>
      </c>
      <c r="H14" s="7" t="s">
        <v>10</v>
      </c>
      <c r="I14" s="22" t="str">
        <f ca="1">CONCATENATE(INDIRECT("template!I17"))</f>
        <v>unsigned number; desitination blob N stride</v>
      </c>
      <c r="J14" s="102" t="s">
        <v>422</v>
      </c>
    </row>
    <row r="15" spans="1:12" ht="16.5">
      <c r="A15" s="6" t="s">
        <v>84</v>
      </c>
      <c r="B15" s="7">
        <v>16</v>
      </c>
      <c r="C15" s="7">
        <f t="shared" ca="1" si="0"/>
        <v>143</v>
      </c>
      <c r="D15" s="7">
        <f t="shared" ca="1" si="1"/>
        <v>128</v>
      </c>
      <c r="E15" s="7">
        <f t="shared" ca="1" si="2"/>
        <v>4</v>
      </c>
      <c r="F15" s="7">
        <f ca="1">C15-E15*32</f>
        <v>15</v>
      </c>
      <c r="G15" s="7">
        <f t="shared" ca="1" si="4"/>
        <v>0</v>
      </c>
      <c r="H15" s="7" t="s">
        <v>10</v>
      </c>
      <c r="I15" s="22" t="str">
        <f ca="1">INDIRECT("template!I21")</f>
        <v>Source blob C</v>
      </c>
      <c r="J15" s="102" t="s">
        <v>228</v>
      </c>
    </row>
    <row r="16" spans="1:12" ht="16.5">
      <c r="A16" s="6" t="s">
        <v>87</v>
      </c>
      <c r="B16" s="7">
        <v>16</v>
      </c>
      <c r="C16" s="7">
        <f t="shared" ca="1" si="0"/>
        <v>159</v>
      </c>
      <c r="D16" s="7">
        <f t="shared" ca="1" si="1"/>
        <v>144</v>
      </c>
      <c r="E16" s="7">
        <f t="shared" ca="1" si="2"/>
        <v>4</v>
      </c>
      <c r="F16" s="7">
        <f t="shared" ca="1" si="3"/>
        <v>31</v>
      </c>
      <c r="G16" s="7">
        <f t="shared" ca="1" si="4"/>
        <v>16</v>
      </c>
      <c r="H16" s="7" t="s">
        <v>10</v>
      </c>
      <c r="I16" s="22" t="str">
        <f ca="1">INDIRECT("template!I22")</f>
        <v xml:space="preserve">Source blob H </v>
      </c>
      <c r="J16" s="102" t="s">
        <v>228</v>
      </c>
    </row>
    <row r="17" spans="1:10" ht="16.5">
      <c r="A17" s="6" t="s">
        <v>89</v>
      </c>
      <c r="B17" s="7">
        <v>16</v>
      </c>
      <c r="C17" s="7">
        <f t="shared" ca="1" si="0"/>
        <v>175</v>
      </c>
      <c r="D17" s="7">
        <f t="shared" ca="1" si="1"/>
        <v>160</v>
      </c>
      <c r="E17" s="7">
        <f t="shared" ca="1" si="2"/>
        <v>5</v>
      </c>
      <c r="F17" s="7">
        <f t="shared" ca="1" si="3"/>
        <v>15</v>
      </c>
      <c r="G17" s="7">
        <f t="shared" ca="1" si="4"/>
        <v>0</v>
      </c>
      <c r="H17" s="7" t="s">
        <v>10</v>
      </c>
      <c r="I17" s="22" t="str">
        <f ca="1">INDIRECT("template!I23")</f>
        <v xml:space="preserve">Source blob W </v>
      </c>
      <c r="J17" s="102" t="s">
        <v>228</v>
      </c>
    </row>
    <row r="18" spans="1:10" ht="16.5">
      <c r="A18" s="221" t="s">
        <v>2387</v>
      </c>
      <c r="B18" s="7">
        <v>10</v>
      </c>
      <c r="C18" s="7">
        <f t="shared" ca="1" si="0"/>
        <v>185</v>
      </c>
      <c r="D18" s="7">
        <f t="shared" ca="1" si="1"/>
        <v>176</v>
      </c>
      <c r="E18" s="7">
        <f t="shared" ca="1" si="2"/>
        <v>5</v>
      </c>
      <c r="F18" s="7">
        <f t="shared" ca="1" si="3"/>
        <v>25</v>
      </c>
      <c r="G18" s="7">
        <f t="shared" ca="1" si="4"/>
        <v>16</v>
      </c>
      <c r="H18" s="7" t="s">
        <v>10</v>
      </c>
      <c r="I18" s="22" t="s">
        <v>2388</v>
      </c>
      <c r="J18" s="102"/>
    </row>
    <row r="19" spans="1:10" ht="16.5">
      <c r="A19" s="221" t="s">
        <v>206</v>
      </c>
      <c r="B19" s="7">
        <v>6</v>
      </c>
      <c r="C19" s="7">
        <f t="shared" ca="1" si="0"/>
        <v>191</v>
      </c>
      <c r="D19" s="7">
        <f t="shared" ca="1" si="1"/>
        <v>186</v>
      </c>
      <c r="E19" s="7">
        <v>5</v>
      </c>
      <c r="F19" s="7">
        <f ca="1">C19-E19*32</f>
        <v>31</v>
      </c>
      <c r="G19" s="7">
        <f ca="1">D19-E19*32</f>
        <v>26</v>
      </c>
      <c r="H19" s="7" t="s">
        <v>15</v>
      </c>
      <c r="I19" s="22" t="s">
        <v>206</v>
      </c>
      <c r="J19" s="101">
        <v>0</v>
      </c>
    </row>
    <row r="20" spans="1:10" ht="16.5">
      <c r="A20" s="6" t="s">
        <v>91</v>
      </c>
      <c r="B20" s="7">
        <v>16</v>
      </c>
      <c r="C20" s="7">
        <f t="shared" ca="1" si="0"/>
        <v>207</v>
      </c>
      <c r="D20" s="7">
        <f t="shared" ca="1" si="1"/>
        <v>192</v>
      </c>
      <c r="E20" s="7">
        <v>6</v>
      </c>
      <c r="F20" s="7">
        <f t="shared" ref="F20:F22" ca="1" si="6">C20-E20*32</f>
        <v>15</v>
      </c>
      <c r="G20" s="7">
        <f ca="1">D20-E20*32</f>
        <v>0</v>
      </c>
      <c r="H20" s="7" t="s">
        <v>10</v>
      </c>
      <c r="I20" s="22" t="str">
        <f ca="1">INDIRECT("template!I24")</f>
        <v xml:space="preserve">Destination Blob Number </v>
      </c>
      <c r="J20" s="102" t="s">
        <v>228</v>
      </c>
    </row>
    <row r="21" spans="1:10" ht="16.5">
      <c r="A21" s="221" t="s">
        <v>206</v>
      </c>
      <c r="B21" s="7">
        <v>16</v>
      </c>
      <c r="C21" s="7">
        <f t="shared" si="0"/>
        <v>223</v>
      </c>
      <c r="D21" s="7">
        <v>208</v>
      </c>
      <c r="E21" s="7">
        <v>6</v>
      </c>
      <c r="F21" s="7">
        <f t="shared" si="6"/>
        <v>31</v>
      </c>
      <c r="G21" s="7">
        <f t="shared" ref="G21:G22" si="7">D21-E21*32</f>
        <v>16</v>
      </c>
      <c r="H21" s="7" t="s">
        <v>15</v>
      </c>
      <c r="I21" s="22" t="s">
        <v>206</v>
      </c>
      <c r="J21" s="101">
        <v>0</v>
      </c>
    </row>
    <row r="22" spans="1:10" ht="16.5">
      <c r="A22" s="6" t="s">
        <v>247</v>
      </c>
      <c r="B22" s="7">
        <v>32</v>
      </c>
      <c r="C22" s="7">
        <f ca="1">D22+B22-1</f>
        <v>255</v>
      </c>
      <c r="D22" s="7">
        <f t="shared" ca="1" si="1"/>
        <v>224</v>
      </c>
      <c r="E22" s="7">
        <v>7</v>
      </c>
      <c r="F22" s="7">
        <f t="shared" ca="1" si="6"/>
        <v>31</v>
      </c>
      <c r="G22" s="7">
        <f t="shared" ca="1" si="7"/>
        <v>0</v>
      </c>
      <c r="H22" s="7" t="s">
        <v>10</v>
      </c>
      <c r="I22" s="22" t="str">
        <f ca="1">INDIRECT("template!I29")</f>
        <v>destination blob start address[31:0]</v>
      </c>
      <c r="J22" s="102" t="s">
        <v>228</v>
      </c>
    </row>
    <row r="23" spans="1:10">
      <c r="A23" s="28" t="s">
        <v>144</v>
      </c>
    </row>
    <row r="24" spans="1:10">
      <c r="A24" s="28" t="s">
        <v>123</v>
      </c>
    </row>
    <row r="25" spans="1:10">
      <c r="A25" s="28" t="s">
        <v>124</v>
      </c>
    </row>
    <row r="26" spans="1:10">
      <c r="A26" s="28" t="s">
        <v>125</v>
      </c>
    </row>
    <row r="27" spans="1:10">
      <c r="A27" s="28" t="s">
        <v>126</v>
      </c>
    </row>
  </sheetData>
  <phoneticPr fontId="24" type="noConversion"/>
  <pageMargins left="0.25" right="0.25" top="0.75" bottom="0.75" header="0.3" footer="0.3"/>
  <pageSetup paperSize="9" scale="38"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zoomScale="145" zoomScaleNormal="145" workbookViewId="0">
      <pane ySplit="1" topLeftCell="A8" activePane="bottomLeft" state="frozen"/>
      <selection pane="bottomLeft" activeCell="A18" sqref="A18:XFD18"/>
    </sheetView>
  </sheetViews>
  <sheetFormatPr defaultColWidth="15.5" defaultRowHeight="15"/>
  <cols>
    <col min="1" max="1" width="32.875" style="1" customWidth="1"/>
    <col min="2" max="2" width="14.875" style="29" customWidth="1"/>
    <col min="3" max="3" width="13.125" style="29" customWidth="1"/>
    <col min="4" max="4" width="12.5" style="29" customWidth="1"/>
    <col min="5" max="5" width="19.5" style="29" customWidth="1"/>
    <col min="6" max="6" width="14.125" style="29" customWidth="1"/>
    <col min="7" max="7" width="16" style="29" customWidth="1"/>
    <col min="8" max="8" width="6.125" style="1" customWidth="1"/>
    <col min="9" max="9" width="168.875" style="31" customWidth="1"/>
    <col min="10" max="10" width="38.875" style="1" customWidth="1"/>
    <col min="11" max="11" width="11.125" style="1" customWidth="1"/>
    <col min="12" max="12" width="35.875" style="1" customWidth="1"/>
    <col min="13" max="16384" width="15.5" style="1"/>
  </cols>
  <sheetData>
    <row r="1" spans="1:12" ht="16.5">
      <c r="A1" s="3" t="s">
        <v>3</v>
      </c>
      <c r="B1" s="4" t="s">
        <v>4</v>
      </c>
      <c r="C1" s="4" t="s">
        <v>5</v>
      </c>
      <c r="D1" s="4" t="s">
        <v>6</v>
      </c>
      <c r="E1" s="4" t="s">
        <v>7</v>
      </c>
      <c r="F1" s="4" t="s">
        <v>8</v>
      </c>
      <c r="G1" s="4" t="s">
        <v>9</v>
      </c>
      <c r="H1" s="5" t="s">
        <v>10</v>
      </c>
      <c r="I1" s="19" t="s">
        <v>12</v>
      </c>
      <c r="J1" s="99" t="s">
        <v>227</v>
      </c>
    </row>
    <row r="2" spans="1:12" ht="49.5">
      <c r="A2" s="6" t="s">
        <v>29</v>
      </c>
      <c r="B2" s="7">
        <v>1</v>
      </c>
      <c r="C2" s="7">
        <f>D2+B2-1</f>
        <v>0</v>
      </c>
      <c r="D2" s="7">
        <v>0</v>
      </c>
      <c r="E2" s="7">
        <f>ROUNDDOWN(C2/32,0)</f>
        <v>0</v>
      </c>
      <c r="F2" s="7">
        <f>C2-E2*32</f>
        <v>0</v>
      </c>
      <c r="G2" s="7">
        <f>D2-E2*32</f>
        <v>0</v>
      </c>
      <c r="H2" s="7" t="s">
        <v>10</v>
      </c>
      <c r="I2" s="22" t="str">
        <f ca="1">CONCATENATE(INDIRECT("template!I2"))</f>
        <v>Interrupt Enable;if this bit is set, CPU COULD get interrupt when the instruction is finished 
0: disable interrupt
1: enable interrupt</v>
      </c>
      <c r="J2" s="100" t="s">
        <v>228</v>
      </c>
      <c r="L2" s="100" t="s">
        <v>328</v>
      </c>
    </row>
    <row r="3" spans="1:12" ht="49.5">
      <c r="A3" s="6" t="s">
        <v>31</v>
      </c>
      <c r="B3" s="7">
        <v>1</v>
      </c>
      <c r="C3" s="7">
        <f ca="1">D3+B3-1</f>
        <v>1</v>
      </c>
      <c r="D3" s="7">
        <f ca="1">INDIRECT(ADDRESS(ROW()-1,COLUMN()-1))+1</f>
        <v>1</v>
      </c>
      <c r="E3" s="7">
        <f ca="1">ROUNDDOWN(C3/32,0)</f>
        <v>0</v>
      </c>
      <c r="F3" s="7">
        <f ca="1">C3-E3*32</f>
        <v>1</v>
      </c>
      <c r="G3" s="7">
        <f ca="1">D3-E3*32</f>
        <v>1</v>
      </c>
      <c r="H3" s="7" t="s">
        <v>251</v>
      </c>
      <c r="I3" s="22" t="str">
        <f ca="1">CONCATENATE(INDIRECT("template!I3"))</f>
        <v>Stride enable
0：No stride for all blob definition
1：Enable stride for all blob definition</v>
      </c>
      <c r="J3" s="101">
        <v>1</v>
      </c>
      <c r="L3" s="98" t="s">
        <v>226</v>
      </c>
    </row>
    <row r="4" spans="1:12" ht="49.5">
      <c r="A4" s="6" t="s">
        <v>127</v>
      </c>
      <c r="B4" s="7">
        <v>1</v>
      </c>
      <c r="C4" s="7">
        <f t="shared" ref="C4:C22" ca="1" si="0">D4+B4-1</f>
        <v>2</v>
      </c>
      <c r="D4" s="7">
        <f t="shared" ref="D4:D22" ca="1" si="1">INDIRECT(ADDRESS(ROW()-1,COLUMN()-1))+1</f>
        <v>2</v>
      </c>
      <c r="E4" s="7">
        <f t="shared" ref="E4:E22" ca="1" si="2">ROUNDDOWN(C4/32,0)</f>
        <v>0</v>
      </c>
      <c r="F4" s="7">
        <f t="shared" ref="F4:F22" ca="1" si="3">C4-E4*32</f>
        <v>2</v>
      </c>
      <c r="G4" s="7">
        <f t="shared" ref="G4:G22" ca="1" si="4">D4-E4*32</f>
        <v>2</v>
      </c>
      <c r="H4" s="7" t="s">
        <v>10</v>
      </c>
      <c r="I4" s="22" t="str">
        <f ca="1">CONCATENATE(INDIRECT("template!I4"))</f>
        <v>NCHW copy bit (need tie1)
0: use separate src and dst NCHW value setting
1: reuse src NCHW value for dst NCHW value</v>
      </c>
      <c r="J4" s="101">
        <v>0</v>
      </c>
      <c r="L4" s="104" t="s">
        <v>329</v>
      </c>
    </row>
    <row r="5" spans="1:12" ht="16.5">
      <c r="A5" s="6" t="s">
        <v>1012</v>
      </c>
      <c r="B5" s="7">
        <v>1</v>
      </c>
      <c r="C5" s="7">
        <f t="shared" ca="1" si="0"/>
        <v>3</v>
      </c>
      <c r="D5" s="7">
        <f ca="1">INDIRECT(ADDRESS(ROW()-1,COLUMN()-1))+1</f>
        <v>3</v>
      </c>
      <c r="E5" s="7">
        <f t="shared" ca="1" si="2"/>
        <v>0</v>
      </c>
      <c r="F5" s="7">
        <f t="shared" ca="1" si="3"/>
        <v>3</v>
      </c>
      <c r="G5" s="7">
        <f t="shared" ca="1" si="4"/>
        <v>3</v>
      </c>
      <c r="H5" s="7" t="s">
        <v>251</v>
      </c>
      <c r="I5" s="22" t="s">
        <v>1013</v>
      </c>
      <c r="J5" s="100" t="s">
        <v>228</v>
      </c>
    </row>
    <row r="6" spans="1:12" customFormat="1" ht="231">
      <c r="A6" s="6" t="s">
        <v>128</v>
      </c>
      <c r="B6" s="7">
        <v>4</v>
      </c>
      <c r="C6" s="7">
        <f t="shared" ca="1" si="0"/>
        <v>7</v>
      </c>
      <c r="D6" s="7">
        <f t="shared" ca="1" si="1"/>
        <v>4</v>
      </c>
      <c r="E6" s="7">
        <f t="shared" ca="1" si="2"/>
        <v>0</v>
      </c>
      <c r="F6" s="7">
        <f t="shared" ca="1" si="3"/>
        <v>7</v>
      </c>
      <c r="G6" s="7">
        <f t="shared" ca="1" si="4"/>
        <v>4</v>
      </c>
      <c r="H6" s="7" t="s">
        <v>10</v>
      </c>
      <c r="I6"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6" s="100" t="s">
        <v>228</v>
      </c>
    </row>
    <row r="7" spans="1:12" ht="33">
      <c r="A7" s="27" t="s">
        <v>129</v>
      </c>
      <c r="B7" s="7">
        <v>3</v>
      </c>
      <c r="C7" s="7">
        <f t="shared" ca="1" si="0"/>
        <v>10</v>
      </c>
      <c r="D7" s="7">
        <f t="shared" ca="1" si="1"/>
        <v>8</v>
      </c>
      <c r="E7" s="7">
        <f t="shared" ca="1" si="2"/>
        <v>0</v>
      </c>
      <c r="F7" s="7">
        <f t="shared" ca="1" si="3"/>
        <v>10</v>
      </c>
      <c r="G7" s="7">
        <f t="shared" ca="1" si="4"/>
        <v>8</v>
      </c>
      <c r="H7" s="7" t="s">
        <v>10</v>
      </c>
      <c r="I7" s="22" t="s">
        <v>420</v>
      </c>
      <c r="J7" s="100" t="s">
        <v>228</v>
      </c>
    </row>
    <row r="8" spans="1:12" ht="16.5">
      <c r="A8" s="6" t="s">
        <v>206</v>
      </c>
      <c r="B8" s="7">
        <v>1</v>
      </c>
      <c r="C8" s="7">
        <f ca="1">D8+B8-1</f>
        <v>11</v>
      </c>
      <c r="D8" s="7">
        <f t="shared" ref="D8:D10" ca="1" si="5">INDIRECT(ADDRESS(ROW()-1,COLUMN()-1))+1</f>
        <v>11</v>
      </c>
      <c r="E8" s="7">
        <f ca="1">ROUNDDOWN(C8/32,0)</f>
        <v>0</v>
      </c>
      <c r="F8" s="7">
        <f ca="1">C8-E8*32</f>
        <v>11</v>
      </c>
      <c r="G8" s="7">
        <f ca="1">D8-E8*32</f>
        <v>11</v>
      </c>
      <c r="H8" s="7" t="s">
        <v>15</v>
      </c>
      <c r="I8" s="22" t="s">
        <v>206</v>
      </c>
      <c r="J8" s="101">
        <v>0</v>
      </c>
    </row>
    <row r="9" spans="1:12" ht="148.5">
      <c r="A9" s="6" t="s">
        <v>55</v>
      </c>
      <c r="B9" s="7">
        <v>4</v>
      </c>
      <c r="C9" s="7">
        <f t="shared" ca="1" si="0"/>
        <v>15</v>
      </c>
      <c r="D9" s="7">
        <f t="shared" ca="1" si="5"/>
        <v>12</v>
      </c>
      <c r="E9" s="7">
        <f t="shared" ca="1" si="2"/>
        <v>0</v>
      </c>
      <c r="F9" s="7">
        <f t="shared" ca="1" si="3"/>
        <v>15</v>
      </c>
      <c r="G9" s="7">
        <f t="shared" ca="1" si="4"/>
        <v>12</v>
      </c>
      <c r="H9" s="7" t="s">
        <v>10</v>
      </c>
      <c r="I9" s="22" t="str">
        <f ca="1">CONCATENATE(INDIRECT("template!I9"))</f>
        <v>Source Data Format
0:INT8
1:FP16
2:FP32
3:INT16
4:INT32
5:BFP16
6:FP20
others：not support</v>
      </c>
      <c r="J9" s="104" t="s">
        <v>1594</v>
      </c>
    </row>
    <row r="10" spans="1:12" ht="16.5">
      <c r="A10" s="6" t="s">
        <v>563</v>
      </c>
      <c r="B10" s="7">
        <v>13</v>
      </c>
      <c r="C10" s="7">
        <f t="shared" ref="C10:C14" ca="1" si="6">D10+B10-1</f>
        <v>28</v>
      </c>
      <c r="D10" s="7">
        <f t="shared" ca="1" si="5"/>
        <v>16</v>
      </c>
      <c r="E10" s="7">
        <f t="shared" ref="E10:E14" ca="1" si="7">ROUNDDOWN(C10/32,0)</f>
        <v>0</v>
      </c>
      <c r="F10" s="7">
        <f t="shared" ref="F10:F14" ca="1" si="8">C10-E10*32</f>
        <v>28</v>
      </c>
      <c r="G10" s="7">
        <f t="shared" ref="G10:G14" ca="1" si="9">D10-E10*32</f>
        <v>16</v>
      </c>
      <c r="H10" s="7" t="s">
        <v>10</v>
      </c>
      <c r="I10" s="22" t="str">
        <f ca="1">CONCATENATE(INDIRECT("template!I11"))</f>
        <v>reserved</v>
      </c>
      <c r="J10" s="102" t="s">
        <v>228</v>
      </c>
    </row>
    <row r="11" spans="1:12" ht="49.5">
      <c r="A11" s="6" t="s">
        <v>551</v>
      </c>
      <c r="B11" s="7">
        <v>3</v>
      </c>
      <c r="C11" s="7">
        <f t="shared" ca="1" si="6"/>
        <v>31</v>
      </c>
      <c r="D11" s="7">
        <f ca="1">INDIRECT(ADDRESS(ROW()-1,COLUMN()-1))+1</f>
        <v>29</v>
      </c>
      <c r="E11" s="7">
        <f t="shared" ca="1" si="7"/>
        <v>0</v>
      </c>
      <c r="F11" s="7">
        <f t="shared" ca="1" si="8"/>
        <v>31</v>
      </c>
      <c r="G11" s="7">
        <f t="shared" ca="1" si="9"/>
        <v>29</v>
      </c>
      <c r="H11" s="7" t="s">
        <v>251</v>
      </c>
      <c r="I11" s="22" t="s">
        <v>555</v>
      </c>
      <c r="J11" s="100" t="s">
        <v>228</v>
      </c>
    </row>
    <row r="12" spans="1:12" ht="16.5">
      <c r="A12" s="6" t="s">
        <v>211</v>
      </c>
      <c r="B12" s="7">
        <v>32</v>
      </c>
      <c r="C12" s="7">
        <f t="shared" ca="1" si="6"/>
        <v>63</v>
      </c>
      <c r="D12" s="7">
        <f t="shared" ref="D12:D14" ca="1" si="10">INDIRECT(ADDRESS(ROW()-1,COLUMN()-1))+1</f>
        <v>32</v>
      </c>
      <c r="E12" s="7">
        <f t="shared" ca="1" si="7"/>
        <v>1</v>
      </c>
      <c r="F12" s="7">
        <f t="shared" ca="1" si="8"/>
        <v>31</v>
      </c>
      <c r="G12" s="7">
        <f t="shared" ca="1" si="9"/>
        <v>0</v>
      </c>
      <c r="H12" s="7" t="s">
        <v>10</v>
      </c>
      <c r="I12" s="22" t="str">
        <f ca="1">CONCATENATE(INDIRECT("template!I15"))</f>
        <v>unsigned number. Source blob C stride</v>
      </c>
      <c r="J12" s="104" t="s">
        <v>552</v>
      </c>
    </row>
    <row r="13" spans="1:12" ht="16.5">
      <c r="A13" s="6" t="s">
        <v>208</v>
      </c>
      <c r="B13" s="7">
        <v>32</v>
      </c>
      <c r="C13" s="7">
        <f t="shared" ca="1" si="6"/>
        <v>95</v>
      </c>
      <c r="D13" s="7">
        <f t="shared" ca="1" si="10"/>
        <v>64</v>
      </c>
      <c r="E13" s="7">
        <f t="shared" ca="1" si="7"/>
        <v>2</v>
      </c>
      <c r="F13" s="7">
        <f t="shared" ca="1" si="8"/>
        <v>31</v>
      </c>
      <c r="G13" s="7">
        <f t="shared" ca="1" si="9"/>
        <v>0</v>
      </c>
      <c r="H13" s="7" t="s">
        <v>10</v>
      </c>
      <c r="I13" s="22" t="str">
        <f ca="1">CONCATENATE(INDIRECT("template!I16"))</f>
        <v>unsigned number; Source blob H stride</v>
      </c>
      <c r="J13" s="104" t="s">
        <v>552</v>
      </c>
    </row>
    <row r="14" spans="1:12" ht="16.5">
      <c r="A14" s="6" t="s">
        <v>73</v>
      </c>
      <c r="B14" s="7">
        <v>32</v>
      </c>
      <c r="C14" s="7">
        <f t="shared" ca="1" si="6"/>
        <v>127</v>
      </c>
      <c r="D14" s="7">
        <f t="shared" ca="1" si="10"/>
        <v>96</v>
      </c>
      <c r="E14" s="7">
        <f t="shared" ca="1" si="7"/>
        <v>3</v>
      </c>
      <c r="F14" s="7">
        <f t="shared" ca="1" si="8"/>
        <v>31</v>
      </c>
      <c r="G14" s="7">
        <f t="shared" ca="1" si="9"/>
        <v>0</v>
      </c>
      <c r="H14" s="7" t="s">
        <v>10</v>
      </c>
      <c r="I14" s="22" t="str">
        <f ca="1">CONCATENATE(INDIRECT("template!I17"))</f>
        <v>unsigned number; desitination blob N stride</v>
      </c>
      <c r="J14" s="104" t="s">
        <v>552</v>
      </c>
    </row>
    <row r="15" spans="1:12" ht="30">
      <c r="A15" s="6" t="s">
        <v>84</v>
      </c>
      <c r="B15" s="7">
        <v>16</v>
      </c>
      <c r="C15" s="7">
        <f t="shared" ca="1" si="0"/>
        <v>143</v>
      </c>
      <c r="D15" s="7">
        <f t="shared" ca="1" si="1"/>
        <v>128</v>
      </c>
      <c r="E15" s="7">
        <f t="shared" ca="1" si="2"/>
        <v>4</v>
      </c>
      <c r="F15" s="7">
        <f t="shared" ca="1" si="3"/>
        <v>15</v>
      </c>
      <c r="G15" s="7">
        <f t="shared" ca="1" si="4"/>
        <v>0</v>
      </c>
      <c r="H15" s="7" t="s">
        <v>10</v>
      </c>
      <c r="I15" s="22" t="str">
        <f ca="1">INDIRECT("template!I21")</f>
        <v>Source blob C</v>
      </c>
      <c r="J15" s="102" t="s">
        <v>1542</v>
      </c>
    </row>
    <row r="16" spans="1:12" ht="16.5">
      <c r="A16" s="6" t="s">
        <v>87</v>
      </c>
      <c r="B16" s="7">
        <v>16</v>
      </c>
      <c r="C16" s="7">
        <f t="shared" ca="1" si="0"/>
        <v>159</v>
      </c>
      <c r="D16" s="7">
        <f t="shared" ca="1" si="1"/>
        <v>144</v>
      </c>
      <c r="E16" s="7">
        <f t="shared" ca="1" si="2"/>
        <v>4</v>
      </c>
      <c r="F16" s="7">
        <f ca="1">C16-E16*32</f>
        <v>31</v>
      </c>
      <c r="G16" s="7">
        <f t="shared" ca="1" si="4"/>
        <v>16</v>
      </c>
      <c r="H16" s="7" t="s">
        <v>10</v>
      </c>
      <c r="I16" s="22" t="str">
        <f ca="1">INDIRECT("template!I22")</f>
        <v xml:space="preserve">Source blob H </v>
      </c>
      <c r="J16" s="102" t="s">
        <v>556</v>
      </c>
    </row>
    <row r="17" spans="1:10" ht="16.5">
      <c r="A17" s="6" t="s">
        <v>89</v>
      </c>
      <c r="B17" s="7">
        <v>16</v>
      </c>
      <c r="C17" s="7">
        <f t="shared" ca="1" si="0"/>
        <v>175</v>
      </c>
      <c r="D17" s="7">
        <f t="shared" ca="1" si="1"/>
        <v>160</v>
      </c>
      <c r="E17" s="7">
        <f t="shared" ca="1" si="2"/>
        <v>5</v>
      </c>
      <c r="F17" s="7">
        <f t="shared" ca="1" si="3"/>
        <v>15</v>
      </c>
      <c r="G17" s="7">
        <f t="shared" ca="1" si="4"/>
        <v>0</v>
      </c>
      <c r="H17" s="7" t="s">
        <v>10</v>
      </c>
      <c r="I17" s="22" t="str">
        <f ca="1">INDIRECT("template!I23")</f>
        <v xml:space="preserve">Source blob W </v>
      </c>
      <c r="J17" s="102" t="s">
        <v>556</v>
      </c>
    </row>
    <row r="18" spans="1:10" ht="16.5">
      <c r="A18" s="221" t="s">
        <v>2387</v>
      </c>
      <c r="B18" s="7">
        <v>10</v>
      </c>
      <c r="C18" s="7">
        <f t="shared" ca="1" si="0"/>
        <v>185</v>
      </c>
      <c r="D18" s="7">
        <f t="shared" ca="1" si="1"/>
        <v>176</v>
      </c>
      <c r="E18" s="7">
        <f t="shared" ca="1" si="2"/>
        <v>5</v>
      </c>
      <c r="F18" s="7">
        <f t="shared" ca="1" si="3"/>
        <v>25</v>
      </c>
      <c r="G18" s="7">
        <f t="shared" ca="1" si="4"/>
        <v>16</v>
      </c>
      <c r="H18" s="7" t="s">
        <v>10</v>
      </c>
      <c r="I18" s="22" t="s">
        <v>2388</v>
      </c>
      <c r="J18" s="102"/>
    </row>
    <row r="19" spans="1:10" ht="16.5">
      <c r="A19" s="221" t="s">
        <v>206</v>
      </c>
      <c r="B19" s="7">
        <v>6</v>
      </c>
      <c r="C19" s="7">
        <f ca="1">D19+B19-1</f>
        <v>191</v>
      </c>
      <c r="D19" s="7">
        <f t="shared" ca="1" si="1"/>
        <v>186</v>
      </c>
      <c r="E19" s="7">
        <f ca="1">ROUNDDOWN(C19/32,0)</f>
        <v>5</v>
      </c>
      <c r="F19" s="7">
        <f ca="1">C19-E19*32</f>
        <v>31</v>
      </c>
      <c r="G19" s="7">
        <f ca="1">D19-E19*32</f>
        <v>26</v>
      </c>
      <c r="H19" s="7" t="s">
        <v>15</v>
      </c>
      <c r="I19" s="22" t="s">
        <v>206</v>
      </c>
      <c r="J19" s="101">
        <v>0</v>
      </c>
    </row>
    <row r="20" spans="1:10" ht="16.5">
      <c r="A20" s="6" t="s">
        <v>91</v>
      </c>
      <c r="B20" s="7">
        <v>16</v>
      </c>
      <c r="C20" s="7">
        <f t="shared" ca="1" si="0"/>
        <v>207</v>
      </c>
      <c r="D20" s="7">
        <f t="shared" ca="1" si="1"/>
        <v>192</v>
      </c>
      <c r="E20" s="7">
        <f t="shared" ca="1" si="2"/>
        <v>6</v>
      </c>
      <c r="F20" s="7">
        <f t="shared" ca="1" si="3"/>
        <v>15</v>
      </c>
      <c r="G20" s="7">
        <f t="shared" ca="1" si="4"/>
        <v>0</v>
      </c>
      <c r="H20" s="7" t="s">
        <v>10</v>
      </c>
      <c r="I20" s="22" t="str">
        <f ca="1">INDIRECT("template!I24")</f>
        <v xml:space="preserve">Destination Blob Number </v>
      </c>
      <c r="J20" s="102" t="s">
        <v>556</v>
      </c>
    </row>
    <row r="21" spans="1:10" ht="16.5">
      <c r="A21" s="221" t="s">
        <v>206</v>
      </c>
      <c r="B21" s="7">
        <v>16</v>
      </c>
      <c r="C21" s="7">
        <f ca="1">D21+B21-1</f>
        <v>223</v>
      </c>
      <c r="D21" s="7">
        <f t="shared" ca="1" si="1"/>
        <v>208</v>
      </c>
      <c r="E21" s="7">
        <f ca="1">ROUNDDOWN(C21/32,0)</f>
        <v>6</v>
      </c>
      <c r="F21" s="7">
        <f ca="1">C21-E21*32</f>
        <v>31</v>
      </c>
      <c r="G21" s="7">
        <f ca="1">D21-E21*32</f>
        <v>16</v>
      </c>
      <c r="H21" s="7" t="s">
        <v>15</v>
      </c>
      <c r="I21" s="22" t="s">
        <v>206</v>
      </c>
      <c r="J21" s="101">
        <v>0</v>
      </c>
    </row>
    <row r="22" spans="1:10" ht="16.5">
      <c r="A22" s="6" t="s">
        <v>247</v>
      </c>
      <c r="B22" s="7">
        <v>32</v>
      </c>
      <c r="C22" s="7">
        <f t="shared" ca="1" si="0"/>
        <v>255</v>
      </c>
      <c r="D22" s="7">
        <f t="shared" ca="1" si="1"/>
        <v>224</v>
      </c>
      <c r="E22" s="7">
        <f t="shared" ca="1" si="2"/>
        <v>7</v>
      </c>
      <c r="F22" s="7">
        <f t="shared" ca="1" si="3"/>
        <v>31</v>
      </c>
      <c r="G22" s="7">
        <f t="shared" ca="1" si="4"/>
        <v>0</v>
      </c>
      <c r="H22" s="7" t="s">
        <v>10</v>
      </c>
      <c r="I22" s="22" t="str">
        <f ca="1">INDIRECT("template!I29")</f>
        <v>destination blob start address[31:0]</v>
      </c>
      <c r="J22" s="102" t="s">
        <v>556</v>
      </c>
    </row>
    <row r="23" spans="1:10">
      <c r="A23" s="28" t="s">
        <v>144</v>
      </c>
    </row>
    <row r="24" spans="1:10">
      <c r="A24" s="28" t="s">
        <v>123</v>
      </c>
    </row>
    <row r="25" spans="1:10">
      <c r="A25" s="28" t="s">
        <v>124</v>
      </c>
    </row>
    <row r="26" spans="1:10">
      <c r="A26" s="28" t="s">
        <v>125</v>
      </c>
    </row>
    <row r="27" spans="1:10">
      <c r="A27" s="28" t="s">
        <v>126</v>
      </c>
    </row>
  </sheetData>
  <phoneticPr fontId="24" type="noConversion"/>
  <pageMargins left="0.25" right="0.25" top="0.75" bottom="0.75" header="0.3" footer="0.3"/>
  <pageSetup paperSize="9" scale="38"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zoomScale="130" zoomScaleNormal="130" workbookViewId="0">
      <selection activeCell="I6" sqref="I6"/>
    </sheetView>
  </sheetViews>
  <sheetFormatPr defaultColWidth="8.875" defaultRowHeight="15"/>
  <cols>
    <col min="1" max="1" width="30.625" customWidth="1"/>
    <col min="2" max="2" width="14" customWidth="1"/>
    <col min="3" max="3" width="12.5" customWidth="1"/>
    <col min="4" max="4" width="11.875" customWidth="1"/>
    <col min="5" max="5" width="18.875" customWidth="1"/>
    <col min="6" max="6" width="13.5" customWidth="1"/>
    <col min="7" max="7" width="15.125" customWidth="1"/>
    <col min="8" max="8" width="5.625" customWidth="1"/>
    <col min="9" max="9" width="170.125" customWidth="1"/>
    <col min="10" max="10" width="37.875" style="1" customWidth="1"/>
  </cols>
  <sheetData>
    <row r="1" spans="1:10" ht="16.5">
      <c r="A1" s="3" t="s">
        <v>3</v>
      </c>
      <c r="B1" s="4" t="s">
        <v>4</v>
      </c>
      <c r="C1" s="4" t="s">
        <v>5</v>
      </c>
      <c r="D1" s="4" t="s">
        <v>6</v>
      </c>
      <c r="E1" s="4" t="s">
        <v>7</v>
      </c>
      <c r="F1" s="4" t="s">
        <v>8</v>
      </c>
      <c r="G1" s="4" t="s">
        <v>9</v>
      </c>
      <c r="H1" s="5" t="s">
        <v>10</v>
      </c>
      <c r="I1" s="19" t="s">
        <v>12</v>
      </c>
      <c r="J1" s="19" t="s">
        <v>227</v>
      </c>
    </row>
    <row r="2" spans="1:10" ht="49.5">
      <c r="A2" s="6" t="s">
        <v>29</v>
      </c>
      <c r="B2" s="7">
        <v>1</v>
      </c>
      <c r="C2" s="7">
        <f t="shared" ref="C2:C11" si="0">D2+B2-1</f>
        <v>0</v>
      </c>
      <c r="D2" s="7">
        <v>0</v>
      </c>
      <c r="E2" s="7">
        <f t="shared" ref="E2:E11" si="1">ROUNDDOWN(C2/32,0)</f>
        <v>0</v>
      </c>
      <c r="F2" s="7">
        <f t="shared" ref="F2:F11" si="2">C2-E2*32</f>
        <v>0</v>
      </c>
      <c r="G2" s="7">
        <f t="shared" ref="G2:G11" si="3">D2-E2*32</f>
        <v>0</v>
      </c>
      <c r="H2" s="7" t="s">
        <v>10</v>
      </c>
      <c r="I2" s="22" t="str">
        <f ca="1">CONCATENATE(INDIRECT("template!I2"))</f>
        <v>Interrupt Enable;if this bit is set, CPU COULD get interrupt when the instruction is finished 
0: disable interrupt
1: enable interrupt</v>
      </c>
      <c r="J2" s="100" t="s">
        <v>228</v>
      </c>
    </row>
    <row r="3" spans="1:10" s="1" customFormat="1" ht="16.5">
      <c r="A3" s="6" t="s">
        <v>110</v>
      </c>
      <c r="B3" s="7">
        <v>2</v>
      </c>
      <c r="C3" s="7">
        <f t="shared" ca="1" si="0"/>
        <v>2</v>
      </c>
      <c r="D3" s="7">
        <f t="shared" ref="D3:D11" ca="1" si="4">INDIRECT(ADDRESS(ROW()-1,COLUMN()-1))+1</f>
        <v>1</v>
      </c>
      <c r="E3" s="7">
        <f t="shared" ca="1" si="1"/>
        <v>0</v>
      </c>
      <c r="F3" s="7">
        <f t="shared" ca="1" si="2"/>
        <v>2</v>
      </c>
      <c r="G3" s="7">
        <f t="shared" ca="1" si="3"/>
        <v>1</v>
      </c>
      <c r="H3" s="7" t="s">
        <v>15</v>
      </c>
      <c r="I3" s="22" t="s">
        <v>206</v>
      </c>
      <c r="J3" s="101">
        <v>0</v>
      </c>
    </row>
    <row r="4" spans="1:10" s="1" customFormat="1" ht="16.5">
      <c r="A4" s="6" t="s">
        <v>1012</v>
      </c>
      <c r="B4" s="7">
        <v>1</v>
      </c>
      <c r="C4" s="7">
        <f t="shared" ca="1" si="0"/>
        <v>3</v>
      </c>
      <c r="D4" s="7">
        <f ca="1">INDIRECT(ADDRESS(ROW()-1,COLUMN()-1))+1</f>
        <v>3</v>
      </c>
      <c r="E4" s="7">
        <f t="shared" ca="1" si="1"/>
        <v>0</v>
      </c>
      <c r="F4" s="7">
        <f t="shared" ca="1" si="2"/>
        <v>3</v>
      </c>
      <c r="G4" s="7">
        <f t="shared" ca="1" si="3"/>
        <v>3</v>
      </c>
      <c r="H4" s="7" t="s">
        <v>251</v>
      </c>
      <c r="I4" s="22" t="s">
        <v>1013</v>
      </c>
      <c r="J4" s="100" t="s">
        <v>228</v>
      </c>
    </row>
    <row r="5" spans="1:10" ht="231">
      <c r="A5" s="6" t="s">
        <v>128</v>
      </c>
      <c r="B5" s="7">
        <v>4</v>
      </c>
      <c r="C5" s="7">
        <f t="shared" ca="1" si="0"/>
        <v>7</v>
      </c>
      <c r="D5" s="7">
        <f t="shared" ca="1" si="4"/>
        <v>4</v>
      </c>
      <c r="E5" s="7">
        <f t="shared" ca="1" si="1"/>
        <v>0</v>
      </c>
      <c r="F5" s="7">
        <f t="shared" ca="1" si="2"/>
        <v>7</v>
      </c>
      <c r="G5" s="7">
        <f t="shared" ca="1" si="3"/>
        <v>4</v>
      </c>
      <c r="H5" s="7" t="s">
        <v>10</v>
      </c>
      <c r="I5" s="22" t="str">
        <f ca="1">CONCATENATE(INDIRECT("template!I6"))</f>
        <v>0x0000:DMA_send;
0x0001:DMA_read;
0x0010:DMA_write;
0x0011:DMA_general;
0x0100:DMA_receive_tensor;
0x0101:DMA_lossy_compress;
0x0110:DMA_lossy_decompress;
0x0111:DMA_sys;
0x1000:DMA_tcp_send;
0x1001:DMA_tcp_receive;
0x1010:DMA_gather;
0x1011:DMA_scatter;
0x1100:DMA_remote_msgsend;
others:reserved</v>
      </c>
      <c r="J5" s="100" t="s">
        <v>228</v>
      </c>
    </row>
    <row r="6" spans="1:10" ht="132">
      <c r="A6" s="27" t="s">
        <v>129</v>
      </c>
      <c r="B6" s="7">
        <v>3</v>
      </c>
      <c r="C6" s="7">
        <f t="shared" ca="1" si="0"/>
        <v>10</v>
      </c>
      <c r="D6" s="7">
        <f t="shared" ca="1" si="4"/>
        <v>8</v>
      </c>
      <c r="E6" s="7">
        <f t="shared" ca="1" si="1"/>
        <v>0</v>
      </c>
      <c r="F6" s="7">
        <f t="shared" ca="1" si="2"/>
        <v>10</v>
      </c>
      <c r="G6" s="7">
        <f t="shared" ca="1" si="3"/>
        <v>8</v>
      </c>
      <c r="H6" s="7" t="s">
        <v>10</v>
      </c>
      <c r="I6" s="22" t="s">
        <v>423</v>
      </c>
      <c r="J6" s="100" t="s">
        <v>228</v>
      </c>
    </row>
    <row r="7" spans="1:10" s="1" customFormat="1" ht="16.5">
      <c r="A7" s="6" t="s">
        <v>206</v>
      </c>
      <c r="B7" s="7">
        <v>21</v>
      </c>
      <c r="C7" s="7">
        <f t="shared" ca="1" si="0"/>
        <v>31</v>
      </c>
      <c r="D7" s="7">
        <f t="shared" ca="1" si="4"/>
        <v>11</v>
      </c>
      <c r="E7" s="7">
        <f t="shared" ca="1" si="1"/>
        <v>0</v>
      </c>
      <c r="F7" s="7">
        <f t="shared" ca="1" si="2"/>
        <v>31</v>
      </c>
      <c r="G7" s="7">
        <f t="shared" ca="1" si="3"/>
        <v>11</v>
      </c>
      <c r="H7" s="7" t="s">
        <v>15</v>
      </c>
      <c r="I7" s="22" t="s">
        <v>206</v>
      </c>
      <c r="J7" s="101">
        <v>0</v>
      </c>
    </row>
    <row r="8" spans="1:10" s="1" customFormat="1" ht="49.5">
      <c r="A8" s="27" t="s">
        <v>457</v>
      </c>
      <c r="B8" s="7">
        <v>32</v>
      </c>
      <c r="C8" s="7">
        <f t="shared" ca="1" si="0"/>
        <v>63</v>
      </c>
      <c r="D8" s="7">
        <f t="shared" ca="1" si="4"/>
        <v>32</v>
      </c>
      <c r="E8" s="7">
        <f t="shared" ca="1" si="1"/>
        <v>1</v>
      </c>
      <c r="F8" s="7">
        <f t="shared" ca="1" si="2"/>
        <v>31</v>
      </c>
      <c r="G8" s="7">
        <f t="shared" ca="1" si="3"/>
        <v>0</v>
      </c>
      <c r="H8" s="7" t="s">
        <v>10</v>
      </c>
      <c r="I8" s="22" t="s">
        <v>2347</v>
      </c>
      <c r="J8" s="102" t="s">
        <v>330</v>
      </c>
    </row>
    <row r="9" spans="1:10" s="1" customFormat="1" ht="30">
      <c r="A9" s="27" t="s">
        <v>460</v>
      </c>
      <c r="B9" s="7">
        <v>32</v>
      </c>
      <c r="C9" s="7">
        <f t="shared" ca="1" si="0"/>
        <v>95</v>
      </c>
      <c r="D9" s="7">
        <f t="shared" ca="1" si="4"/>
        <v>64</v>
      </c>
      <c r="E9" s="7">
        <f t="shared" ca="1" si="1"/>
        <v>2</v>
      </c>
      <c r="F9" s="7">
        <f t="shared" ca="1" si="2"/>
        <v>31</v>
      </c>
      <c r="G9" s="7">
        <f t="shared" ca="1" si="3"/>
        <v>0</v>
      </c>
      <c r="H9" s="7" t="s">
        <v>10</v>
      </c>
      <c r="I9" s="22" t="s">
        <v>459</v>
      </c>
      <c r="J9" s="102" t="s">
        <v>458</v>
      </c>
    </row>
    <row r="10" spans="1:10" s="1" customFormat="1" ht="66">
      <c r="A10" s="27" t="s">
        <v>461</v>
      </c>
      <c r="B10" s="7">
        <v>4</v>
      </c>
      <c r="C10" s="7">
        <f t="shared" ca="1" si="0"/>
        <v>99</v>
      </c>
      <c r="D10" s="7">
        <f t="shared" ca="1" si="4"/>
        <v>96</v>
      </c>
      <c r="E10" s="7">
        <f t="shared" ca="1" si="1"/>
        <v>3</v>
      </c>
      <c r="F10" s="7">
        <f t="shared" ca="1" si="2"/>
        <v>3</v>
      </c>
      <c r="G10" s="7">
        <f t="shared" ca="1" si="3"/>
        <v>0</v>
      </c>
      <c r="H10" s="7" t="s">
        <v>10</v>
      </c>
      <c r="I10" s="22" t="s">
        <v>462</v>
      </c>
      <c r="J10" s="102" t="s">
        <v>458</v>
      </c>
    </row>
    <row r="11" spans="1:10" s="1" customFormat="1" ht="16.5">
      <c r="A11" s="6" t="s">
        <v>206</v>
      </c>
      <c r="B11" s="7">
        <v>28</v>
      </c>
      <c r="C11" s="7">
        <f t="shared" ca="1" si="0"/>
        <v>127</v>
      </c>
      <c r="D11" s="7">
        <f t="shared" ca="1" si="4"/>
        <v>100</v>
      </c>
      <c r="E11" s="7">
        <f t="shared" ca="1" si="1"/>
        <v>3</v>
      </c>
      <c r="F11" s="7">
        <f t="shared" ca="1" si="2"/>
        <v>31</v>
      </c>
      <c r="G11" s="7">
        <f t="shared" ca="1" si="3"/>
        <v>4</v>
      </c>
      <c r="H11" s="7" t="s">
        <v>15</v>
      </c>
      <c r="I11" s="22" t="s">
        <v>206</v>
      </c>
      <c r="J11" s="101">
        <v>0</v>
      </c>
    </row>
    <row r="12" spans="1:10">
      <c r="A12" s="28" t="s">
        <v>144</v>
      </c>
      <c r="B12" s="29"/>
      <c r="C12" s="29"/>
      <c r="D12" s="29"/>
      <c r="E12" s="29"/>
      <c r="F12" s="29"/>
      <c r="G12" s="29"/>
      <c r="H12" s="1"/>
      <c r="I12" s="31"/>
    </row>
    <row r="13" spans="1:10">
      <c r="A13" s="28" t="s">
        <v>123</v>
      </c>
      <c r="B13" s="29"/>
      <c r="C13" s="29"/>
      <c r="D13" s="29"/>
      <c r="E13" s="29"/>
      <c r="F13" s="29"/>
      <c r="G13" s="29"/>
      <c r="H13" s="1"/>
      <c r="I13" s="31"/>
    </row>
    <row r="14" spans="1:10">
      <c r="A14" s="28" t="s">
        <v>124</v>
      </c>
      <c r="B14" s="29"/>
      <c r="C14" s="29"/>
      <c r="D14" s="29"/>
      <c r="E14" s="29"/>
      <c r="F14" s="29"/>
      <c r="G14" s="29"/>
      <c r="H14" s="1"/>
      <c r="I14" s="31"/>
    </row>
    <row r="15" spans="1:10" s="1" customFormat="1">
      <c r="A15" s="28" t="s">
        <v>125</v>
      </c>
      <c r="B15" s="29"/>
      <c r="C15" s="29"/>
      <c r="D15" s="29"/>
      <c r="E15" s="29"/>
      <c r="F15" s="29"/>
      <c r="G15" s="29"/>
      <c r="I15" s="31"/>
    </row>
    <row r="16" spans="1:10" s="1" customFormat="1">
      <c r="A16" s="28" t="s">
        <v>126</v>
      </c>
      <c r="B16" s="29"/>
      <c r="C16" s="29"/>
      <c r="D16" s="29"/>
      <c r="E16" s="29"/>
      <c r="F16" s="29"/>
      <c r="G16" s="29"/>
      <c r="I16" s="31"/>
    </row>
  </sheetData>
  <phoneticPr fontId="2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activeCell="D2" sqref="D2"/>
    </sheetView>
  </sheetViews>
  <sheetFormatPr defaultColWidth="8.875" defaultRowHeight="13.5"/>
  <cols>
    <col min="1" max="1" width="22.125" customWidth="1"/>
    <col min="2" max="2" width="14.875" customWidth="1"/>
    <col min="3" max="3" width="13.375" customWidth="1"/>
    <col min="4" max="4" width="12.5" customWidth="1"/>
    <col min="5" max="5" width="19.875" customWidth="1"/>
    <col min="6" max="6" width="14.125" customWidth="1"/>
    <col min="7" max="7" width="15.875" customWidth="1"/>
    <col min="8" max="8" width="5" customWidth="1"/>
    <col min="10" max="10" width="175.125" customWidth="1"/>
  </cols>
  <sheetData>
    <row r="1" spans="1:10" s="1" customFormat="1" ht="16.5">
      <c r="A1" s="3" t="s">
        <v>3</v>
      </c>
      <c r="B1" s="4" t="s">
        <v>4</v>
      </c>
      <c r="C1" s="4" t="s">
        <v>5</v>
      </c>
      <c r="D1" s="4" t="s">
        <v>6</v>
      </c>
      <c r="E1" s="5" t="s">
        <v>7</v>
      </c>
      <c r="F1" s="4" t="s">
        <v>8</v>
      </c>
      <c r="G1" s="4" t="s">
        <v>9</v>
      </c>
      <c r="H1" s="5" t="s">
        <v>10</v>
      </c>
      <c r="I1" s="5" t="s">
        <v>11</v>
      </c>
      <c r="J1" s="19" t="s">
        <v>12</v>
      </c>
    </row>
    <row r="2" spans="1:10" s="1" customFormat="1" ht="49.35" customHeight="1">
      <c r="A2" s="6" t="s">
        <v>174</v>
      </c>
      <c r="B2" s="7">
        <v>1</v>
      </c>
      <c r="C2" s="7" t="e">
        <f t="shared" ref="C2:C33" si="0">D2+B2-1</f>
        <v>#REF!</v>
      </c>
      <c r="D2" s="7" t="e">
        <f>#REF!+1</f>
        <v>#REF!</v>
      </c>
      <c r="E2" s="8" t="e">
        <f t="shared" ref="E2:E33" si="1">ROUNDDOWN(C2/32,0)</f>
        <v>#REF!</v>
      </c>
      <c r="F2" s="7" t="e">
        <f t="shared" ref="F2:F33" si="2">C2-E2*32</f>
        <v>#REF!</v>
      </c>
      <c r="G2" s="7" t="e">
        <f t="shared" ref="G2:G33" si="3">D2-E2*32</f>
        <v>#REF!</v>
      </c>
      <c r="H2" s="9" t="s">
        <v>10</v>
      </c>
      <c r="I2" s="8" t="s">
        <v>13</v>
      </c>
      <c r="J2" s="20" t="s">
        <v>175</v>
      </c>
    </row>
    <row r="3" spans="1:10" s="1" customFormat="1" ht="38.25">
      <c r="A3" s="6" t="s">
        <v>25</v>
      </c>
      <c r="B3" s="7">
        <v>1</v>
      </c>
      <c r="C3" s="7" t="e">
        <f t="shared" si="0"/>
        <v>#REF!</v>
      </c>
      <c r="D3" s="7" t="e">
        <f t="shared" ref="D3:D34" si="4">C2+1</f>
        <v>#REF!</v>
      </c>
      <c r="E3" s="8" t="e">
        <f t="shared" si="1"/>
        <v>#REF!</v>
      </c>
      <c r="F3" s="7" t="e">
        <f t="shared" si="2"/>
        <v>#REF!</v>
      </c>
      <c r="G3" s="7" t="e">
        <f t="shared" si="3"/>
        <v>#REF!</v>
      </c>
      <c r="H3" s="9" t="s">
        <v>10</v>
      </c>
      <c r="I3" s="8" t="s">
        <v>13</v>
      </c>
      <c r="J3" s="21" t="s">
        <v>26</v>
      </c>
    </row>
    <row r="4" spans="1:10" s="1" customFormat="1" ht="38.25">
      <c r="A4" s="6" t="s">
        <v>27</v>
      </c>
      <c r="B4" s="7">
        <v>1</v>
      </c>
      <c r="C4" s="7" t="e">
        <f t="shared" si="0"/>
        <v>#REF!</v>
      </c>
      <c r="D4" s="7" t="e">
        <f t="shared" si="4"/>
        <v>#REF!</v>
      </c>
      <c r="E4" s="8" t="e">
        <f t="shared" si="1"/>
        <v>#REF!</v>
      </c>
      <c r="F4" s="7" t="e">
        <f t="shared" si="2"/>
        <v>#REF!</v>
      </c>
      <c r="G4" s="7" t="e">
        <f t="shared" si="3"/>
        <v>#REF!</v>
      </c>
      <c r="H4" s="9" t="s">
        <v>10</v>
      </c>
      <c r="I4" s="8" t="s">
        <v>13</v>
      </c>
      <c r="J4" s="20" t="s">
        <v>28</v>
      </c>
    </row>
    <row r="5" spans="1:10" s="1" customFormat="1" ht="66">
      <c r="A5" s="6" t="s">
        <v>29</v>
      </c>
      <c r="B5" s="7">
        <v>1</v>
      </c>
      <c r="C5" s="7" t="e">
        <f t="shared" si="0"/>
        <v>#REF!</v>
      </c>
      <c r="D5" s="7" t="e">
        <f t="shared" si="4"/>
        <v>#REF!</v>
      </c>
      <c r="E5" s="8" t="e">
        <f t="shared" si="1"/>
        <v>#REF!</v>
      </c>
      <c r="F5" s="7" t="e">
        <f t="shared" si="2"/>
        <v>#REF!</v>
      </c>
      <c r="G5" s="7" t="e">
        <f t="shared" si="3"/>
        <v>#REF!</v>
      </c>
      <c r="H5" s="9" t="s">
        <v>10</v>
      </c>
      <c r="I5" s="8" t="s">
        <v>13</v>
      </c>
      <c r="J5" s="22" t="s">
        <v>176</v>
      </c>
    </row>
    <row r="6" spans="1:10" s="1" customFormat="1" ht="66">
      <c r="A6" s="6" t="s">
        <v>30</v>
      </c>
      <c r="B6" s="7">
        <v>1</v>
      </c>
      <c r="C6" s="7" t="e">
        <f t="shared" si="0"/>
        <v>#REF!</v>
      </c>
      <c r="D6" s="7" t="e">
        <f t="shared" si="4"/>
        <v>#REF!</v>
      </c>
      <c r="E6" s="8" t="e">
        <f t="shared" si="1"/>
        <v>#REF!</v>
      </c>
      <c r="F6" s="7" t="e">
        <f t="shared" si="2"/>
        <v>#REF!</v>
      </c>
      <c r="G6" s="7" t="e">
        <f t="shared" si="3"/>
        <v>#REF!</v>
      </c>
      <c r="H6" s="9" t="s">
        <v>10</v>
      </c>
      <c r="I6" s="8" t="s">
        <v>13</v>
      </c>
      <c r="J6" s="22" t="s">
        <v>177</v>
      </c>
    </row>
    <row r="7" spans="1:10" s="1" customFormat="1" ht="66">
      <c r="A7" s="6" t="s">
        <v>31</v>
      </c>
      <c r="B7" s="7">
        <v>1</v>
      </c>
      <c r="C7" s="7" t="e">
        <f t="shared" si="0"/>
        <v>#REF!</v>
      </c>
      <c r="D7" s="7" t="e">
        <f t="shared" si="4"/>
        <v>#REF!</v>
      </c>
      <c r="E7" s="8" t="e">
        <f t="shared" si="1"/>
        <v>#REF!</v>
      </c>
      <c r="F7" s="7" t="e">
        <f t="shared" si="2"/>
        <v>#REF!</v>
      </c>
      <c r="G7" s="7" t="e">
        <f t="shared" si="3"/>
        <v>#REF!</v>
      </c>
      <c r="H7" s="9" t="s">
        <v>10</v>
      </c>
      <c r="I7" s="8" t="s">
        <v>13</v>
      </c>
      <c r="J7" s="22" t="s">
        <v>178</v>
      </c>
    </row>
    <row r="8" spans="1:10" s="1" customFormat="1" ht="82.5">
      <c r="A8" s="6" t="s">
        <v>33</v>
      </c>
      <c r="B8" s="7">
        <v>2</v>
      </c>
      <c r="C8" s="7" t="e">
        <f t="shared" si="0"/>
        <v>#REF!</v>
      </c>
      <c r="D8" s="7" t="e">
        <f t="shared" si="4"/>
        <v>#REF!</v>
      </c>
      <c r="E8" s="8" t="e">
        <f t="shared" si="1"/>
        <v>#REF!</v>
      </c>
      <c r="F8" s="7" t="e">
        <f t="shared" si="2"/>
        <v>#REF!</v>
      </c>
      <c r="G8" s="7" t="e">
        <f t="shared" si="3"/>
        <v>#REF!</v>
      </c>
      <c r="H8" s="9" t="s">
        <v>10</v>
      </c>
      <c r="I8" s="8" t="s">
        <v>18</v>
      </c>
      <c r="J8" s="22" t="s">
        <v>34</v>
      </c>
    </row>
    <row r="9" spans="1:10" s="1" customFormat="1" ht="49.5">
      <c r="A9" s="6" t="s">
        <v>35</v>
      </c>
      <c r="B9" s="7">
        <v>1</v>
      </c>
      <c r="C9" s="7" t="e">
        <f t="shared" si="0"/>
        <v>#REF!</v>
      </c>
      <c r="D9" s="7" t="e">
        <f t="shared" si="4"/>
        <v>#REF!</v>
      </c>
      <c r="E9" s="8" t="e">
        <f t="shared" si="1"/>
        <v>#REF!</v>
      </c>
      <c r="F9" s="7" t="e">
        <f t="shared" si="2"/>
        <v>#REF!</v>
      </c>
      <c r="G9" s="7" t="e">
        <f t="shared" si="3"/>
        <v>#REF!</v>
      </c>
      <c r="H9" s="9" t="s">
        <v>10</v>
      </c>
      <c r="I9" s="8" t="s">
        <v>13</v>
      </c>
      <c r="J9" s="22" t="s">
        <v>36</v>
      </c>
    </row>
    <row r="10" spans="1:10" s="1" customFormat="1" ht="66">
      <c r="A10" s="6" t="s">
        <v>37</v>
      </c>
      <c r="B10" s="7">
        <v>1</v>
      </c>
      <c r="C10" s="7" t="e">
        <f t="shared" si="0"/>
        <v>#REF!</v>
      </c>
      <c r="D10" s="7" t="e">
        <f t="shared" si="4"/>
        <v>#REF!</v>
      </c>
      <c r="E10" s="8" t="e">
        <f t="shared" si="1"/>
        <v>#REF!</v>
      </c>
      <c r="F10" s="7" t="e">
        <f t="shared" si="2"/>
        <v>#REF!</v>
      </c>
      <c r="G10" s="7" t="e">
        <f t="shared" si="3"/>
        <v>#REF!</v>
      </c>
      <c r="H10" s="9" t="s">
        <v>10</v>
      </c>
      <c r="I10" s="8" t="s">
        <v>13</v>
      </c>
      <c r="J10" s="22" t="s">
        <v>38</v>
      </c>
    </row>
    <row r="11" spans="1:10" s="1" customFormat="1" ht="33">
      <c r="A11" s="10" t="s">
        <v>39</v>
      </c>
      <c r="B11" s="7">
        <v>1</v>
      </c>
      <c r="C11" s="7" t="e">
        <f t="shared" si="0"/>
        <v>#REF!</v>
      </c>
      <c r="D11" s="7" t="e">
        <f t="shared" si="4"/>
        <v>#REF!</v>
      </c>
      <c r="E11" s="8" t="e">
        <f t="shared" si="1"/>
        <v>#REF!</v>
      </c>
      <c r="F11" s="7" t="e">
        <f t="shared" si="2"/>
        <v>#REF!</v>
      </c>
      <c r="G11" s="7" t="e">
        <f t="shared" si="3"/>
        <v>#REF!</v>
      </c>
      <c r="H11" s="9" t="s">
        <v>10</v>
      </c>
      <c r="I11" s="8" t="s">
        <v>17</v>
      </c>
      <c r="J11" s="22" t="s">
        <v>41</v>
      </c>
    </row>
    <row r="12" spans="1:10" s="1" customFormat="1" ht="49.5">
      <c r="A12" s="6" t="s">
        <v>42</v>
      </c>
      <c r="B12" s="7">
        <v>1</v>
      </c>
      <c r="C12" s="7" t="e">
        <f t="shared" si="0"/>
        <v>#REF!</v>
      </c>
      <c r="D12" s="7" t="e">
        <f t="shared" si="4"/>
        <v>#REF!</v>
      </c>
      <c r="E12" s="8" t="e">
        <f t="shared" si="1"/>
        <v>#REF!</v>
      </c>
      <c r="F12" s="7" t="e">
        <f t="shared" si="2"/>
        <v>#REF!</v>
      </c>
      <c r="G12" s="7" t="e">
        <f t="shared" si="3"/>
        <v>#REF!</v>
      </c>
      <c r="H12" s="9" t="s">
        <v>10</v>
      </c>
      <c r="I12" s="8" t="s">
        <v>13</v>
      </c>
      <c r="J12" s="22" t="s">
        <v>43</v>
      </c>
    </row>
    <row r="13" spans="1:10" s="2" customFormat="1" ht="16.5">
      <c r="A13" s="11" t="s">
        <v>14</v>
      </c>
      <c r="B13" s="12">
        <v>4</v>
      </c>
      <c r="C13" s="12" t="e">
        <f t="shared" si="0"/>
        <v>#REF!</v>
      </c>
      <c r="D13" s="12" t="e">
        <f t="shared" si="4"/>
        <v>#REF!</v>
      </c>
      <c r="E13" s="13" t="e">
        <f t="shared" si="1"/>
        <v>#REF!</v>
      </c>
      <c r="F13" s="12" t="e">
        <f t="shared" si="2"/>
        <v>#REF!</v>
      </c>
      <c r="G13" s="12" t="e">
        <f t="shared" si="3"/>
        <v>#REF!</v>
      </c>
      <c r="H13" s="14" t="s">
        <v>15</v>
      </c>
      <c r="I13" s="77" t="s">
        <v>44</v>
      </c>
      <c r="J13" s="23" t="s">
        <v>14</v>
      </c>
    </row>
    <row r="14" spans="1:10" s="1" customFormat="1" ht="16.5">
      <c r="A14" s="6" t="s">
        <v>45</v>
      </c>
      <c r="B14" s="7">
        <v>16</v>
      </c>
      <c r="C14" s="7" t="e">
        <f t="shared" si="0"/>
        <v>#REF!</v>
      </c>
      <c r="D14" s="7" t="e">
        <f t="shared" si="4"/>
        <v>#REF!</v>
      </c>
      <c r="E14" s="8" t="e">
        <f t="shared" si="1"/>
        <v>#REF!</v>
      </c>
      <c r="F14" s="7" t="e">
        <f t="shared" si="2"/>
        <v>#REF!</v>
      </c>
      <c r="G14" s="7" t="e">
        <f t="shared" si="3"/>
        <v>#REF!</v>
      </c>
      <c r="H14" s="9" t="s">
        <v>10</v>
      </c>
      <c r="I14" s="8" t="s">
        <v>22</v>
      </c>
      <c r="J14" s="22" t="s">
        <v>46</v>
      </c>
    </row>
    <row r="15" spans="1:10" s="1" customFormat="1" ht="99">
      <c r="A15" s="6" t="s">
        <v>47</v>
      </c>
      <c r="B15" s="7">
        <v>3</v>
      </c>
      <c r="C15" s="7" t="e">
        <f t="shared" si="0"/>
        <v>#REF!</v>
      </c>
      <c r="D15" s="7" t="e">
        <f t="shared" si="4"/>
        <v>#REF!</v>
      </c>
      <c r="E15" s="8" t="e">
        <f t="shared" si="1"/>
        <v>#REF!</v>
      </c>
      <c r="F15" s="7" t="e">
        <f t="shared" si="2"/>
        <v>#REF!</v>
      </c>
      <c r="G15" s="7" t="e">
        <f t="shared" si="3"/>
        <v>#REF!</v>
      </c>
      <c r="H15" s="9" t="s">
        <v>10</v>
      </c>
      <c r="I15" s="8" t="s">
        <v>48</v>
      </c>
      <c r="J15" s="22" t="s">
        <v>179</v>
      </c>
    </row>
    <row r="16" spans="1:10" s="1" customFormat="1" ht="99">
      <c r="A16" s="6" t="s">
        <v>49</v>
      </c>
      <c r="B16" s="7">
        <v>3</v>
      </c>
      <c r="C16" s="7" t="e">
        <f t="shared" si="0"/>
        <v>#REF!</v>
      </c>
      <c r="D16" s="7" t="e">
        <f t="shared" si="4"/>
        <v>#REF!</v>
      </c>
      <c r="E16" s="8" t="e">
        <f t="shared" si="1"/>
        <v>#REF!</v>
      </c>
      <c r="F16" s="7" t="e">
        <f t="shared" si="2"/>
        <v>#REF!</v>
      </c>
      <c r="G16" s="7" t="e">
        <f t="shared" si="3"/>
        <v>#REF!</v>
      </c>
      <c r="H16" s="9" t="s">
        <v>10</v>
      </c>
      <c r="I16" s="8" t="s">
        <v>48</v>
      </c>
      <c r="J16" s="22" t="s">
        <v>50</v>
      </c>
    </row>
    <row r="17" spans="1:10" s="1" customFormat="1" ht="49.5">
      <c r="A17" s="6" t="s">
        <v>51</v>
      </c>
      <c r="B17" s="7">
        <v>1</v>
      </c>
      <c r="C17" s="7" t="e">
        <f t="shared" si="0"/>
        <v>#REF!</v>
      </c>
      <c r="D17" s="7" t="e">
        <f t="shared" si="4"/>
        <v>#REF!</v>
      </c>
      <c r="E17" s="8" t="e">
        <f t="shared" si="1"/>
        <v>#REF!</v>
      </c>
      <c r="F17" s="7" t="e">
        <f t="shared" si="2"/>
        <v>#REF!</v>
      </c>
      <c r="G17" s="7" t="e">
        <f t="shared" si="3"/>
        <v>#REF!</v>
      </c>
      <c r="H17" s="9" t="s">
        <v>10</v>
      </c>
      <c r="I17" s="8" t="s">
        <v>40</v>
      </c>
      <c r="J17" s="22" t="s">
        <v>52</v>
      </c>
    </row>
    <row r="18" spans="1:10" s="1" customFormat="1" ht="49.5">
      <c r="A18" s="6" t="s">
        <v>53</v>
      </c>
      <c r="B18" s="7">
        <v>1</v>
      </c>
      <c r="C18" s="7" t="e">
        <f t="shared" si="0"/>
        <v>#REF!</v>
      </c>
      <c r="D18" s="7" t="e">
        <f t="shared" si="4"/>
        <v>#REF!</v>
      </c>
      <c r="E18" s="8" t="e">
        <f t="shared" si="1"/>
        <v>#REF!</v>
      </c>
      <c r="F18" s="7" t="e">
        <f t="shared" si="2"/>
        <v>#REF!</v>
      </c>
      <c r="G18" s="7" t="e">
        <f t="shared" si="3"/>
        <v>#REF!</v>
      </c>
      <c r="H18" s="9" t="s">
        <v>10</v>
      </c>
      <c r="I18" s="8" t="s">
        <v>40</v>
      </c>
      <c r="J18" s="22" t="s">
        <v>54</v>
      </c>
    </row>
    <row r="19" spans="1:10" s="1" customFormat="1" ht="99">
      <c r="A19" s="6" t="s">
        <v>55</v>
      </c>
      <c r="B19" s="7">
        <v>3</v>
      </c>
      <c r="C19" s="7" t="e">
        <f t="shared" si="0"/>
        <v>#REF!</v>
      </c>
      <c r="D19" s="7" t="e">
        <f t="shared" si="4"/>
        <v>#REF!</v>
      </c>
      <c r="E19" s="8" t="e">
        <f t="shared" si="1"/>
        <v>#REF!</v>
      </c>
      <c r="F19" s="7" t="e">
        <f t="shared" si="2"/>
        <v>#REF!</v>
      </c>
      <c r="G19" s="7" t="e">
        <f t="shared" si="3"/>
        <v>#REF!</v>
      </c>
      <c r="H19" s="9" t="s">
        <v>10</v>
      </c>
      <c r="I19" s="8" t="s">
        <v>48</v>
      </c>
      <c r="J19" s="22" t="s">
        <v>56</v>
      </c>
    </row>
    <row r="20" spans="1:10" s="1" customFormat="1" ht="16.5">
      <c r="A20" s="6" t="s">
        <v>57</v>
      </c>
      <c r="B20" s="7">
        <v>4</v>
      </c>
      <c r="C20" s="7" t="e">
        <f t="shared" si="0"/>
        <v>#REF!</v>
      </c>
      <c r="D20" s="7" t="e">
        <f t="shared" si="4"/>
        <v>#REF!</v>
      </c>
      <c r="E20" s="8" t="e">
        <f t="shared" si="1"/>
        <v>#REF!</v>
      </c>
      <c r="F20" s="7" t="e">
        <f t="shared" si="2"/>
        <v>#REF!</v>
      </c>
      <c r="G20" s="7" t="e">
        <f t="shared" si="3"/>
        <v>#REF!</v>
      </c>
      <c r="H20" s="9" t="s">
        <v>10</v>
      </c>
      <c r="I20" s="8" t="s">
        <v>180</v>
      </c>
      <c r="J20" s="22" t="s">
        <v>58</v>
      </c>
    </row>
    <row r="21" spans="1:10" s="1" customFormat="1" ht="49.5">
      <c r="A21" s="6" t="s">
        <v>59</v>
      </c>
      <c r="B21" s="7">
        <v>1</v>
      </c>
      <c r="C21" s="7" t="e">
        <f t="shared" si="0"/>
        <v>#REF!</v>
      </c>
      <c r="D21" s="7" t="e">
        <f t="shared" si="4"/>
        <v>#REF!</v>
      </c>
      <c r="E21" s="8" t="e">
        <f t="shared" si="1"/>
        <v>#REF!</v>
      </c>
      <c r="F21" s="7" t="e">
        <f t="shared" si="2"/>
        <v>#REF!</v>
      </c>
      <c r="G21" s="7" t="e">
        <f t="shared" si="3"/>
        <v>#REF!</v>
      </c>
      <c r="H21" s="9" t="s">
        <v>10</v>
      </c>
      <c r="I21" s="8" t="s">
        <v>60</v>
      </c>
      <c r="J21" s="22" t="s">
        <v>61</v>
      </c>
    </row>
    <row r="22" spans="1:10" s="1" customFormat="1" ht="16.5">
      <c r="A22" s="6" t="s">
        <v>62</v>
      </c>
      <c r="B22" s="7">
        <v>16</v>
      </c>
      <c r="C22" s="7" t="e">
        <f t="shared" si="0"/>
        <v>#REF!</v>
      </c>
      <c r="D22" s="7" t="e">
        <f t="shared" si="4"/>
        <v>#REF!</v>
      </c>
      <c r="E22" s="8" t="e">
        <f t="shared" si="1"/>
        <v>#REF!</v>
      </c>
      <c r="F22" s="7" t="e">
        <f t="shared" si="2"/>
        <v>#REF!</v>
      </c>
      <c r="G22" s="7" t="e">
        <f t="shared" si="3"/>
        <v>#REF!</v>
      </c>
      <c r="H22" s="9" t="s">
        <v>10</v>
      </c>
      <c r="I22" s="8" t="s">
        <v>22</v>
      </c>
      <c r="J22" s="22" t="s">
        <v>63</v>
      </c>
    </row>
    <row r="23" spans="1:10" s="1" customFormat="1" ht="16.5">
      <c r="A23" s="6" t="s">
        <v>64</v>
      </c>
      <c r="B23" s="7">
        <v>16</v>
      </c>
      <c r="C23" s="7" t="e">
        <f t="shared" si="0"/>
        <v>#REF!</v>
      </c>
      <c r="D23" s="7" t="e">
        <f t="shared" si="4"/>
        <v>#REF!</v>
      </c>
      <c r="E23" s="8" t="e">
        <f t="shared" si="1"/>
        <v>#REF!</v>
      </c>
      <c r="F23" s="7" t="e">
        <f t="shared" si="2"/>
        <v>#REF!</v>
      </c>
      <c r="G23" s="7" t="e">
        <f t="shared" si="3"/>
        <v>#REF!</v>
      </c>
      <c r="H23" s="9" t="s">
        <v>10</v>
      </c>
      <c r="I23" s="8" t="s">
        <v>22</v>
      </c>
      <c r="J23" s="22" t="s">
        <v>65</v>
      </c>
    </row>
    <row r="24" spans="1:10" s="1" customFormat="1" ht="16.5">
      <c r="A24" s="6" t="s">
        <v>66</v>
      </c>
      <c r="B24" s="7">
        <v>16</v>
      </c>
      <c r="C24" s="7" t="e">
        <f t="shared" si="0"/>
        <v>#REF!</v>
      </c>
      <c r="D24" s="7" t="e">
        <f t="shared" si="4"/>
        <v>#REF!</v>
      </c>
      <c r="E24" s="8" t="e">
        <f t="shared" si="1"/>
        <v>#REF!</v>
      </c>
      <c r="F24" s="7" t="e">
        <f t="shared" si="2"/>
        <v>#REF!</v>
      </c>
      <c r="G24" s="7" t="e">
        <f t="shared" si="3"/>
        <v>#REF!</v>
      </c>
      <c r="H24" s="9" t="s">
        <v>10</v>
      </c>
      <c r="I24" s="8" t="s">
        <v>22</v>
      </c>
      <c r="J24" s="22" t="s">
        <v>67</v>
      </c>
    </row>
    <row r="25" spans="1:10" s="1" customFormat="1" ht="16.5">
      <c r="A25" s="6" t="s">
        <v>68</v>
      </c>
      <c r="B25" s="7">
        <v>32</v>
      </c>
      <c r="C25" s="7" t="e">
        <f t="shared" si="0"/>
        <v>#REF!</v>
      </c>
      <c r="D25" s="7" t="e">
        <f t="shared" si="4"/>
        <v>#REF!</v>
      </c>
      <c r="E25" s="8" t="e">
        <f t="shared" si="1"/>
        <v>#REF!</v>
      </c>
      <c r="F25" s="7" t="e">
        <f t="shared" si="2"/>
        <v>#REF!</v>
      </c>
      <c r="G25" s="7" t="e">
        <f t="shared" si="3"/>
        <v>#REF!</v>
      </c>
      <c r="H25" s="9" t="s">
        <v>10</v>
      </c>
      <c r="I25" s="8" t="s">
        <v>24</v>
      </c>
      <c r="J25" s="22" t="s">
        <v>181</v>
      </c>
    </row>
    <row r="26" spans="1:10" s="1" customFormat="1" ht="33">
      <c r="A26" s="6" t="s">
        <v>69</v>
      </c>
      <c r="B26" s="7">
        <v>32</v>
      </c>
      <c r="C26" s="7" t="e">
        <f t="shared" si="0"/>
        <v>#REF!</v>
      </c>
      <c r="D26" s="7" t="e">
        <f t="shared" si="4"/>
        <v>#REF!</v>
      </c>
      <c r="E26" s="8" t="e">
        <f t="shared" si="1"/>
        <v>#REF!</v>
      </c>
      <c r="F26" s="7" t="e">
        <f t="shared" si="2"/>
        <v>#REF!</v>
      </c>
      <c r="G26" s="7" t="e">
        <f t="shared" si="3"/>
        <v>#REF!</v>
      </c>
      <c r="H26" s="9" t="s">
        <v>10</v>
      </c>
      <c r="I26" s="8" t="s">
        <v>70</v>
      </c>
      <c r="J26" s="22" t="s">
        <v>182</v>
      </c>
    </row>
    <row r="27" spans="1:10" s="1" customFormat="1" ht="16.5">
      <c r="A27" s="6" t="s">
        <v>71</v>
      </c>
      <c r="B27" s="7">
        <v>32</v>
      </c>
      <c r="C27" s="7" t="e">
        <f t="shared" si="0"/>
        <v>#REF!</v>
      </c>
      <c r="D27" s="7" t="e">
        <f t="shared" si="4"/>
        <v>#REF!</v>
      </c>
      <c r="E27" s="8" t="e">
        <f t="shared" si="1"/>
        <v>#REF!</v>
      </c>
      <c r="F27" s="7" t="e">
        <f t="shared" si="2"/>
        <v>#REF!</v>
      </c>
      <c r="G27" s="7" t="e">
        <f t="shared" si="3"/>
        <v>#REF!</v>
      </c>
      <c r="H27" s="9" t="s">
        <v>10</v>
      </c>
      <c r="I27" s="8" t="s">
        <v>70</v>
      </c>
      <c r="J27" s="22" t="s">
        <v>72</v>
      </c>
    </row>
    <row r="28" spans="1:10" s="1" customFormat="1" ht="16.5">
      <c r="A28" s="6" t="s">
        <v>73</v>
      </c>
      <c r="B28" s="7">
        <v>32</v>
      </c>
      <c r="C28" s="7" t="e">
        <f t="shared" si="0"/>
        <v>#REF!</v>
      </c>
      <c r="D28" s="7" t="e">
        <f t="shared" si="4"/>
        <v>#REF!</v>
      </c>
      <c r="E28" s="8" t="e">
        <f t="shared" si="1"/>
        <v>#REF!</v>
      </c>
      <c r="F28" s="7" t="e">
        <f t="shared" si="2"/>
        <v>#REF!</v>
      </c>
      <c r="G28" s="7" t="e">
        <f t="shared" si="3"/>
        <v>#REF!</v>
      </c>
      <c r="H28" s="9" t="s">
        <v>10</v>
      </c>
      <c r="I28" s="8" t="s">
        <v>70</v>
      </c>
      <c r="J28" s="22" t="s">
        <v>74</v>
      </c>
    </row>
    <row r="29" spans="1:10" s="1" customFormat="1" ht="16.5">
      <c r="A29" s="6" t="s">
        <v>75</v>
      </c>
      <c r="B29" s="7">
        <v>32</v>
      </c>
      <c r="C29" s="7" t="e">
        <f t="shared" si="0"/>
        <v>#REF!</v>
      </c>
      <c r="D29" s="7" t="e">
        <f t="shared" si="4"/>
        <v>#REF!</v>
      </c>
      <c r="E29" s="8" t="e">
        <f t="shared" si="1"/>
        <v>#REF!</v>
      </c>
      <c r="F29" s="7" t="e">
        <f t="shared" si="2"/>
        <v>#REF!</v>
      </c>
      <c r="G29" s="7" t="e">
        <f t="shared" si="3"/>
        <v>#REF!</v>
      </c>
      <c r="H29" s="9" t="s">
        <v>10</v>
      </c>
      <c r="I29" s="8" t="s">
        <v>70</v>
      </c>
      <c r="J29" s="22" t="s">
        <v>76</v>
      </c>
    </row>
    <row r="30" spans="1:10" s="1" customFormat="1" ht="16.5">
      <c r="A30" s="6" t="s">
        <v>77</v>
      </c>
      <c r="B30" s="7">
        <v>32</v>
      </c>
      <c r="C30" s="7" t="e">
        <f t="shared" si="0"/>
        <v>#REF!</v>
      </c>
      <c r="D30" s="7" t="e">
        <f t="shared" si="4"/>
        <v>#REF!</v>
      </c>
      <c r="E30" s="8" t="e">
        <f t="shared" si="1"/>
        <v>#REF!</v>
      </c>
      <c r="F30" s="7" t="e">
        <f t="shared" si="2"/>
        <v>#REF!</v>
      </c>
      <c r="G30" s="7" t="e">
        <f t="shared" si="3"/>
        <v>#REF!</v>
      </c>
      <c r="H30" s="9" t="s">
        <v>10</v>
      </c>
      <c r="I30" s="8" t="s">
        <v>70</v>
      </c>
      <c r="J30" s="22" t="s">
        <v>183</v>
      </c>
    </row>
    <row r="31" spans="1:10" s="1" customFormat="1" ht="16.5">
      <c r="A31" s="6" t="s">
        <v>78</v>
      </c>
      <c r="B31" s="7">
        <v>32</v>
      </c>
      <c r="C31" s="7" t="e">
        <f t="shared" si="0"/>
        <v>#REF!</v>
      </c>
      <c r="D31" s="7" t="e">
        <f t="shared" si="4"/>
        <v>#REF!</v>
      </c>
      <c r="E31" s="8" t="e">
        <f t="shared" si="1"/>
        <v>#REF!</v>
      </c>
      <c r="F31" s="7" t="e">
        <f t="shared" si="2"/>
        <v>#REF!</v>
      </c>
      <c r="G31" s="7" t="e">
        <f t="shared" si="3"/>
        <v>#REF!</v>
      </c>
      <c r="H31" s="9" t="s">
        <v>10</v>
      </c>
      <c r="I31" s="8" t="s">
        <v>70</v>
      </c>
      <c r="J31" s="22" t="s">
        <v>79</v>
      </c>
    </row>
    <row r="32" spans="1:10" s="1" customFormat="1" ht="16.5">
      <c r="A32" s="6" t="s">
        <v>80</v>
      </c>
      <c r="B32" s="7">
        <v>32</v>
      </c>
      <c r="C32" s="7" t="e">
        <f t="shared" si="0"/>
        <v>#REF!</v>
      </c>
      <c r="D32" s="7" t="e">
        <f t="shared" si="4"/>
        <v>#REF!</v>
      </c>
      <c r="E32" s="8" t="e">
        <f t="shared" si="1"/>
        <v>#REF!</v>
      </c>
      <c r="F32" s="7" t="e">
        <f t="shared" si="2"/>
        <v>#REF!</v>
      </c>
      <c r="G32" s="7" t="e">
        <f t="shared" si="3"/>
        <v>#REF!</v>
      </c>
      <c r="H32" s="9" t="s">
        <v>10</v>
      </c>
      <c r="I32" s="8" t="s">
        <v>70</v>
      </c>
      <c r="J32" s="22" t="s">
        <v>81</v>
      </c>
    </row>
    <row r="33" spans="1:10" s="1" customFormat="1" ht="16.5">
      <c r="A33" s="6" t="s">
        <v>82</v>
      </c>
      <c r="B33" s="7">
        <v>32</v>
      </c>
      <c r="C33" s="7" t="e">
        <f t="shared" si="0"/>
        <v>#REF!</v>
      </c>
      <c r="D33" s="7" t="e">
        <f t="shared" si="4"/>
        <v>#REF!</v>
      </c>
      <c r="E33" s="8" t="e">
        <f t="shared" si="1"/>
        <v>#REF!</v>
      </c>
      <c r="F33" s="7" t="e">
        <f t="shared" si="2"/>
        <v>#REF!</v>
      </c>
      <c r="G33" s="7" t="e">
        <f t="shared" si="3"/>
        <v>#REF!</v>
      </c>
      <c r="H33" s="9" t="s">
        <v>10</v>
      </c>
      <c r="I33" s="8" t="s">
        <v>70</v>
      </c>
      <c r="J33" s="22" t="s">
        <v>83</v>
      </c>
    </row>
    <row r="34" spans="1:10" s="1" customFormat="1" ht="16.5">
      <c r="A34" s="6" t="s">
        <v>84</v>
      </c>
      <c r="B34" s="7">
        <v>16</v>
      </c>
      <c r="C34" s="7" t="e">
        <f t="shared" ref="C34:C54" si="5">D34+B34-1</f>
        <v>#REF!</v>
      </c>
      <c r="D34" s="7" t="e">
        <f t="shared" si="4"/>
        <v>#REF!</v>
      </c>
      <c r="E34" s="8" t="e">
        <f t="shared" ref="E34:E54" si="6">ROUNDDOWN(C34/32,0)</f>
        <v>#REF!</v>
      </c>
      <c r="F34" s="7" t="e">
        <f t="shared" ref="F34:F54" si="7">C34-E34*32</f>
        <v>#REF!</v>
      </c>
      <c r="G34" s="7" t="e">
        <f t="shared" ref="G34:G54" si="8">D34-E34*32</f>
        <v>#REF!</v>
      </c>
      <c r="H34" s="9" t="s">
        <v>10</v>
      </c>
      <c r="I34" s="8" t="s">
        <v>85</v>
      </c>
      <c r="J34" s="22" t="s">
        <v>86</v>
      </c>
    </row>
    <row r="35" spans="1:10" s="1" customFormat="1" ht="16.5">
      <c r="A35" s="6" t="s">
        <v>87</v>
      </c>
      <c r="B35" s="7">
        <v>16</v>
      </c>
      <c r="C35" s="7" t="e">
        <f t="shared" si="5"/>
        <v>#REF!</v>
      </c>
      <c r="D35" s="7" t="e">
        <f t="shared" ref="D35:D54" si="9">C34+1</f>
        <v>#REF!</v>
      </c>
      <c r="E35" s="8" t="e">
        <f t="shared" si="6"/>
        <v>#REF!</v>
      </c>
      <c r="F35" s="7" t="e">
        <f t="shared" si="7"/>
        <v>#REF!</v>
      </c>
      <c r="G35" s="7" t="e">
        <f t="shared" si="8"/>
        <v>#REF!</v>
      </c>
      <c r="H35" s="9" t="s">
        <v>10</v>
      </c>
      <c r="I35" s="8" t="s">
        <v>85</v>
      </c>
      <c r="J35" s="22" t="s">
        <v>88</v>
      </c>
    </row>
    <row r="36" spans="1:10" s="1" customFormat="1" ht="16.5">
      <c r="A36" s="6" t="s">
        <v>89</v>
      </c>
      <c r="B36" s="7">
        <v>16</v>
      </c>
      <c r="C36" s="7" t="e">
        <f t="shared" si="5"/>
        <v>#REF!</v>
      </c>
      <c r="D36" s="7" t="e">
        <f t="shared" si="9"/>
        <v>#REF!</v>
      </c>
      <c r="E36" s="8" t="e">
        <f t="shared" si="6"/>
        <v>#REF!</v>
      </c>
      <c r="F36" s="7" t="e">
        <f t="shared" si="7"/>
        <v>#REF!</v>
      </c>
      <c r="G36" s="7" t="e">
        <f t="shared" si="8"/>
        <v>#REF!</v>
      </c>
      <c r="H36" s="9" t="s">
        <v>10</v>
      </c>
      <c r="I36" s="8" t="s">
        <v>85</v>
      </c>
      <c r="J36" s="22" t="s">
        <v>90</v>
      </c>
    </row>
    <row r="37" spans="1:10" s="1" customFormat="1" ht="16.5">
      <c r="A37" s="6" t="s">
        <v>91</v>
      </c>
      <c r="B37" s="7">
        <v>16</v>
      </c>
      <c r="C37" s="7" t="e">
        <f t="shared" si="5"/>
        <v>#REF!</v>
      </c>
      <c r="D37" s="7" t="e">
        <f t="shared" si="9"/>
        <v>#REF!</v>
      </c>
      <c r="E37" s="8" t="e">
        <f t="shared" si="6"/>
        <v>#REF!</v>
      </c>
      <c r="F37" s="7" t="e">
        <f t="shared" si="7"/>
        <v>#REF!</v>
      </c>
      <c r="G37" s="7" t="e">
        <f t="shared" si="8"/>
        <v>#REF!</v>
      </c>
      <c r="H37" s="9" t="s">
        <v>10</v>
      </c>
      <c r="I37" s="8" t="s">
        <v>85</v>
      </c>
      <c r="J37" s="22" t="s">
        <v>92</v>
      </c>
    </row>
    <row r="38" spans="1:10" s="1" customFormat="1" ht="16.5">
      <c r="A38" s="6" t="s">
        <v>93</v>
      </c>
      <c r="B38" s="7">
        <v>16</v>
      </c>
      <c r="C38" s="7" t="e">
        <f t="shared" si="5"/>
        <v>#REF!</v>
      </c>
      <c r="D38" s="7" t="e">
        <f t="shared" si="9"/>
        <v>#REF!</v>
      </c>
      <c r="E38" s="8" t="e">
        <f t="shared" si="6"/>
        <v>#REF!</v>
      </c>
      <c r="F38" s="7" t="e">
        <f t="shared" si="7"/>
        <v>#REF!</v>
      </c>
      <c r="G38" s="7" t="e">
        <f t="shared" si="8"/>
        <v>#REF!</v>
      </c>
      <c r="H38" s="9" t="s">
        <v>10</v>
      </c>
      <c r="I38" s="8" t="s">
        <v>85</v>
      </c>
      <c r="J38" s="22" t="s">
        <v>94</v>
      </c>
    </row>
    <row r="39" spans="1:10" s="1" customFormat="1" ht="16.5">
      <c r="A39" s="6" t="s">
        <v>95</v>
      </c>
      <c r="B39" s="7">
        <v>16</v>
      </c>
      <c r="C39" s="7" t="e">
        <f t="shared" si="5"/>
        <v>#REF!</v>
      </c>
      <c r="D39" s="7" t="e">
        <f t="shared" si="9"/>
        <v>#REF!</v>
      </c>
      <c r="E39" s="8" t="e">
        <f t="shared" si="6"/>
        <v>#REF!</v>
      </c>
      <c r="F39" s="7" t="e">
        <f t="shared" si="7"/>
        <v>#REF!</v>
      </c>
      <c r="G39" s="7" t="e">
        <f t="shared" si="8"/>
        <v>#REF!</v>
      </c>
      <c r="H39" s="9" t="s">
        <v>10</v>
      </c>
      <c r="I39" s="8" t="s">
        <v>85</v>
      </c>
      <c r="J39" s="22" t="s">
        <v>96</v>
      </c>
    </row>
    <row r="40" spans="1:10" s="1" customFormat="1" ht="16.5">
      <c r="A40" s="6" t="s">
        <v>97</v>
      </c>
      <c r="B40" s="7">
        <v>16</v>
      </c>
      <c r="C40" s="7" t="e">
        <f t="shared" si="5"/>
        <v>#REF!</v>
      </c>
      <c r="D40" s="7" t="e">
        <f t="shared" si="9"/>
        <v>#REF!</v>
      </c>
      <c r="E40" s="8" t="e">
        <f t="shared" si="6"/>
        <v>#REF!</v>
      </c>
      <c r="F40" s="7" t="e">
        <f t="shared" si="7"/>
        <v>#REF!</v>
      </c>
      <c r="G40" s="7" t="e">
        <f t="shared" si="8"/>
        <v>#REF!</v>
      </c>
      <c r="H40" s="9" t="s">
        <v>10</v>
      </c>
      <c r="I40" s="8" t="s">
        <v>85</v>
      </c>
      <c r="J40" s="22" t="s">
        <v>98</v>
      </c>
    </row>
    <row r="41" spans="1:10" s="1" customFormat="1" ht="16.5">
      <c r="A41" s="6" t="s">
        <v>99</v>
      </c>
      <c r="B41" s="7">
        <v>16</v>
      </c>
      <c r="C41" s="7" t="e">
        <f t="shared" si="5"/>
        <v>#REF!</v>
      </c>
      <c r="D41" s="7" t="e">
        <f t="shared" si="9"/>
        <v>#REF!</v>
      </c>
      <c r="E41" s="8" t="e">
        <f t="shared" si="6"/>
        <v>#REF!</v>
      </c>
      <c r="F41" s="7" t="e">
        <f t="shared" si="7"/>
        <v>#REF!</v>
      </c>
      <c r="G41" s="7" t="e">
        <f t="shared" si="8"/>
        <v>#REF!</v>
      </c>
      <c r="H41" s="9" t="s">
        <v>10</v>
      </c>
      <c r="I41" s="8" t="s">
        <v>85</v>
      </c>
      <c r="J41" s="22" t="s">
        <v>100</v>
      </c>
    </row>
    <row r="42" spans="1:10" s="1" customFormat="1" ht="16.5">
      <c r="A42" s="6" t="s">
        <v>101</v>
      </c>
      <c r="B42" s="7">
        <v>32</v>
      </c>
      <c r="C42" s="7" t="e">
        <f t="shared" si="5"/>
        <v>#REF!</v>
      </c>
      <c r="D42" s="7" t="e">
        <f t="shared" si="9"/>
        <v>#REF!</v>
      </c>
      <c r="E42" s="8" t="e">
        <f t="shared" si="6"/>
        <v>#REF!</v>
      </c>
      <c r="F42" s="7" t="e">
        <f t="shared" si="7"/>
        <v>#REF!</v>
      </c>
      <c r="G42" s="7" t="e">
        <f t="shared" si="8"/>
        <v>#REF!</v>
      </c>
      <c r="H42" s="9" t="s">
        <v>10</v>
      </c>
      <c r="I42" s="8" t="s">
        <v>24</v>
      </c>
      <c r="J42" s="22" t="s">
        <v>102</v>
      </c>
    </row>
    <row r="43" spans="1:10" s="1" customFormat="1" ht="16.5">
      <c r="A43" s="6" t="s">
        <v>103</v>
      </c>
      <c r="B43" s="7">
        <v>32</v>
      </c>
      <c r="C43" s="7" t="e">
        <f t="shared" si="5"/>
        <v>#REF!</v>
      </c>
      <c r="D43" s="7" t="e">
        <f t="shared" si="9"/>
        <v>#REF!</v>
      </c>
      <c r="E43" s="8" t="e">
        <f t="shared" si="6"/>
        <v>#REF!</v>
      </c>
      <c r="F43" s="7" t="e">
        <f t="shared" si="7"/>
        <v>#REF!</v>
      </c>
      <c r="G43" s="7" t="e">
        <f t="shared" si="8"/>
        <v>#REF!</v>
      </c>
      <c r="H43" s="9" t="s">
        <v>10</v>
      </c>
      <c r="I43" s="8" t="s">
        <v>24</v>
      </c>
      <c r="J43" s="24" t="s">
        <v>104</v>
      </c>
    </row>
    <row r="44" spans="1:10" s="1" customFormat="1" ht="16.5">
      <c r="A44" s="6" t="s">
        <v>105</v>
      </c>
      <c r="B44" s="7">
        <v>8</v>
      </c>
      <c r="C44" s="7" t="e">
        <f t="shared" si="5"/>
        <v>#REF!</v>
      </c>
      <c r="D44" s="7" t="e">
        <f t="shared" si="9"/>
        <v>#REF!</v>
      </c>
      <c r="E44" s="8" t="e">
        <f t="shared" si="6"/>
        <v>#REF!</v>
      </c>
      <c r="F44" s="7" t="e">
        <f t="shared" si="7"/>
        <v>#REF!</v>
      </c>
      <c r="G44" s="7" t="e">
        <f t="shared" si="8"/>
        <v>#REF!</v>
      </c>
      <c r="H44" s="9" t="s">
        <v>10</v>
      </c>
      <c r="I44" s="8" t="s">
        <v>20</v>
      </c>
      <c r="J44" s="22" t="s">
        <v>106</v>
      </c>
    </row>
    <row r="45" spans="1:10" s="1" customFormat="1" ht="16.5">
      <c r="A45" s="6" t="s">
        <v>107</v>
      </c>
      <c r="B45" s="7">
        <v>8</v>
      </c>
      <c r="C45" s="7" t="e">
        <f t="shared" si="5"/>
        <v>#REF!</v>
      </c>
      <c r="D45" s="7" t="e">
        <f t="shared" si="9"/>
        <v>#REF!</v>
      </c>
      <c r="E45" s="8" t="e">
        <f t="shared" si="6"/>
        <v>#REF!</v>
      </c>
      <c r="F45" s="7" t="e">
        <f t="shared" si="7"/>
        <v>#REF!</v>
      </c>
      <c r="G45" s="7" t="e">
        <f t="shared" si="8"/>
        <v>#REF!</v>
      </c>
      <c r="H45" s="9" t="s">
        <v>10</v>
      </c>
      <c r="I45" s="8" t="s">
        <v>108</v>
      </c>
      <c r="J45" s="22" t="s">
        <v>109</v>
      </c>
    </row>
    <row r="46" spans="1:10" s="2" customFormat="1" ht="16.5">
      <c r="A46" s="11" t="s">
        <v>14</v>
      </c>
      <c r="B46" s="12">
        <v>16</v>
      </c>
      <c r="C46" s="12" t="e">
        <f t="shared" si="5"/>
        <v>#REF!</v>
      </c>
      <c r="D46" s="12" t="e">
        <f t="shared" si="9"/>
        <v>#REF!</v>
      </c>
      <c r="E46" s="13" t="e">
        <f t="shared" si="6"/>
        <v>#REF!</v>
      </c>
      <c r="F46" s="12" t="e">
        <f t="shared" si="7"/>
        <v>#REF!</v>
      </c>
      <c r="G46" s="12" t="e">
        <f t="shared" si="8"/>
        <v>#REF!</v>
      </c>
      <c r="H46" s="14" t="s">
        <v>15</v>
      </c>
      <c r="I46" s="13" t="s">
        <v>22</v>
      </c>
      <c r="J46" s="25" t="s">
        <v>14</v>
      </c>
    </row>
    <row r="47" spans="1:10" s="1" customFormat="1" ht="16.5">
      <c r="A47" s="6" t="s">
        <v>111</v>
      </c>
      <c r="B47" s="7">
        <v>8</v>
      </c>
      <c r="C47" s="7" t="e">
        <f t="shared" si="5"/>
        <v>#REF!</v>
      </c>
      <c r="D47" s="7" t="e">
        <f t="shared" si="9"/>
        <v>#REF!</v>
      </c>
      <c r="E47" s="8" t="e">
        <f t="shared" si="6"/>
        <v>#REF!</v>
      </c>
      <c r="F47" s="7" t="e">
        <f t="shared" si="7"/>
        <v>#REF!</v>
      </c>
      <c r="G47" s="7" t="e">
        <f t="shared" si="8"/>
        <v>#REF!</v>
      </c>
      <c r="H47" s="9" t="s">
        <v>10</v>
      </c>
      <c r="I47" s="8" t="s">
        <v>184</v>
      </c>
      <c r="J47" s="22" t="s">
        <v>185</v>
      </c>
    </row>
    <row r="48" spans="1:10" s="1" customFormat="1" ht="16.5">
      <c r="A48" s="6" t="s">
        <v>112</v>
      </c>
      <c r="B48" s="7">
        <v>8</v>
      </c>
      <c r="C48" s="7" t="e">
        <f t="shared" si="5"/>
        <v>#REF!</v>
      </c>
      <c r="D48" s="7" t="e">
        <f t="shared" si="9"/>
        <v>#REF!</v>
      </c>
      <c r="E48" s="8" t="e">
        <f t="shared" si="6"/>
        <v>#REF!</v>
      </c>
      <c r="F48" s="7" t="e">
        <f t="shared" si="7"/>
        <v>#REF!</v>
      </c>
      <c r="G48" s="7" t="e">
        <f t="shared" si="8"/>
        <v>#REF!</v>
      </c>
      <c r="H48" s="9" t="s">
        <v>10</v>
      </c>
      <c r="I48" s="8" t="s">
        <v>184</v>
      </c>
      <c r="J48" s="22" t="s">
        <v>186</v>
      </c>
    </row>
    <row r="49" spans="1:10" s="1" customFormat="1" ht="16.5">
      <c r="A49" s="6" t="s">
        <v>113</v>
      </c>
      <c r="B49" s="7">
        <v>8</v>
      </c>
      <c r="C49" s="7" t="e">
        <f t="shared" si="5"/>
        <v>#REF!</v>
      </c>
      <c r="D49" s="7" t="e">
        <f t="shared" si="9"/>
        <v>#REF!</v>
      </c>
      <c r="E49" s="8" t="e">
        <f t="shared" si="6"/>
        <v>#REF!</v>
      </c>
      <c r="F49" s="7" t="e">
        <f t="shared" si="7"/>
        <v>#REF!</v>
      </c>
      <c r="G49" s="7" t="e">
        <f t="shared" si="8"/>
        <v>#REF!</v>
      </c>
      <c r="H49" s="9" t="s">
        <v>10</v>
      </c>
      <c r="I49" s="8" t="s">
        <v>148</v>
      </c>
      <c r="J49" s="22" t="s">
        <v>187</v>
      </c>
    </row>
    <row r="50" spans="1:10" s="1" customFormat="1" ht="16.5">
      <c r="A50" s="6" t="s">
        <v>114</v>
      </c>
      <c r="B50" s="7">
        <v>8</v>
      </c>
      <c r="C50" s="7" t="e">
        <f t="shared" si="5"/>
        <v>#REF!</v>
      </c>
      <c r="D50" s="7" t="e">
        <f t="shared" si="9"/>
        <v>#REF!</v>
      </c>
      <c r="E50" s="8" t="e">
        <f t="shared" si="6"/>
        <v>#REF!</v>
      </c>
      <c r="F50" s="7" t="e">
        <f t="shared" si="7"/>
        <v>#REF!</v>
      </c>
      <c r="G50" s="7" t="e">
        <f t="shared" si="8"/>
        <v>#REF!</v>
      </c>
      <c r="H50" s="9" t="s">
        <v>10</v>
      </c>
      <c r="I50" s="8" t="s">
        <v>148</v>
      </c>
      <c r="J50" s="22" t="s">
        <v>115</v>
      </c>
    </row>
    <row r="51" spans="1:10" s="1" customFormat="1" ht="16.5">
      <c r="A51" s="6" t="s">
        <v>188</v>
      </c>
      <c r="B51" s="7">
        <v>32</v>
      </c>
      <c r="C51" s="7" t="e">
        <f t="shared" si="5"/>
        <v>#REF!</v>
      </c>
      <c r="D51" s="7" t="e">
        <f t="shared" si="9"/>
        <v>#REF!</v>
      </c>
      <c r="E51" s="8" t="e">
        <f t="shared" si="6"/>
        <v>#REF!</v>
      </c>
      <c r="F51" s="7" t="e">
        <f t="shared" si="7"/>
        <v>#REF!</v>
      </c>
      <c r="G51" s="7" t="e">
        <f t="shared" si="8"/>
        <v>#REF!</v>
      </c>
      <c r="H51" s="9" t="s">
        <v>10</v>
      </c>
      <c r="I51" s="8" t="s">
        <v>24</v>
      </c>
      <c r="J51" s="22" t="s">
        <v>189</v>
      </c>
    </row>
    <row r="52" spans="1:10" s="1" customFormat="1" ht="16.5">
      <c r="A52" s="6" t="s">
        <v>117</v>
      </c>
      <c r="B52" s="7">
        <v>32</v>
      </c>
      <c r="C52" s="7" t="e">
        <f t="shared" si="5"/>
        <v>#REF!</v>
      </c>
      <c r="D52" s="7" t="e">
        <f t="shared" si="9"/>
        <v>#REF!</v>
      </c>
      <c r="E52" s="8" t="e">
        <f t="shared" si="6"/>
        <v>#REF!</v>
      </c>
      <c r="F52" s="7" t="e">
        <f t="shared" si="7"/>
        <v>#REF!</v>
      </c>
      <c r="G52" s="7" t="e">
        <f t="shared" si="8"/>
        <v>#REF!</v>
      </c>
      <c r="H52" s="9" t="s">
        <v>10</v>
      </c>
      <c r="I52" s="8" t="s">
        <v>24</v>
      </c>
      <c r="J52" s="22" t="s">
        <v>190</v>
      </c>
    </row>
    <row r="53" spans="1:10" s="1" customFormat="1" ht="33">
      <c r="A53" s="6" t="s">
        <v>118</v>
      </c>
      <c r="B53" s="7">
        <v>1</v>
      </c>
      <c r="C53" s="7" t="e">
        <f t="shared" si="5"/>
        <v>#REF!</v>
      </c>
      <c r="D53" s="7" t="e">
        <f t="shared" si="9"/>
        <v>#REF!</v>
      </c>
      <c r="E53" s="8" t="e">
        <f t="shared" si="6"/>
        <v>#REF!</v>
      </c>
      <c r="F53" s="7" t="e">
        <f t="shared" si="7"/>
        <v>#REF!</v>
      </c>
      <c r="G53" s="7" t="e">
        <f t="shared" si="8"/>
        <v>#REF!</v>
      </c>
      <c r="H53" s="9" t="s">
        <v>10</v>
      </c>
      <c r="I53" s="8" t="s">
        <v>40</v>
      </c>
      <c r="J53" s="22" t="s">
        <v>119</v>
      </c>
    </row>
    <row r="54" spans="1:10" s="1" customFormat="1" ht="33">
      <c r="A54" s="15" t="s">
        <v>120</v>
      </c>
      <c r="B54" s="16">
        <v>1</v>
      </c>
      <c r="C54" s="16" t="e">
        <f t="shared" si="5"/>
        <v>#REF!</v>
      </c>
      <c r="D54" s="16" t="e">
        <f t="shared" si="9"/>
        <v>#REF!</v>
      </c>
      <c r="E54" s="17" t="e">
        <f t="shared" si="6"/>
        <v>#REF!</v>
      </c>
      <c r="F54" s="16" t="e">
        <f t="shared" si="7"/>
        <v>#REF!</v>
      </c>
      <c r="G54" s="16" t="e">
        <f t="shared" si="8"/>
        <v>#REF!</v>
      </c>
      <c r="H54" s="18" t="s">
        <v>10</v>
      </c>
      <c r="I54" s="17" t="s">
        <v>40</v>
      </c>
      <c r="J54" s="26" t="s">
        <v>121</v>
      </c>
    </row>
  </sheetData>
  <phoneticPr fontId="24" type="noConversion"/>
  <pageMargins left="0.7" right="0.7" top="0.75" bottom="0.75" header="0.3" footer="0.3"/>
  <pageSetup paperSize="9" orientation="portrait" horizontalDpi="2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125" workbookViewId="0">
      <selection activeCell="E36" sqref="E36"/>
    </sheetView>
  </sheetViews>
  <sheetFormatPr defaultColWidth="10.875" defaultRowHeight="13.5"/>
  <cols>
    <col min="1" max="5" width="30.875" customWidth="1"/>
  </cols>
  <sheetData>
    <row r="1" spans="1:5">
      <c r="A1" s="127" t="s">
        <v>327</v>
      </c>
      <c r="B1" s="127" t="s">
        <v>327</v>
      </c>
      <c r="C1" s="127" t="s">
        <v>327</v>
      </c>
      <c r="D1" s="127" t="s">
        <v>327</v>
      </c>
      <c r="E1" s="127" t="s">
        <v>384</v>
      </c>
    </row>
    <row r="2" spans="1:5">
      <c r="A2" s="127" t="s">
        <v>327</v>
      </c>
      <c r="B2" s="127" t="s">
        <v>327</v>
      </c>
      <c r="C2" s="127" t="s">
        <v>327</v>
      </c>
      <c r="D2" s="127" t="s">
        <v>327</v>
      </c>
      <c r="E2" s="127" t="s">
        <v>385</v>
      </c>
    </row>
    <row r="3" spans="1:5">
      <c r="A3" s="127" t="s">
        <v>400</v>
      </c>
      <c r="B3" s="127" t="s">
        <v>401</v>
      </c>
      <c r="C3" s="127" t="s">
        <v>402</v>
      </c>
      <c r="D3" s="127" t="s">
        <v>403</v>
      </c>
      <c r="E3" s="127" t="s">
        <v>386</v>
      </c>
    </row>
    <row r="4" spans="1:5">
      <c r="A4" s="127" t="s">
        <v>404</v>
      </c>
      <c r="B4" s="127" t="s">
        <v>405</v>
      </c>
      <c r="C4" t="s">
        <v>70</v>
      </c>
      <c r="D4" t="s">
        <v>70</v>
      </c>
      <c r="E4" s="127" t="s">
        <v>387</v>
      </c>
    </row>
    <row r="5" spans="1:5">
      <c r="A5" s="127"/>
      <c r="E5" s="127" t="s">
        <v>388</v>
      </c>
    </row>
    <row r="6" spans="1:5">
      <c r="E6" s="127" t="s">
        <v>389</v>
      </c>
    </row>
    <row r="7" spans="1:5">
      <c r="E7" s="127" t="s">
        <v>390</v>
      </c>
    </row>
    <row r="8" spans="1:5">
      <c r="E8" s="127" t="s">
        <v>391</v>
      </c>
    </row>
    <row r="9" spans="1:5">
      <c r="E9" s="127" t="s">
        <v>392</v>
      </c>
    </row>
    <row r="10" spans="1:5">
      <c r="E10" s="127" t="s">
        <v>393</v>
      </c>
    </row>
    <row r="11" spans="1:5">
      <c r="E11" s="127" t="s">
        <v>394</v>
      </c>
    </row>
    <row r="12" spans="1:5">
      <c r="E12" s="127" t="s">
        <v>395</v>
      </c>
    </row>
    <row r="13" spans="1:5">
      <c r="E13" s="127" t="s">
        <v>396</v>
      </c>
    </row>
    <row r="14" spans="1:5">
      <c r="E14" s="127" t="s">
        <v>397</v>
      </c>
    </row>
    <row r="15" spans="1:5">
      <c r="E15" s="127" t="s">
        <v>398</v>
      </c>
    </row>
    <row r="16" spans="1:5">
      <c r="E16" s="127" t="s">
        <v>399</v>
      </c>
    </row>
  </sheetData>
  <phoneticPr fontId="2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G16" sqref="G16"/>
    </sheetView>
  </sheetViews>
  <sheetFormatPr defaultRowHeight="13.5"/>
  <sheetData>
    <row r="1" spans="1:7">
      <c r="A1" s="242" t="s">
        <v>2358</v>
      </c>
      <c r="B1" s="241"/>
      <c r="C1" s="241"/>
      <c r="D1" s="241"/>
      <c r="E1" s="241"/>
      <c r="F1" s="241"/>
      <c r="G1" s="241"/>
    </row>
    <row r="2" spans="1:7">
      <c r="A2" s="243" t="s">
        <v>2359</v>
      </c>
      <c r="B2" s="244"/>
      <c r="C2" s="244"/>
      <c r="D2" s="244"/>
      <c r="E2" s="244"/>
      <c r="F2" s="245" t="s">
        <v>2360</v>
      </c>
      <c r="G2" s="246"/>
    </row>
    <row r="3" spans="1:7">
      <c r="A3" s="241"/>
      <c r="B3" s="241"/>
      <c r="C3" s="241"/>
      <c r="D3" s="241"/>
      <c r="E3" s="241"/>
      <c r="F3" s="241"/>
      <c r="G3" s="241"/>
    </row>
    <row r="4" spans="1:7">
      <c r="A4" s="241"/>
      <c r="B4" s="241"/>
      <c r="C4" s="241"/>
      <c r="D4" s="241"/>
      <c r="E4" s="241"/>
      <c r="F4" s="241"/>
      <c r="G4" s="241"/>
    </row>
    <row r="5" spans="1:7">
      <c r="A5" s="241"/>
      <c r="B5" s="241"/>
      <c r="C5" s="241"/>
      <c r="D5" s="241"/>
      <c r="E5" s="241"/>
      <c r="F5" s="241"/>
      <c r="G5" s="241"/>
    </row>
    <row r="6" spans="1:7">
      <c r="A6" s="241"/>
      <c r="B6" s="241"/>
      <c r="C6" s="241"/>
      <c r="D6" s="241"/>
      <c r="E6" s="241"/>
      <c r="F6" s="241"/>
      <c r="G6" s="241"/>
    </row>
    <row r="7" spans="1:7">
      <c r="A7" s="241"/>
      <c r="B7" s="241"/>
      <c r="C7" s="241"/>
      <c r="D7" s="241"/>
      <c r="E7" s="241"/>
      <c r="F7" s="241"/>
      <c r="G7" s="241"/>
    </row>
    <row r="8" spans="1:7">
      <c r="A8" s="241"/>
      <c r="B8" s="241"/>
      <c r="C8" s="241"/>
      <c r="D8" s="241"/>
      <c r="E8" s="241"/>
      <c r="F8" s="241"/>
      <c r="G8" s="241"/>
    </row>
    <row r="9" spans="1:7">
      <c r="A9" s="241"/>
      <c r="B9" s="241"/>
      <c r="C9" s="241"/>
      <c r="D9" s="241"/>
      <c r="E9" s="241"/>
      <c r="F9" s="241"/>
      <c r="G9" s="241"/>
    </row>
    <row r="10" spans="1:7">
      <c r="A10" s="241"/>
      <c r="B10" s="241"/>
      <c r="C10" s="241"/>
      <c r="D10" s="241"/>
      <c r="E10" s="241"/>
      <c r="F10" s="241"/>
      <c r="G10" s="241"/>
    </row>
  </sheetData>
  <mergeCells count="19">
    <mergeCell ref="A7:E7"/>
    <mergeCell ref="F7:G7"/>
    <mergeCell ref="A2:E2"/>
    <mergeCell ref="F2:G2"/>
    <mergeCell ref="A3:E3"/>
    <mergeCell ref="A4:E4"/>
    <mergeCell ref="F3:G3"/>
    <mergeCell ref="F4:G4"/>
    <mergeCell ref="A1:G1"/>
    <mergeCell ref="A5:E5"/>
    <mergeCell ref="F5:G5"/>
    <mergeCell ref="A6:E6"/>
    <mergeCell ref="F6:G6"/>
    <mergeCell ref="A8:E8"/>
    <mergeCell ref="F8:G8"/>
    <mergeCell ref="A9:E9"/>
    <mergeCell ref="F9:G9"/>
    <mergeCell ref="A10:E10"/>
    <mergeCell ref="F10:G10"/>
  </mergeCells>
  <phoneticPr fontId="24"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zoomScale="125" zoomScaleNormal="70" workbookViewId="0">
      <selection activeCell="J14" sqref="J14"/>
    </sheetView>
  </sheetViews>
  <sheetFormatPr defaultColWidth="11" defaultRowHeight="13.5"/>
  <cols>
    <col min="2" max="2" width="14.625" customWidth="1"/>
    <col min="3" max="3" width="43.625" customWidth="1"/>
    <col min="14" max="14" width="43" customWidth="1"/>
    <col min="15" max="15" width="180" customWidth="1"/>
  </cols>
  <sheetData>
    <row r="1" spans="1:15">
      <c r="A1" s="32"/>
      <c r="B1" s="32"/>
      <c r="C1" s="32"/>
      <c r="D1" s="32"/>
      <c r="E1" s="32"/>
      <c r="F1" s="32"/>
      <c r="G1" s="32"/>
      <c r="H1" s="32"/>
      <c r="I1" s="32"/>
      <c r="J1" s="32"/>
      <c r="K1" s="32"/>
      <c r="L1" s="32"/>
      <c r="M1" s="32"/>
      <c r="N1" s="32"/>
    </row>
    <row r="2" spans="1:15" ht="14.25">
      <c r="A2" s="32"/>
      <c r="B2" s="33"/>
      <c r="C2" s="34"/>
      <c r="D2" s="253"/>
      <c r="E2" s="253"/>
      <c r="F2" s="254"/>
      <c r="G2" s="255"/>
      <c r="H2" s="255"/>
      <c r="I2" s="256"/>
      <c r="J2" s="257" t="s">
        <v>207</v>
      </c>
      <c r="K2" s="258"/>
      <c r="L2" s="258"/>
      <c r="M2" s="259"/>
      <c r="N2" s="53" t="s">
        <v>149</v>
      </c>
      <c r="O2" s="54" t="s">
        <v>150</v>
      </c>
    </row>
    <row r="3" spans="1:15" ht="14.25">
      <c r="A3" s="32"/>
      <c r="B3" s="35" t="s">
        <v>151</v>
      </c>
      <c r="C3" s="36" t="s">
        <v>152</v>
      </c>
      <c r="D3" s="38" t="s">
        <v>275</v>
      </c>
      <c r="E3" s="38" t="s">
        <v>270</v>
      </c>
      <c r="F3" s="39" t="s">
        <v>269</v>
      </c>
      <c r="G3" s="45" t="s">
        <v>275</v>
      </c>
      <c r="H3" s="45" t="s">
        <v>270</v>
      </c>
      <c r="I3" s="46" t="s">
        <v>269</v>
      </c>
      <c r="J3" s="47" t="s">
        <v>153</v>
      </c>
      <c r="K3" s="48" t="s">
        <v>154</v>
      </c>
      <c r="L3" s="48" t="s">
        <v>270</v>
      </c>
      <c r="M3" s="55" t="s">
        <v>269</v>
      </c>
      <c r="N3" s="53"/>
      <c r="O3" s="54"/>
    </row>
    <row r="4" spans="1:15" ht="14.25">
      <c r="A4" s="32"/>
      <c r="B4" s="247" t="s">
        <v>155</v>
      </c>
      <c r="C4" s="36" t="s">
        <v>156</v>
      </c>
      <c r="D4" s="38" t="s">
        <v>157</v>
      </c>
      <c r="E4" s="38" t="s">
        <v>157</v>
      </c>
      <c r="F4" s="39" t="s">
        <v>157</v>
      </c>
      <c r="G4" s="45" t="s">
        <v>157</v>
      </c>
      <c r="H4" s="45" t="s">
        <v>157</v>
      </c>
      <c r="I4" s="46" t="s">
        <v>157</v>
      </c>
      <c r="J4" s="47"/>
      <c r="K4" s="48"/>
      <c r="L4" s="48"/>
      <c r="M4" s="55"/>
      <c r="N4" s="53"/>
      <c r="O4" s="54"/>
    </row>
    <row r="5" spans="1:15" ht="14.25">
      <c r="A5" s="32"/>
      <c r="B5" s="248"/>
      <c r="C5" s="105" t="s">
        <v>233</v>
      </c>
      <c r="D5" s="38" t="s">
        <v>157</v>
      </c>
      <c r="E5" s="38" t="s">
        <v>157</v>
      </c>
      <c r="F5" s="39" t="s">
        <v>157</v>
      </c>
      <c r="G5" s="45" t="s">
        <v>157</v>
      </c>
      <c r="H5" s="45" t="s">
        <v>157</v>
      </c>
      <c r="I5" s="46" t="s">
        <v>157</v>
      </c>
      <c r="J5" s="47"/>
      <c r="K5" s="48"/>
      <c r="L5" s="48"/>
      <c r="M5" s="55"/>
      <c r="N5" s="53"/>
      <c r="O5" s="54"/>
    </row>
    <row r="6" spans="1:15" ht="14.25">
      <c r="A6" s="32"/>
      <c r="B6" s="248"/>
      <c r="C6" s="36" t="s">
        <v>283</v>
      </c>
      <c r="D6" s="38" t="s">
        <v>158</v>
      </c>
      <c r="E6" s="38" t="s">
        <v>157</v>
      </c>
      <c r="F6" s="40" t="s">
        <v>158</v>
      </c>
      <c r="G6" s="45" t="s">
        <v>157</v>
      </c>
      <c r="H6" s="45" t="s">
        <v>157</v>
      </c>
      <c r="I6" s="46" t="s">
        <v>157</v>
      </c>
      <c r="J6" s="47"/>
      <c r="K6" s="48"/>
      <c r="L6" s="48"/>
      <c r="M6" s="55"/>
      <c r="N6" s="53"/>
      <c r="O6" s="54"/>
    </row>
    <row r="7" spans="1:15" ht="14.25">
      <c r="A7" s="32"/>
      <c r="B7" s="248"/>
      <c r="C7" s="36" t="s">
        <v>160</v>
      </c>
      <c r="D7" s="38" t="s">
        <v>157</v>
      </c>
      <c r="E7" s="38" t="s">
        <v>157</v>
      </c>
      <c r="F7" s="39" t="s">
        <v>157</v>
      </c>
      <c r="G7" s="45" t="s">
        <v>158</v>
      </c>
      <c r="H7" s="45" t="s">
        <v>157</v>
      </c>
      <c r="I7" s="46" t="s">
        <v>158</v>
      </c>
      <c r="J7" s="47"/>
      <c r="K7" s="48"/>
      <c r="L7" s="48"/>
      <c r="M7" s="55"/>
      <c r="N7" s="53"/>
      <c r="O7" s="54"/>
    </row>
    <row r="8" spans="1:15" ht="14.25">
      <c r="A8" s="32"/>
      <c r="B8" s="248"/>
      <c r="C8" s="36" t="s">
        <v>161</v>
      </c>
      <c r="D8" s="38" t="s">
        <v>157</v>
      </c>
      <c r="E8" s="38" t="s">
        <v>157</v>
      </c>
      <c r="F8" s="39" t="s">
        <v>157</v>
      </c>
      <c r="G8" s="45" t="s">
        <v>158</v>
      </c>
      <c r="H8" s="45" t="s">
        <v>157</v>
      </c>
      <c r="I8" s="46" t="s">
        <v>158</v>
      </c>
      <c r="J8" s="47"/>
      <c r="K8" s="48"/>
      <c r="L8" s="48"/>
      <c r="M8" s="55"/>
      <c r="N8" s="53"/>
      <c r="O8" s="54"/>
    </row>
    <row r="9" spans="1:15" ht="14.25">
      <c r="A9" s="32"/>
      <c r="B9" s="248"/>
      <c r="C9" s="111" t="s">
        <v>272</v>
      </c>
      <c r="D9" s="38" t="s">
        <v>157</v>
      </c>
      <c r="E9" s="38" t="s">
        <v>157</v>
      </c>
      <c r="F9" s="39" t="s">
        <v>157</v>
      </c>
      <c r="G9" s="45" t="s">
        <v>158</v>
      </c>
      <c r="H9" s="45" t="s">
        <v>157</v>
      </c>
      <c r="I9" s="46" t="s">
        <v>158</v>
      </c>
      <c r="J9" s="47"/>
      <c r="K9" s="48"/>
      <c r="L9" s="48"/>
      <c r="M9" s="55"/>
      <c r="N9" s="53"/>
      <c r="O9" s="54"/>
    </row>
    <row r="10" spans="1:15" ht="14.25">
      <c r="A10" s="32"/>
      <c r="B10" s="248"/>
      <c r="C10" s="111" t="s">
        <v>273</v>
      </c>
      <c r="D10" s="38" t="s">
        <v>157</v>
      </c>
      <c r="E10" s="38" t="s">
        <v>157</v>
      </c>
      <c r="F10" s="39" t="s">
        <v>157</v>
      </c>
      <c r="G10" s="45" t="s">
        <v>158</v>
      </c>
      <c r="H10" s="45" t="s">
        <v>157</v>
      </c>
      <c r="I10" s="46" t="s">
        <v>158</v>
      </c>
      <c r="J10" s="47"/>
      <c r="K10" s="48"/>
      <c r="L10" s="48"/>
      <c r="M10" s="55"/>
      <c r="N10" s="53"/>
      <c r="O10" s="54"/>
    </row>
    <row r="11" spans="1:15" ht="14.25">
      <c r="A11" s="32"/>
      <c r="B11" s="248"/>
      <c r="C11" s="36" t="s">
        <v>271</v>
      </c>
      <c r="D11" s="38"/>
      <c r="E11" s="38"/>
      <c r="F11" s="39"/>
      <c r="G11" s="45" t="s">
        <v>157</v>
      </c>
      <c r="H11" s="45" t="s">
        <v>157</v>
      </c>
      <c r="I11" s="46" t="s">
        <v>157</v>
      </c>
      <c r="J11" s="47"/>
      <c r="K11" s="48"/>
      <c r="L11" s="48"/>
      <c r="M11" s="55"/>
      <c r="N11" s="53"/>
      <c r="O11" s="54"/>
    </row>
    <row r="12" spans="1:15" ht="14.25">
      <c r="A12" s="32"/>
      <c r="B12" s="249"/>
      <c r="C12" s="36" t="s">
        <v>164</v>
      </c>
      <c r="D12" s="38"/>
      <c r="E12" s="38"/>
      <c r="F12" s="39"/>
      <c r="G12" s="45" t="s">
        <v>158</v>
      </c>
      <c r="H12" s="45" t="s">
        <v>157</v>
      </c>
      <c r="I12" s="46" t="s">
        <v>158</v>
      </c>
      <c r="J12" s="47"/>
      <c r="K12" s="48"/>
      <c r="L12" s="48"/>
      <c r="M12" s="55"/>
      <c r="N12" s="53"/>
      <c r="O12" s="54"/>
    </row>
    <row r="13" spans="1:15" ht="15" customHeight="1">
      <c r="A13" s="32"/>
      <c r="B13" s="247" t="s">
        <v>165</v>
      </c>
      <c r="C13" s="111" t="s">
        <v>281</v>
      </c>
      <c r="D13" s="38" t="s">
        <v>157</v>
      </c>
      <c r="E13" s="38" t="s">
        <v>157</v>
      </c>
      <c r="F13" s="39" t="s">
        <v>157</v>
      </c>
      <c r="G13" s="45" t="s">
        <v>157</v>
      </c>
      <c r="H13" s="45" t="s">
        <v>157</v>
      </c>
      <c r="I13" s="46" t="s">
        <v>157</v>
      </c>
      <c r="J13" s="47"/>
      <c r="K13" s="48"/>
      <c r="L13" s="48"/>
      <c r="M13" s="55"/>
      <c r="N13" s="260" t="s">
        <v>279</v>
      </c>
      <c r="O13" s="54"/>
    </row>
    <row r="14" spans="1:15" ht="14.25">
      <c r="A14" s="32"/>
      <c r="B14" s="249"/>
      <c r="C14" s="111" t="s">
        <v>282</v>
      </c>
      <c r="D14" s="38" t="s">
        <v>157</v>
      </c>
      <c r="E14" s="38" t="s">
        <v>157</v>
      </c>
      <c r="F14" s="39" t="s">
        <v>157</v>
      </c>
      <c r="G14" s="45" t="s">
        <v>157</v>
      </c>
      <c r="H14" s="45" t="s">
        <v>157</v>
      </c>
      <c r="I14" s="46" t="s">
        <v>157</v>
      </c>
      <c r="J14" s="47"/>
      <c r="K14" s="48"/>
      <c r="L14" s="48"/>
      <c r="M14" s="55"/>
      <c r="N14" s="261"/>
      <c r="O14" s="54"/>
    </row>
    <row r="15" spans="1:15" ht="14.25">
      <c r="A15" s="32"/>
      <c r="B15" s="35" t="s">
        <v>166</v>
      </c>
      <c r="C15" s="36" t="s">
        <v>156</v>
      </c>
      <c r="D15" s="38" t="s">
        <v>157</v>
      </c>
      <c r="E15" s="38" t="s">
        <v>157</v>
      </c>
      <c r="F15" s="39" t="s">
        <v>157</v>
      </c>
      <c r="G15" s="45" t="s">
        <v>157</v>
      </c>
      <c r="H15" s="45" t="s">
        <v>157</v>
      </c>
      <c r="I15" s="46" t="s">
        <v>157</v>
      </c>
      <c r="J15" s="47" t="s">
        <v>157</v>
      </c>
      <c r="K15" s="48" t="s">
        <v>157</v>
      </c>
      <c r="L15" s="48" t="s">
        <v>157</v>
      </c>
      <c r="M15" s="55" t="s">
        <v>157</v>
      </c>
      <c r="N15" s="53"/>
      <c r="O15" s="54"/>
    </row>
    <row r="16" spans="1:15" ht="14.25">
      <c r="A16" s="32"/>
      <c r="B16" s="247" t="s">
        <v>276</v>
      </c>
      <c r="C16" s="36" t="s">
        <v>156</v>
      </c>
      <c r="D16" s="38" t="s">
        <v>157</v>
      </c>
      <c r="E16" s="38" t="s">
        <v>157</v>
      </c>
      <c r="F16" s="39" t="s">
        <v>157</v>
      </c>
      <c r="G16" s="45" t="s">
        <v>157</v>
      </c>
      <c r="H16" s="45" t="s">
        <v>157</v>
      </c>
      <c r="I16" s="46" t="s">
        <v>157</v>
      </c>
      <c r="J16" s="47"/>
      <c r="K16" s="48"/>
      <c r="L16" s="48"/>
      <c r="M16" s="55"/>
      <c r="N16" s="53"/>
      <c r="O16" s="250" t="s">
        <v>199</v>
      </c>
    </row>
    <row r="17" spans="1:15" ht="14.25">
      <c r="A17" s="32"/>
      <c r="B17" s="248"/>
      <c r="C17" s="36" t="s">
        <v>160</v>
      </c>
      <c r="D17" s="38" t="s">
        <v>157</v>
      </c>
      <c r="E17" s="38" t="s">
        <v>157</v>
      </c>
      <c r="F17" s="39" t="s">
        <v>157</v>
      </c>
      <c r="G17" s="107" t="s">
        <v>192</v>
      </c>
      <c r="H17" s="45" t="s">
        <v>157</v>
      </c>
      <c r="I17" s="108" t="s">
        <v>192</v>
      </c>
      <c r="J17" s="47"/>
      <c r="K17" s="48"/>
      <c r="L17" s="48"/>
      <c r="M17" s="55"/>
      <c r="N17" s="53"/>
      <c r="O17" s="251"/>
    </row>
    <row r="18" spans="1:15" ht="14.25">
      <c r="A18" s="32"/>
      <c r="B18" s="248"/>
      <c r="C18" s="36" t="s">
        <v>163</v>
      </c>
      <c r="D18" s="38"/>
      <c r="E18" s="38"/>
      <c r="F18" s="39"/>
      <c r="G18" s="45" t="s">
        <v>157</v>
      </c>
      <c r="H18" s="45" t="s">
        <v>157</v>
      </c>
      <c r="I18" s="46" t="s">
        <v>157</v>
      </c>
      <c r="J18" s="47"/>
      <c r="K18" s="48"/>
      <c r="L18" s="48"/>
      <c r="M18" s="55"/>
      <c r="N18" s="53"/>
      <c r="O18" s="252" t="s">
        <v>168</v>
      </c>
    </row>
    <row r="19" spans="1:15" ht="14.25">
      <c r="A19" s="32"/>
      <c r="B19" s="249"/>
      <c r="C19" s="36" t="s">
        <v>164</v>
      </c>
      <c r="D19" s="38"/>
      <c r="E19" s="38"/>
      <c r="F19" s="39"/>
      <c r="G19" s="45" t="s">
        <v>158</v>
      </c>
      <c r="H19" s="45" t="s">
        <v>157</v>
      </c>
      <c r="I19" s="46" t="s">
        <v>158</v>
      </c>
      <c r="J19" s="47"/>
      <c r="K19" s="48"/>
      <c r="L19" s="48"/>
      <c r="M19" s="55"/>
      <c r="N19" s="53"/>
      <c r="O19" s="252"/>
    </row>
    <row r="20" spans="1:15" ht="14.25">
      <c r="A20" s="32"/>
      <c r="B20" s="110" t="s">
        <v>274</v>
      </c>
      <c r="C20" s="111" t="s">
        <v>232</v>
      </c>
      <c r="D20" s="38" t="s">
        <v>157</v>
      </c>
      <c r="E20" s="38" t="s">
        <v>157</v>
      </c>
      <c r="F20" s="39" t="s">
        <v>157</v>
      </c>
      <c r="G20" s="45" t="s">
        <v>157</v>
      </c>
      <c r="H20" s="45" t="s">
        <v>157</v>
      </c>
      <c r="I20" s="46" t="s">
        <v>157</v>
      </c>
      <c r="J20" s="47"/>
      <c r="K20" s="48"/>
      <c r="L20" s="48"/>
      <c r="M20" s="55"/>
      <c r="N20" s="106"/>
      <c r="O20" s="54"/>
    </row>
    <row r="21" spans="1:15" ht="14.25">
      <c r="A21" s="32"/>
      <c r="B21" s="35" t="s">
        <v>171</v>
      </c>
      <c r="C21" s="105" t="s">
        <v>232</v>
      </c>
      <c r="D21" s="38" t="s">
        <v>157</v>
      </c>
      <c r="E21" s="38" t="s">
        <v>157</v>
      </c>
      <c r="F21" s="39" t="s">
        <v>157</v>
      </c>
      <c r="G21" s="45" t="s">
        <v>157</v>
      </c>
      <c r="H21" s="45" t="s">
        <v>157</v>
      </c>
      <c r="I21" s="46" t="s">
        <v>157</v>
      </c>
      <c r="J21" s="47"/>
      <c r="K21" s="48"/>
      <c r="L21" s="48"/>
      <c r="M21" s="55"/>
      <c r="N21" s="53"/>
      <c r="O21" s="54"/>
    </row>
    <row r="22" spans="1:15" ht="14.25">
      <c r="A22" s="32"/>
      <c r="B22" s="35" t="s">
        <v>277</v>
      </c>
      <c r="C22" s="36" t="s">
        <v>156</v>
      </c>
      <c r="D22" s="38" t="s">
        <v>157</v>
      </c>
      <c r="E22" s="38" t="s">
        <v>157</v>
      </c>
      <c r="F22" s="39" t="s">
        <v>157</v>
      </c>
      <c r="G22" s="45" t="s">
        <v>157</v>
      </c>
      <c r="H22" s="45" t="s">
        <v>157</v>
      </c>
      <c r="I22" s="46" t="s">
        <v>157</v>
      </c>
      <c r="J22" s="47" t="s">
        <v>157</v>
      </c>
      <c r="K22" s="48" t="s">
        <v>157</v>
      </c>
      <c r="L22" s="48" t="s">
        <v>157</v>
      </c>
      <c r="M22" s="55" t="s">
        <v>157</v>
      </c>
      <c r="N22" s="53" t="s">
        <v>280</v>
      </c>
      <c r="O22" s="54"/>
    </row>
    <row r="23" spans="1:15" ht="14.25">
      <c r="A23" s="32"/>
      <c r="B23" s="41" t="s">
        <v>278</v>
      </c>
      <c r="C23" s="42" t="s">
        <v>156</v>
      </c>
      <c r="D23" s="43" t="s">
        <v>157</v>
      </c>
      <c r="E23" s="43" t="s">
        <v>157</v>
      </c>
      <c r="F23" s="44" t="s">
        <v>157</v>
      </c>
      <c r="G23" s="49" t="s">
        <v>157</v>
      </c>
      <c r="H23" s="49" t="s">
        <v>157</v>
      </c>
      <c r="I23" s="50" t="s">
        <v>157</v>
      </c>
      <c r="J23" s="51" t="s">
        <v>157</v>
      </c>
      <c r="K23" s="52" t="s">
        <v>157</v>
      </c>
      <c r="L23" s="52" t="s">
        <v>157</v>
      </c>
      <c r="M23" s="56" t="s">
        <v>157</v>
      </c>
      <c r="N23" s="53" t="s">
        <v>280</v>
      </c>
      <c r="O23" s="54"/>
    </row>
  </sheetData>
  <mergeCells count="9">
    <mergeCell ref="B16:B19"/>
    <mergeCell ref="O16:O17"/>
    <mergeCell ref="O18:O19"/>
    <mergeCell ref="D2:F2"/>
    <mergeCell ref="G2:I2"/>
    <mergeCell ref="J2:M2"/>
    <mergeCell ref="B4:B12"/>
    <mergeCell ref="B13:B14"/>
    <mergeCell ref="N13:N14"/>
  </mergeCells>
  <phoneticPr fontId="2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zoomScale="161" workbookViewId="0">
      <selection activeCell="B30" sqref="B30"/>
    </sheetView>
  </sheetViews>
  <sheetFormatPr defaultColWidth="11" defaultRowHeight="13.5"/>
  <cols>
    <col min="2" max="2" width="17.125" customWidth="1"/>
    <col min="3" max="3" width="38.5" customWidth="1"/>
    <col min="5" max="5" width="21" customWidth="1"/>
    <col min="6" max="6" width="81.5" customWidth="1"/>
    <col min="7" max="7" width="61.125" customWidth="1"/>
    <col min="8" max="8" width="33.625" customWidth="1"/>
  </cols>
  <sheetData>
    <row r="1" spans="1:8" ht="14.25" thickBot="1">
      <c r="A1" t="s">
        <v>212</v>
      </c>
    </row>
    <row r="2" spans="1:8" ht="15" thickTop="1">
      <c r="B2" s="33"/>
      <c r="C2" s="34"/>
      <c r="D2" s="265" t="s">
        <v>202</v>
      </c>
      <c r="E2" s="266"/>
      <c r="F2" s="266"/>
      <c r="G2" s="266"/>
      <c r="H2" s="266"/>
    </row>
    <row r="3" spans="1:8" ht="14.25">
      <c r="B3" s="94" t="s">
        <v>151</v>
      </c>
      <c r="C3" s="36" t="s">
        <v>152</v>
      </c>
      <c r="D3" s="80" t="s">
        <v>196</v>
      </c>
      <c r="E3" s="84" t="s">
        <v>198</v>
      </c>
      <c r="F3" s="262" t="s">
        <v>201</v>
      </c>
      <c r="G3" s="263"/>
      <c r="H3" s="264"/>
    </row>
    <row r="4" spans="1:8" ht="14.25">
      <c r="B4" s="268" t="s">
        <v>155</v>
      </c>
      <c r="C4" s="81" t="s">
        <v>200</v>
      </c>
      <c r="D4" s="37">
        <v>64</v>
      </c>
      <c r="E4" s="87">
        <v>28.44</v>
      </c>
      <c r="F4" s="92" t="s">
        <v>214</v>
      </c>
      <c r="G4" s="92" t="s">
        <v>218</v>
      </c>
      <c r="H4" s="92" t="s">
        <v>219</v>
      </c>
    </row>
    <row r="5" spans="1:8" ht="14.25">
      <c r="B5" s="269"/>
      <c r="C5" s="36" t="s">
        <v>159</v>
      </c>
      <c r="D5" s="37">
        <v>64</v>
      </c>
      <c r="E5" s="87">
        <v>28.44</v>
      </c>
      <c r="F5" s="92" t="s">
        <v>214</v>
      </c>
      <c r="G5" s="92" t="s">
        <v>218</v>
      </c>
      <c r="H5" s="92" t="s">
        <v>219</v>
      </c>
    </row>
    <row r="6" spans="1:8" ht="14.25">
      <c r="B6" s="269"/>
      <c r="C6" s="36" t="s">
        <v>283</v>
      </c>
      <c r="D6" s="37">
        <v>64</v>
      </c>
      <c r="E6" s="88" t="s">
        <v>213</v>
      </c>
      <c r="F6" s="93" t="s">
        <v>225</v>
      </c>
      <c r="G6" s="92" t="s">
        <v>217</v>
      </c>
      <c r="H6" s="92" t="s">
        <v>220</v>
      </c>
    </row>
    <row r="7" spans="1:8" ht="14.25">
      <c r="B7" s="269"/>
      <c r="C7" s="36" t="s">
        <v>160</v>
      </c>
      <c r="D7" s="37">
        <v>64</v>
      </c>
      <c r="E7" s="87">
        <v>28.44</v>
      </c>
      <c r="F7" s="92" t="s">
        <v>214</v>
      </c>
      <c r="G7" s="92" t="s">
        <v>217</v>
      </c>
      <c r="H7" s="92" t="s">
        <v>219</v>
      </c>
    </row>
    <row r="8" spans="1:8" ht="14.25">
      <c r="B8" s="269"/>
      <c r="C8" s="36" t="s">
        <v>161</v>
      </c>
      <c r="D8" s="83">
        <v>64</v>
      </c>
      <c r="E8" s="88" t="s">
        <v>213</v>
      </c>
      <c r="F8" s="93" t="s">
        <v>225</v>
      </c>
      <c r="G8" s="47"/>
      <c r="H8" s="92" t="s">
        <v>221</v>
      </c>
    </row>
    <row r="9" spans="1:8" ht="14.25">
      <c r="B9" s="269"/>
      <c r="C9" s="36" t="s">
        <v>162</v>
      </c>
      <c r="D9" s="38">
        <v>64</v>
      </c>
      <c r="E9" s="87">
        <v>28.44</v>
      </c>
      <c r="F9" s="92" t="s">
        <v>214</v>
      </c>
      <c r="G9" s="92" t="s">
        <v>218</v>
      </c>
      <c r="H9" s="92" t="s">
        <v>219</v>
      </c>
    </row>
    <row r="10" spans="1:8" ht="14.25">
      <c r="B10" s="269"/>
      <c r="C10" s="36" t="s">
        <v>163</v>
      </c>
      <c r="D10" s="38">
        <v>64</v>
      </c>
      <c r="E10" s="89">
        <v>32</v>
      </c>
      <c r="F10" s="47"/>
      <c r="G10" s="92" t="s">
        <v>218</v>
      </c>
      <c r="H10" s="92" t="s">
        <v>220</v>
      </c>
    </row>
    <row r="11" spans="1:8" ht="14.25">
      <c r="B11" s="270"/>
      <c r="C11" s="36" t="s">
        <v>164</v>
      </c>
      <c r="D11" s="38">
        <v>64</v>
      </c>
      <c r="E11" s="89">
        <v>32</v>
      </c>
      <c r="F11" s="47"/>
      <c r="G11" s="92" t="s">
        <v>217</v>
      </c>
      <c r="H11" s="92" t="s">
        <v>220</v>
      </c>
    </row>
    <row r="12" spans="1:8" ht="14.25">
      <c r="B12" s="271" t="s">
        <v>165</v>
      </c>
      <c r="C12" s="79" t="s">
        <v>194</v>
      </c>
      <c r="D12" s="38">
        <v>64</v>
      </c>
      <c r="E12" s="87">
        <v>28.44</v>
      </c>
      <c r="F12" s="92" t="s">
        <v>214</v>
      </c>
      <c r="G12" s="92" t="s">
        <v>217</v>
      </c>
      <c r="H12" s="92" t="s">
        <v>222</v>
      </c>
    </row>
    <row r="13" spans="1:8" ht="14.25">
      <c r="B13" s="271"/>
      <c r="C13" s="79" t="s">
        <v>195</v>
      </c>
      <c r="D13" s="38">
        <v>64</v>
      </c>
      <c r="E13" s="87">
        <v>28.44</v>
      </c>
      <c r="F13" s="92" t="s">
        <v>214</v>
      </c>
      <c r="G13" s="92" t="s">
        <v>217</v>
      </c>
      <c r="H13" s="92" t="s">
        <v>222</v>
      </c>
    </row>
    <row r="14" spans="1:8" ht="14.25">
      <c r="B14" s="271"/>
      <c r="C14" s="79" t="s">
        <v>193</v>
      </c>
      <c r="D14" s="83">
        <v>64</v>
      </c>
      <c r="E14" s="88" t="s">
        <v>213</v>
      </c>
      <c r="F14" s="93" t="s">
        <v>225</v>
      </c>
      <c r="G14" s="47"/>
      <c r="H14" s="92" t="s">
        <v>223</v>
      </c>
    </row>
    <row r="15" spans="1:8" ht="14.25">
      <c r="B15" s="271"/>
      <c r="C15" s="86" t="s">
        <v>204</v>
      </c>
      <c r="D15" s="82">
        <v>64</v>
      </c>
      <c r="E15" s="90">
        <v>32</v>
      </c>
      <c r="F15" s="47"/>
      <c r="G15" s="92" t="s">
        <v>218</v>
      </c>
      <c r="H15" s="92" t="s">
        <v>219</v>
      </c>
    </row>
    <row r="16" spans="1:8" ht="14.25">
      <c r="B16" s="95" t="s">
        <v>166</v>
      </c>
      <c r="C16" s="36" t="s">
        <v>156</v>
      </c>
      <c r="D16" s="83">
        <v>32</v>
      </c>
      <c r="E16" s="90">
        <v>32</v>
      </c>
      <c r="F16" s="47"/>
      <c r="G16" s="47"/>
      <c r="H16" s="47"/>
    </row>
    <row r="17" spans="2:8" ht="14.25">
      <c r="B17" s="271" t="s">
        <v>167</v>
      </c>
      <c r="C17" s="36" t="s">
        <v>156</v>
      </c>
      <c r="D17" s="37">
        <v>64</v>
      </c>
      <c r="E17" s="87">
        <v>56.88</v>
      </c>
      <c r="F17" s="92" t="s">
        <v>214</v>
      </c>
      <c r="G17" s="85"/>
      <c r="H17" s="85"/>
    </row>
    <row r="18" spans="2:8" ht="14.25">
      <c r="B18" s="271"/>
      <c r="C18" s="36" t="s">
        <v>160</v>
      </c>
      <c r="D18" s="37">
        <v>64</v>
      </c>
      <c r="E18" s="87">
        <v>56.88</v>
      </c>
      <c r="F18" s="92" t="s">
        <v>214</v>
      </c>
      <c r="G18" s="47"/>
      <c r="H18" s="47"/>
    </row>
    <row r="19" spans="2:8" ht="14.25">
      <c r="B19" s="271"/>
      <c r="C19" s="36" t="s">
        <v>163</v>
      </c>
      <c r="D19" s="37">
        <v>64</v>
      </c>
      <c r="E19" s="89">
        <v>64</v>
      </c>
      <c r="F19" s="47"/>
      <c r="G19" s="47"/>
      <c r="H19" s="47"/>
    </row>
    <row r="20" spans="2:8" ht="14.25">
      <c r="B20" s="271"/>
      <c r="C20" s="36" t="s">
        <v>164</v>
      </c>
      <c r="D20" s="37">
        <v>64</v>
      </c>
      <c r="E20" s="89">
        <v>64</v>
      </c>
      <c r="F20" s="47"/>
      <c r="G20" s="47"/>
      <c r="H20" s="47"/>
    </row>
    <row r="21" spans="2:8" ht="14.25">
      <c r="B21" s="271" t="s">
        <v>159</v>
      </c>
      <c r="C21" s="36" t="s">
        <v>169</v>
      </c>
      <c r="D21" s="83">
        <v>64</v>
      </c>
      <c r="E21" s="97" t="s">
        <v>213</v>
      </c>
      <c r="F21" s="93" t="s">
        <v>225</v>
      </c>
      <c r="G21" s="92" t="s">
        <v>217</v>
      </c>
      <c r="H21" s="92" t="s">
        <v>220</v>
      </c>
    </row>
    <row r="22" spans="2:8" ht="14.25">
      <c r="B22" s="271"/>
      <c r="C22" s="36" t="s">
        <v>170</v>
      </c>
      <c r="D22" s="37">
        <v>64</v>
      </c>
      <c r="E22" s="87">
        <v>28.44</v>
      </c>
      <c r="F22" s="92" t="s">
        <v>214</v>
      </c>
      <c r="G22" s="92" t="s">
        <v>218</v>
      </c>
      <c r="H22" s="92" t="s">
        <v>219</v>
      </c>
    </row>
    <row r="23" spans="2:8" ht="14.25">
      <c r="B23" s="271"/>
      <c r="C23" s="81" t="s">
        <v>197</v>
      </c>
      <c r="D23" s="83">
        <v>32</v>
      </c>
      <c r="E23" s="90">
        <v>16</v>
      </c>
      <c r="F23" s="92" t="s">
        <v>215</v>
      </c>
      <c r="G23" s="47"/>
      <c r="H23" s="92" t="s">
        <v>223</v>
      </c>
    </row>
    <row r="24" spans="2:8" ht="14.25">
      <c r="B24" s="271"/>
      <c r="C24" s="78" t="s">
        <v>191</v>
      </c>
      <c r="D24" s="83">
        <v>32</v>
      </c>
      <c r="E24" s="90">
        <v>16</v>
      </c>
      <c r="F24" s="92" t="s">
        <v>215</v>
      </c>
      <c r="G24" s="47"/>
      <c r="H24" s="92" t="s">
        <v>223</v>
      </c>
    </row>
    <row r="25" spans="2:8" ht="14.25">
      <c r="B25" s="94" t="s">
        <v>171</v>
      </c>
      <c r="C25" s="36" t="s">
        <v>156</v>
      </c>
      <c r="D25" s="38">
        <v>64</v>
      </c>
      <c r="E25" s="89">
        <v>16</v>
      </c>
      <c r="F25" s="92" t="s">
        <v>216</v>
      </c>
      <c r="G25" s="47"/>
      <c r="H25" s="47"/>
    </row>
    <row r="26" spans="2:8" ht="14.25">
      <c r="B26" s="94" t="s">
        <v>172</v>
      </c>
      <c r="C26" s="86" t="s">
        <v>205</v>
      </c>
      <c r="D26" s="38">
        <v>64</v>
      </c>
      <c r="E26" s="90">
        <v>32</v>
      </c>
      <c r="F26" s="47"/>
      <c r="G26" s="92" t="s">
        <v>218</v>
      </c>
      <c r="H26" s="92" t="s">
        <v>219</v>
      </c>
    </row>
    <row r="27" spans="2:8" ht="14.25">
      <c r="B27" s="267" t="s">
        <v>173</v>
      </c>
      <c r="C27" s="36" t="s">
        <v>156</v>
      </c>
      <c r="D27" s="38">
        <v>64</v>
      </c>
      <c r="E27" s="89"/>
      <c r="F27" s="47"/>
      <c r="G27" s="47"/>
      <c r="H27" s="47"/>
    </row>
    <row r="28" spans="2:8" ht="14.25">
      <c r="B28" s="267"/>
      <c r="C28" s="36" t="s">
        <v>160</v>
      </c>
      <c r="D28" s="38">
        <v>64</v>
      </c>
      <c r="E28" s="91"/>
      <c r="F28" s="47"/>
      <c r="G28" s="47"/>
      <c r="H28" s="47"/>
    </row>
    <row r="29" spans="2:8" ht="14.25">
      <c r="B29" s="267"/>
      <c r="C29" s="36" t="s">
        <v>161</v>
      </c>
      <c r="D29" s="38">
        <v>64</v>
      </c>
      <c r="E29" s="91"/>
      <c r="F29" s="47"/>
      <c r="G29" s="47"/>
      <c r="H29" s="47"/>
    </row>
    <row r="30" spans="2:8" ht="14.25">
      <c r="B30" s="94" t="s">
        <v>277</v>
      </c>
      <c r="C30" s="36" t="s">
        <v>156</v>
      </c>
      <c r="D30" s="38">
        <v>64</v>
      </c>
      <c r="E30" s="87">
        <v>28.44</v>
      </c>
      <c r="F30" s="92" t="s">
        <v>214</v>
      </c>
      <c r="G30" s="92" t="s">
        <v>218</v>
      </c>
      <c r="H30" s="92" t="s">
        <v>219</v>
      </c>
    </row>
    <row r="31" spans="2:8" ht="15" thickBot="1">
      <c r="B31" s="96" t="s">
        <v>278</v>
      </c>
      <c r="C31" s="42" t="s">
        <v>156</v>
      </c>
      <c r="D31" s="38">
        <v>64</v>
      </c>
      <c r="E31" s="87">
        <v>28.44</v>
      </c>
      <c r="F31" s="92" t="s">
        <v>214</v>
      </c>
      <c r="G31" s="92" t="s">
        <v>218</v>
      </c>
      <c r="H31" s="92" t="s">
        <v>219</v>
      </c>
    </row>
    <row r="32" spans="2:8" ht="14.25" thickTop="1"/>
  </sheetData>
  <mergeCells count="7">
    <mergeCell ref="F3:H3"/>
    <mergeCell ref="D2:H2"/>
    <mergeCell ref="B27:B29"/>
    <mergeCell ref="B4:B11"/>
    <mergeCell ref="B12:B15"/>
    <mergeCell ref="B17:B20"/>
    <mergeCell ref="B21:B24"/>
  </mergeCells>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28</vt:i4>
      </vt:variant>
    </vt:vector>
  </HeadingPairs>
  <TitlesOfParts>
    <vt:vector size="28" baseType="lpstr">
      <vt:lpstr>Rev</vt:lpstr>
      <vt:lpstr>template</vt:lpstr>
      <vt:lpstr>descriptor updt(0x400)</vt:lpstr>
      <vt:lpstr>wdma_csr(0x1400)</vt:lpstr>
      <vt:lpstr>rdma_csr(0x1800)</vt:lpstr>
      <vt:lpstr>CSR_reg（0x1000）</vt:lpstr>
      <vt:lpstr>CSR_reg（0x1000）备份0218</vt:lpstr>
      <vt:lpstr>CSR（0x1000）</vt:lpstr>
      <vt:lpstr>tcredit（0x800）</vt:lpstr>
      <vt:lpstr>DMA_send（0x000）</vt:lpstr>
      <vt:lpstr>sDMA_matrix</vt:lpstr>
      <vt:lpstr>sDMA_masked_select </vt:lpstr>
      <vt:lpstr>sDMA_general</vt:lpstr>
      <vt:lpstr>sDMA_nonzero</vt:lpstr>
      <vt:lpstr>DMA_read（0x000)</vt:lpstr>
      <vt:lpstr>DMA_write（0x000）</vt:lpstr>
      <vt:lpstr>DMA_gather</vt:lpstr>
      <vt:lpstr>DMA_scatter</vt:lpstr>
      <vt:lpstr>DMA_receive（0x000）</vt:lpstr>
      <vt:lpstr>DMA_remote_msgsend</vt:lpstr>
      <vt:lpstr>DMA_lossy_compress（0x000）</vt:lpstr>
      <vt:lpstr>DMA_lossy_decompress（0x000）</vt:lpstr>
      <vt:lpstr>sDMA_sys</vt:lpstr>
      <vt:lpstr>des_v1.0</vt:lpstr>
      <vt:lpstr>perf_monitor</vt:lpstr>
      <vt:lpstr>链表格式</vt:lpstr>
      <vt:lpstr>src_dst_mem_type</vt:lpstr>
      <vt:lpstr>典型带宽(待分析)</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高鹏</dc:creator>
  <cp:lastModifiedBy>Administrator</cp:lastModifiedBy>
  <cp:lastPrinted>2017-12-19T06:56:00Z</cp:lastPrinted>
  <dcterms:created xsi:type="dcterms:W3CDTF">2017-05-18T07:39:00Z</dcterms:created>
  <dcterms:modified xsi:type="dcterms:W3CDTF">2025-03-13T02:37:46Z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y fmtid="{D5CDD505-2E9C-101B-9397-08002B2CF9AE}" pid="3" name="5B77E7CEEC58BC6AFAE8886BEB80DBEB">
    <vt:lpwstr>otCYQxs9Dbw2bUEn/Soxv9pYAoWsCRIsU8+gIbxzzmNcJN13+qHIPyWmbF9hFzPHyi2m8DLwi54E5OVVM5pJ0yGmgAiYTaR6oYUdYZxdjep6I9xviFUFZ9aTScfBW9OGCZ0pxlKseniKm7er64u5I/Z5sh0HqwuhP6k6KP0IMT/LKdhlhzxW2lm72L/eO4qfZi28p/P1eNit+szCXZa3AtVEx1V0ClAbp2t6+GDpuCP/fvaPw3R3T/m5uo6zvAb</vt:lpwstr>
  </property>
</Properties>
</file>