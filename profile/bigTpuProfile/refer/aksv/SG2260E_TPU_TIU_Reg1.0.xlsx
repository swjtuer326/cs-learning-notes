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xin.huang\Downloads\"/>
    </mc:Choice>
  </mc:AlternateContent>
  <bookViews>
    <workbookView xWindow="0" yWindow="0" windowWidth="34777" windowHeight="15677" tabRatio="881" firstSheet="2" activeTab="18"/>
  </bookViews>
  <sheets>
    <sheet name="Rev" sheetId="1" r:id="rId1"/>
    <sheet name="Control register base=0x100" sheetId="38" r:id="rId2"/>
    <sheet name="TGCR" sheetId="39" r:id="rId3"/>
    <sheet name="Lmem bank constrain" sheetId="4" r:id="rId4"/>
    <sheet name="Descriptor mode" sheetId="5" r:id="rId5"/>
    <sheet name="Command register base=0x0" sheetId="6" r:id="rId6"/>
    <sheet name="sCONV" sheetId="8" r:id="rId7"/>
    <sheet name="sCONV_BW" sheetId="42" r:id="rId8"/>
    <sheet name="sPorD" sheetId="24" r:id="rId9"/>
    <sheet name="sMM" sheetId="10" r:id="rId10"/>
    <sheet name="sMM2" sheetId="12" r:id="rId11"/>
    <sheet name="sAR" sheetId="22" r:id="rId12"/>
    <sheet name="sRQ&amp;sDQ" sheetId="26" r:id="rId13"/>
    <sheet name="sCW&amp;sBC" sheetId="32" r:id="rId14"/>
    <sheet name="sSG" sheetId="28" r:id="rId15"/>
    <sheet name="sSGL" sheetId="30" r:id="rId16"/>
    <sheet name="sRAND" sheetId="44" r:id="rId17"/>
    <sheet name="sSFU" sheetId="16" r:id="rId18"/>
    <sheet name="sLIN" sheetId="20" r:id="rId19"/>
    <sheet name="SYS_TR_WR" sheetId="36" r:id="rId20"/>
    <sheet name="sCMP" sheetId="14" r:id="rId21"/>
    <sheet name="sVC" sheetId="18" r:id="rId22"/>
    <sheet name="SYS" sheetId="34" r:id="rId23"/>
  </sheets>
  <externalReferences>
    <externalReference r:id="rId24"/>
  </externalReferences>
  <calcPr calcId="162913"/>
  <customWorkbookViews>
    <customWorkbookView name="沈广冲 - 个人视图" guid="{465993EB-2174-44B8-8988-073286CA386F}" mergeInterval="0" personalView="1" maximized="1" xWindow="89" yWindow="-9" windowWidth="1840" windowHeight="1098" tabRatio="881" activeSheetId="34"/>
    <customWorkbookView name="Windows User - 个人视图" guid="{C03D8012-5FAF-4C48-B7E4-56A55E52A74B}" mergeInterval="0" personalView="1" maximized="1" xWindow="-8" yWindow="-8" windowWidth="1936" windowHeight="1066" tabRatio="881" activeSheetId="9"/>
  </customWorkbookViews>
</workbook>
</file>

<file path=xl/calcChain.xml><?xml version="1.0" encoding="utf-8"?>
<calcChain xmlns="http://schemas.openxmlformats.org/spreadsheetml/2006/main">
  <c r="A42" i="22" l="1"/>
  <c r="Z49" i="38" l="1"/>
  <c r="Y49" i="38" s="1"/>
  <c r="Z50" i="38" s="1"/>
  <c r="Y50" i="38" s="1"/>
  <c r="J51" i="38"/>
  <c r="I51" i="38" s="1"/>
  <c r="J49" i="38"/>
  <c r="I49" i="38" s="1"/>
  <c r="J50" i="38" s="1"/>
  <c r="I50" i="38" s="1"/>
  <c r="Y98" i="38" l="1"/>
  <c r="Z99" i="38" s="1"/>
  <c r="Y99" i="38" s="1"/>
  <c r="Z100" i="38" s="1"/>
  <c r="Y100" i="38" s="1"/>
  <c r="Z101" i="38" s="1"/>
  <c r="Y101" i="38" s="1"/>
  <c r="Z102" i="38" s="1"/>
  <c r="Y102" i="38" s="1"/>
  <c r="Z103" i="38" s="1"/>
  <c r="Y103" i="38" s="1"/>
  <c r="Z104" i="38" s="1"/>
  <c r="Y104" i="38" s="1"/>
  <c r="Z105" i="38" s="1"/>
  <c r="Y105" i="38" s="1"/>
  <c r="Z106" i="38" s="1"/>
  <c r="Y106" i="38" s="1"/>
  <c r="Z107" i="38" s="1"/>
  <c r="Y107" i="38" s="1"/>
  <c r="Z108" i="38" s="1"/>
  <c r="Y108" i="38" s="1"/>
  <c r="Z109" i="38" s="1"/>
  <c r="Y109" i="38" s="1"/>
  <c r="Z110" i="38" s="1"/>
  <c r="Y110" i="38" s="1"/>
  <c r="Z111" i="38" s="1"/>
  <c r="Y111" i="38" s="1"/>
  <c r="Z112" i="38" s="1"/>
  <c r="Y112" i="38" s="1"/>
  <c r="Z113" i="38" s="1"/>
  <c r="Y113" i="38" s="1"/>
  <c r="Z114" i="38" s="1"/>
  <c r="Y114" i="38" s="1"/>
  <c r="Z115" i="38" s="1"/>
  <c r="Y115" i="38" s="1"/>
  <c r="Z116" i="38" s="1"/>
  <c r="Y116" i="38" s="1"/>
  <c r="Z117" i="38" s="1"/>
  <c r="Y117" i="38" s="1"/>
  <c r="Z118" i="38" s="1"/>
  <c r="Y118" i="38" s="1"/>
  <c r="Z119" i="38" s="1"/>
  <c r="Y119" i="38" s="1"/>
  <c r="Z120" i="38" s="1"/>
  <c r="Y120" i="38" s="1"/>
  <c r="Z121" i="38" s="1"/>
  <c r="Y121" i="38" s="1"/>
  <c r="Z122" i="38" s="1"/>
  <c r="Y122" i="38" s="1"/>
  <c r="Z123" i="38" s="1"/>
  <c r="Y123" i="38" s="1"/>
  <c r="Z124" i="38" s="1"/>
  <c r="Y124" i="38" s="1"/>
  <c r="Z125" i="38" s="1"/>
  <c r="Y125" i="38" s="1"/>
  <c r="Z126" i="38" s="1"/>
  <c r="Y126" i="38" s="1"/>
  <c r="Z127" i="38" s="1"/>
  <c r="Y127" i="38" s="1"/>
  <c r="Z128" i="38" s="1"/>
  <c r="Y128" i="38" s="1"/>
  <c r="Z129" i="38" s="1"/>
  <c r="Y129" i="38" s="1"/>
  <c r="Z130" i="38" s="1"/>
  <c r="Y130" i="38" s="1"/>
  <c r="Z131" i="38" s="1"/>
  <c r="Y131" i="38" s="1"/>
  <c r="Z132" i="38" s="1"/>
  <c r="Y132" i="38" s="1"/>
  <c r="Z133" i="38" s="1"/>
  <c r="Y133" i="38" s="1"/>
  <c r="Z134" i="38" s="1"/>
  <c r="Y134" i="38" s="1"/>
  <c r="Z135" i="38" s="1"/>
  <c r="Y135" i="38" s="1"/>
  <c r="Z136" i="38" s="1"/>
  <c r="Y136" i="38" s="1"/>
  <c r="Z137" i="38" s="1"/>
  <c r="Y137" i="38" s="1"/>
  <c r="Z138" i="38" s="1"/>
  <c r="Y138" i="38" s="1"/>
  <c r="Z139" i="38" s="1"/>
  <c r="Y139" i="38" s="1"/>
  <c r="Z140" i="38" s="1"/>
  <c r="Y140" i="38" s="1"/>
  <c r="Z141" i="38" s="1"/>
  <c r="Y141" i="38" s="1"/>
  <c r="Z142" i="38" s="1"/>
  <c r="Y142" i="38" s="1"/>
  <c r="Z143" i="38" s="1"/>
  <c r="Y143" i="38" s="1"/>
  <c r="Z144" i="38" s="1"/>
  <c r="Y144" i="38" s="1"/>
  <c r="Y15" i="38"/>
  <c r="Z16" i="38" s="1"/>
  <c r="Y16" i="38" s="1"/>
  <c r="Z17" i="38" s="1"/>
  <c r="Y17" i="38" s="1"/>
  <c r="Z18" i="38" s="1"/>
  <c r="Y18" i="38" s="1"/>
  <c r="Z19" i="38" s="1"/>
  <c r="Y19" i="38" s="1"/>
  <c r="Z20" i="38" s="1"/>
  <c r="Y20" i="38" s="1"/>
  <c r="Z21" i="38" s="1"/>
  <c r="Y21" i="38" s="1"/>
  <c r="Z22" i="38" s="1"/>
  <c r="Y22" i="38" s="1"/>
  <c r="Z23" i="38" s="1"/>
  <c r="Y23" i="38" s="1"/>
  <c r="Z24" i="38" s="1"/>
  <c r="Y24" i="38" s="1"/>
  <c r="Z25" i="38" s="1"/>
  <c r="Y25" i="38" s="1"/>
  <c r="Z26" i="38" s="1"/>
  <c r="Y26" i="38" s="1"/>
  <c r="Z27" i="38" s="1"/>
  <c r="Y27" i="38" s="1"/>
  <c r="Z28" i="38" s="1"/>
  <c r="Y28" i="38" s="1"/>
  <c r="Z29" i="38" s="1"/>
  <c r="Y29" i="38" s="1"/>
  <c r="Z30" i="38" s="1"/>
  <c r="Y30" i="38" s="1"/>
  <c r="Z31" i="38" s="1"/>
  <c r="Y31" i="38" s="1"/>
  <c r="Z32" i="38" s="1"/>
  <c r="Y32" i="38" s="1"/>
  <c r="Z33" i="38" s="1"/>
  <c r="Y33" i="38" s="1"/>
  <c r="Z34" i="38" s="1"/>
  <c r="Y34" i="38" s="1"/>
  <c r="Z35" i="38" s="1"/>
  <c r="Y35" i="38" s="1"/>
  <c r="Z36" i="38" s="1"/>
  <c r="Y36" i="38" s="1"/>
  <c r="Z37" i="38" s="1"/>
  <c r="Y37" i="38" s="1"/>
  <c r="Z38" i="38" s="1"/>
  <c r="Y38" i="38" s="1"/>
  <c r="Z39" i="38" s="1"/>
  <c r="Y39" i="38" s="1"/>
  <c r="Z40" i="38" s="1"/>
  <c r="Y40" i="38" s="1"/>
  <c r="Z41" i="38" s="1"/>
  <c r="Y41" i="38" s="1"/>
  <c r="Z42" i="38" s="1"/>
  <c r="Y42" i="38" s="1"/>
  <c r="Z43" i="38" s="1"/>
  <c r="Y43" i="38" s="1"/>
  <c r="Z44" i="38" s="1"/>
  <c r="Y44" i="38" s="1"/>
  <c r="Z45" i="38" s="1"/>
  <c r="Y45" i="38" s="1"/>
  <c r="Z46" i="38" s="1"/>
  <c r="Y46" i="38" s="1"/>
  <c r="Z47" i="38" s="1"/>
  <c r="Y47" i="38" s="1"/>
  <c r="Z48" i="38" s="1"/>
  <c r="Y48" i="38" s="1"/>
  <c r="Z51" i="38" l="1"/>
  <c r="Y51" i="38" s="1"/>
  <c r="Z52" i="38" s="1"/>
  <c r="Y52" i="38" s="1"/>
  <c r="Z53" i="38" s="1"/>
  <c r="Y53" i="38" s="1"/>
  <c r="Z54" i="38" s="1"/>
  <c r="Y54" i="38" s="1"/>
  <c r="Z55" i="38" s="1"/>
  <c r="Y55" i="38" s="1"/>
  <c r="Z56" i="38" s="1"/>
  <c r="Y56" i="38" s="1"/>
  <c r="Z57" i="38" s="1"/>
  <c r="Y57" i="38" s="1"/>
  <c r="Z58" i="38" s="1"/>
  <c r="Y58" i="38" s="1"/>
  <c r="Z59" i="38" s="1"/>
  <c r="Y59" i="38" s="1"/>
  <c r="Z60" i="38" s="1"/>
  <c r="Y60" i="38" s="1"/>
  <c r="Z61" i="38" s="1"/>
  <c r="Y61" i="38" s="1"/>
  <c r="Z62" i="38" s="1"/>
  <c r="Y62" i="38" s="1"/>
  <c r="Z63" i="38" s="1"/>
  <c r="Y63" i="38" s="1"/>
  <c r="Z64" i="38" s="1"/>
  <c r="Y64" i="38" s="1"/>
  <c r="Z65" i="38" s="1"/>
  <c r="Y65" i="38" s="1"/>
  <c r="Z66" i="38" s="1"/>
  <c r="Y66" i="38" s="1"/>
  <c r="Z67" i="38" s="1"/>
  <c r="Y67" i="38" s="1"/>
  <c r="Z68" i="38" s="1"/>
  <c r="Y68" i="38" s="1"/>
  <c r="Z69" i="38" s="1"/>
  <c r="Y69" i="38" s="1"/>
  <c r="Z70" i="38" s="1"/>
  <c r="Y70" i="38" s="1"/>
  <c r="Z71" i="38" s="1"/>
  <c r="Y71" i="38" s="1"/>
  <c r="Z72" i="38" s="1"/>
  <c r="Y72" i="38" s="1"/>
  <c r="Z73" i="38" s="1"/>
  <c r="Y73" i="38" s="1"/>
  <c r="Z74" i="38" s="1"/>
  <c r="Y74" i="38" s="1"/>
  <c r="Z75" i="38" s="1"/>
  <c r="Y75" i="38" s="1"/>
  <c r="Z76" i="38" s="1"/>
  <c r="Y76" i="38" s="1"/>
  <c r="Z77" i="38" s="1"/>
  <c r="Y77" i="38" s="1"/>
  <c r="Z78" i="38" s="1"/>
  <c r="Y78" i="38" s="1"/>
  <c r="Z79" i="38" s="1"/>
  <c r="Y79" i="38" s="1"/>
  <c r="Z80" i="38" s="1"/>
  <c r="Y80" i="38" s="1"/>
  <c r="Z81" i="38" s="1"/>
  <c r="Y81" i="38" s="1"/>
  <c r="Z82" i="38" s="1"/>
  <c r="Y82" i="38" s="1"/>
  <c r="Z83" i="38" s="1"/>
  <c r="Y83" i="38" s="1"/>
  <c r="Z84" i="38" s="1"/>
  <c r="Y84" i="38" s="1"/>
  <c r="Z85" i="38" s="1"/>
  <c r="Y85" i="38" s="1"/>
  <c r="Z86" i="38" s="1"/>
  <c r="Y86" i="38" s="1"/>
  <c r="Z87" i="38" s="1"/>
  <c r="Y87" i="38" s="1"/>
  <c r="Z88" i="38" s="1"/>
  <c r="Y88" i="38" s="1"/>
  <c r="Z89" i="38" s="1"/>
  <c r="Y89" i="38" s="1"/>
  <c r="Z90" i="38" s="1"/>
  <c r="Y90" i="38" s="1"/>
  <c r="Z91" i="38" s="1"/>
  <c r="Y91" i="38" s="1"/>
  <c r="Z92" i="38" s="1"/>
  <c r="Y92" i="38" s="1"/>
  <c r="Z93" i="38" s="1"/>
  <c r="Y93" i="38" s="1"/>
  <c r="Z94" i="38" s="1"/>
  <c r="Y94" i="38" s="1"/>
  <c r="Z95" i="38" s="1"/>
  <c r="Y95" i="38" s="1"/>
  <c r="Z96" i="38" s="1"/>
  <c r="Y96" i="38" s="1"/>
  <c r="Z97" i="38" s="1"/>
  <c r="Y97" i="38" s="1"/>
  <c r="L45" i="38"/>
  <c r="L44" i="38"/>
  <c r="L43" i="38"/>
  <c r="L42" i="38"/>
  <c r="L41" i="38"/>
  <c r="L40" i="38"/>
  <c r="L20" i="38"/>
  <c r="L21" i="38"/>
  <c r="L24" i="38"/>
  <c r="L18" i="38"/>
  <c r="L19" i="38"/>
  <c r="L22" i="38"/>
  <c r="L23" i="38"/>
  <c r="L26" i="38"/>
  <c r="L27" i="38"/>
  <c r="L28" i="38"/>
  <c r="L29" i="38"/>
  <c r="L30" i="38"/>
  <c r="L31" i="38"/>
  <c r="L32" i="38"/>
  <c r="L33" i="38"/>
  <c r="L34" i="38"/>
  <c r="L35" i="38"/>
  <c r="L36" i="38"/>
  <c r="L37" i="38"/>
  <c r="L38" i="38"/>
  <c r="L39" i="38"/>
  <c r="L25" i="38"/>
  <c r="L17" i="38"/>
  <c r="L16" i="38"/>
  <c r="L15" i="38"/>
  <c r="L67" i="38"/>
  <c r="L68" i="38"/>
  <c r="I98" i="38" l="1"/>
  <c r="I99" i="38" s="1"/>
  <c r="A43" i="8" l="1"/>
  <c r="A44" i="8"/>
  <c r="D13" i="22" l="1"/>
  <c r="C13" i="22" s="1"/>
  <c r="D14" i="22" s="1"/>
  <c r="C14" i="22" s="1"/>
  <c r="C5" i="34" l="1"/>
  <c r="D6" i="34" s="1"/>
  <c r="C6" i="34" s="1"/>
  <c r="F5" i="34"/>
  <c r="E5" i="34"/>
  <c r="A5" i="34"/>
  <c r="D6" i="28"/>
  <c r="C6" i="28" s="1"/>
  <c r="D5" i="28"/>
  <c r="C5" i="28" s="1"/>
  <c r="E5" i="28"/>
  <c r="F5" i="28"/>
  <c r="A5" i="28"/>
  <c r="B5" i="28"/>
  <c r="D6" i="26"/>
  <c r="C6" i="26" s="1"/>
  <c r="D7" i="26" s="1"/>
  <c r="C7" i="26" s="1"/>
  <c r="E6" i="26"/>
  <c r="F6" i="26"/>
  <c r="E7" i="26"/>
  <c r="F7" i="26"/>
  <c r="A6" i="26"/>
  <c r="B6" i="26"/>
  <c r="D11" i="24"/>
  <c r="C11" i="24" s="1"/>
  <c r="D10" i="24"/>
  <c r="C10" i="24" s="1"/>
  <c r="E10" i="24"/>
  <c r="F10" i="24"/>
  <c r="A10" i="24"/>
  <c r="B10" i="24"/>
  <c r="E5" i="22"/>
  <c r="F5" i="22"/>
  <c r="A4" i="22"/>
  <c r="B4" i="22"/>
  <c r="A5" i="22"/>
  <c r="B5" i="22"/>
  <c r="D5" i="18"/>
  <c r="C5" i="18" s="1"/>
  <c r="D6" i="18" s="1"/>
  <c r="C6" i="18" s="1"/>
  <c r="E5" i="18"/>
  <c r="F5" i="18"/>
  <c r="E6" i="18"/>
  <c r="F6" i="18"/>
  <c r="A5" i="18"/>
  <c r="B5" i="18"/>
  <c r="E5" i="20"/>
  <c r="F5" i="20"/>
  <c r="D5" i="20"/>
  <c r="C5" i="20" s="1"/>
  <c r="D6" i="20" s="1"/>
  <c r="C6" i="20" s="1"/>
  <c r="A5" i="20"/>
  <c r="B5" i="20"/>
  <c r="E5" i="16"/>
  <c r="F5" i="16"/>
  <c r="D6" i="16"/>
  <c r="C6" i="16" s="1"/>
  <c r="C5" i="16"/>
  <c r="D5" i="16"/>
  <c r="A5" i="16"/>
  <c r="B5" i="16"/>
  <c r="D12" i="10"/>
  <c r="C12" i="10" s="1"/>
  <c r="D13" i="42"/>
  <c r="C13" i="42" s="1"/>
  <c r="E5" i="30"/>
  <c r="F5" i="30"/>
  <c r="D5" i="30"/>
  <c r="C5" i="30"/>
  <c r="D6" i="30" s="1"/>
  <c r="C6" i="30" s="1"/>
  <c r="A5" i="30"/>
  <c r="B5" i="30"/>
  <c r="E5" i="32"/>
  <c r="F5" i="32"/>
  <c r="D5" i="32"/>
  <c r="C5" i="32" s="1"/>
  <c r="D6" i="32" s="1"/>
  <c r="C6" i="32" s="1"/>
  <c r="A5" i="32"/>
  <c r="B5" i="32"/>
  <c r="A6" i="32"/>
  <c r="B6" i="32"/>
  <c r="D5" i="44"/>
  <c r="C5" i="44" s="1"/>
  <c r="D6" i="44" s="1"/>
  <c r="C6" i="44" s="1"/>
  <c r="B6" i="44"/>
  <c r="B5" i="44"/>
  <c r="B4" i="44"/>
  <c r="A6" i="34"/>
  <c r="F7" i="44"/>
  <c r="E7" i="44"/>
  <c r="B7" i="44"/>
  <c r="A7" i="44"/>
  <c r="F6" i="44"/>
  <c r="E6" i="44"/>
  <c r="A6" i="44"/>
  <c r="F5" i="44"/>
  <c r="E5" i="44"/>
  <c r="A5" i="44"/>
  <c r="F4" i="44"/>
  <c r="E4" i="44"/>
  <c r="A4" i="44"/>
  <c r="F3" i="44"/>
  <c r="E3" i="44"/>
  <c r="B3" i="44"/>
  <c r="A3" i="44"/>
  <c r="F2" i="44"/>
  <c r="E2" i="44"/>
  <c r="B2" i="44"/>
  <c r="C2" i="44" s="1"/>
  <c r="D3" i="44" s="1"/>
  <c r="A2" i="44"/>
  <c r="C2" i="14"/>
  <c r="E2" i="14"/>
  <c r="A3" i="14"/>
  <c r="B3" i="14"/>
  <c r="D3" i="14"/>
  <c r="C3" i="14" s="1"/>
  <c r="D4" i="14" s="1"/>
  <c r="C4" i="14" s="1"/>
  <c r="D5" i="14" s="1"/>
  <c r="C5" i="14" s="1"/>
  <c r="D6" i="14" s="1"/>
  <c r="C6" i="14" s="1"/>
  <c r="D7" i="14" s="1"/>
  <c r="C7" i="14" s="1"/>
  <c r="D8" i="14" s="1"/>
  <c r="C8" i="14" s="1"/>
  <c r="D9" i="14" s="1"/>
  <c r="C9" i="14" s="1"/>
  <c r="D10" i="14" s="1"/>
  <c r="C10" i="14" s="1"/>
  <c r="D11" i="14" s="1"/>
  <c r="C11" i="14" s="1"/>
  <c r="E3" i="14"/>
  <c r="A4" i="14"/>
  <c r="B4" i="14"/>
  <c r="E4" i="14"/>
  <c r="A5" i="14"/>
  <c r="B5" i="14"/>
  <c r="E5" i="14"/>
  <c r="A6" i="14"/>
  <c r="B6" i="14"/>
  <c r="E6" i="14"/>
  <c r="A7" i="14"/>
  <c r="B7" i="14"/>
  <c r="E7" i="14"/>
  <c r="A9" i="14"/>
  <c r="B9" i="14"/>
  <c r="E9" i="14"/>
  <c r="A10" i="14"/>
  <c r="B10" i="14"/>
  <c r="E10" i="14"/>
  <c r="A11" i="14"/>
  <c r="B11" i="14"/>
  <c r="E11" i="14"/>
  <c r="F5" i="14"/>
  <c r="D14" i="12"/>
  <c r="C14" i="12" s="1"/>
  <c r="D15" i="12" s="1"/>
  <c r="C15" i="12" s="1"/>
  <c r="E14" i="12"/>
  <c r="F14" i="12"/>
  <c r="A14" i="12"/>
  <c r="B14" i="12"/>
  <c r="C11" i="10"/>
  <c r="D11" i="10"/>
  <c r="E11" i="10"/>
  <c r="F11" i="10"/>
  <c r="A11" i="10"/>
  <c r="B11" i="10"/>
  <c r="D12" i="42"/>
  <c r="C12" i="42" s="1"/>
  <c r="F12" i="42"/>
  <c r="A12" i="42"/>
  <c r="B12" i="42"/>
  <c r="F12" i="8"/>
  <c r="A12" i="8"/>
  <c r="B12" i="8"/>
  <c r="A13" i="8"/>
  <c r="B13" i="8"/>
  <c r="F13" i="8"/>
  <c r="C12" i="44"/>
  <c r="D13" i="44" s="1"/>
  <c r="C13" i="44" s="1"/>
  <c r="D14" i="44" s="1"/>
  <c r="C14" i="44" s="1"/>
  <c r="D15" i="44" s="1"/>
  <c r="C15" i="44" s="1"/>
  <c r="D16" i="44" s="1"/>
  <c r="C16" i="44" s="1"/>
  <c r="D17" i="44" s="1"/>
  <c r="C17" i="44" s="1"/>
  <c r="D18" i="44" s="1"/>
  <c r="C18" i="44" s="1"/>
  <c r="D19" i="44" s="1"/>
  <c r="C19" i="44" s="1"/>
  <c r="D6" i="6"/>
  <c r="C6" i="6" s="1"/>
  <c r="D4" i="6"/>
  <c r="C4" i="6" s="1"/>
  <c r="D5" i="6" s="1"/>
  <c r="C5" i="6" s="1"/>
  <c r="C3" i="44" l="1"/>
  <c r="D4" i="44" l="1"/>
  <c r="C4" i="44" s="1"/>
  <c r="D7" i="44" s="1"/>
  <c r="C7" i="44" s="1"/>
  <c r="D8" i="44" l="1"/>
  <c r="C8" i="44" s="1"/>
  <c r="D9" i="44" s="1"/>
  <c r="C9" i="44" s="1"/>
  <c r="D10" i="44" s="1"/>
  <c r="C10" i="44" s="1"/>
  <c r="D11" i="44" s="1"/>
  <c r="C11" i="44" s="1"/>
  <c r="B12" i="20" l="1"/>
  <c r="F57" i="42" l="1"/>
  <c r="B57" i="42"/>
  <c r="A57" i="42"/>
  <c r="F56" i="42"/>
  <c r="B56" i="42"/>
  <c r="A56" i="42"/>
  <c r="F55" i="42"/>
  <c r="B55" i="42"/>
  <c r="A55" i="42"/>
  <c r="F54" i="42"/>
  <c r="B54" i="42"/>
  <c r="A54" i="42"/>
  <c r="F53" i="42"/>
  <c r="B53" i="42"/>
  <c r="A53" i="42"/>
  <c r="F51" i="42"/>
  <c r="B51" i="42"/>
  <c r="A51" i="42"/>
  <c r="F50" i="42"/>
  <c r="B50" i="42"/>
  <c r="A50" i="42"/>
  <c r="F49" i="42"/>
  <c r="B49" i="42"/>
  <c r="A49" i="42"/>
  <c r="F48" i="42"/>
  <c r="B48" i="42"/>
  <c r="A48" i="42"/>
  <c r="F47" i="42"/>
  <c r="B47" i="42"/>
  <c r="A47" i="42"/>
  <c r="F46" i="42"/>
  <c r="B46" i="42"/>
  <c r="A46" i="42"/>
  <c r="F45" i="42"/>
  <c r="B45" i="42"/>
  <c r="A45" i="42"/>
  <c r="F44" i="42"/>
  <c r="B44" i="42"/>
  <c r="A44" i="42"/>
  <c r="F43" i="42"/>
  <c r="B43" i="42"/>
  <c r="F41" i="42"/>
  <c r="B41" i="42"/>
  <c r="A41" i="42"/>
  <c r="F40" i="42"/>
  <c r="B40" i="42"/>
  <c r="A40" i="42"/>
  <c r="F39" i="42"/>
  <c r="B39" i="42"/>
  <c r="A39" i="42"/>
  <c r="F38" i="42"/>
  <c r="B38" i="42"/>
  <c r="A38" i="42"/>
  <c r="F36" i="42"/>
  <c r="A36" i="42"/>
  <c r="F35" i="42"/>
  <c r="F34" i="42"/>
  <c r="B34" i="42"/>
  <c r="A34" i="42"/>
  <c r="F33" i="42"/>
  <c r="B33" i="42"/>
  <c r="A33" i="42"/>
  <c r="F32" i="42"/>
  <c r="B32" i="42"/>
  <c r="A32" i="42"/>
  <c r="F31" i="42"/>
  <c r="B31" i="42"/>
  <c r="A31" i="42"/>
  <c r="F30" i="42"/>
  <c r="B30" i="42"/>
  <c r="A30" i="42"/>
  <c r="F29" i="42"/>
  <c r="B29" i="42"/>
  <c r="A29" i="42"/>
  <c r="F28" i="42"/>
  <c r="B28" i="42"/>
  <c r="A28" i="42"/>
  <c r="F27" i="42"/>
  <c r="B27" i="42"/>
  <c r="A27" i="42"/>
  <c r="F26" i="42"/>
  <c r="B26" i="42"/>
  <c r="A26" i="42"/>
  <c r="F25" i="42"/>
  <c r="B25" i="42"/>
  <c r="A25" i="42"/>
  <c r="F24" i="42"/>
  <c r="B24" i="42"/>
  <c r="A24" i="42"/>
  <c r="F23" i="42"/>
  <c r="B23" i="42"/>
  <c r="A23" i="42"/>
  <c r="F20" i="42"/>
  <c r="F17" i="42"/>
  <c r="B17" i="42"/>
  <c r="F16" i="42"/>
  <c r="B16" i="42"/>
  <c r="F15" i="42"/>
  <c r="B15" i="42"/>
  <c r="A15" i="42"/>
  <c r="F14" i="42"/>
  <c r="B14" i="42"/>
  <c r="A14" i="42"/>
  <c r="F13" i="42"/>
  <c r="B13" i="42"/>
  <c r="A13" i="42"/>
  <c r="F11" i="42"/>
  <c r="B11" i="42"/>
  <c r="A11" i="42"/>
  <c r="F10" i="42"/>
  <c r="A10" i="42"/>
  <c r="F9" i="42"/>
  <c r="F8" i="42"/>
  <c r="F2" i="42"/>
  <c r="B2" i="42"/>
  <c r="C2" i="42" s="1"/>
  <c r="D3" i="42" s="1"/>
  <c r="C3" i="42" s="1"/>
  <c r="D4" i="42" s="1"/>
  <c r="C4" i="42" s="1"/>
  <c r="D5" i="42" s="1"/>
  <c r="C5" i="42" s="1"/>
  <c r="D6" i="42" s="1"/>
  <c r="C6" i="42" s="1"/>
  <c r="D7" i="42" s="1"/>
  <c r="C7" i="42" s="1"/>
  <c r="D8" i="42" s="1"/>
  <c r="C8" i="42" s="1"/>
  <c r="D9" i="42" s="1"/>
  <c r="C9" i="42" s="1"/>
  <c r="D10" i="42" s="1"/>
  <c r="C10" i="42" s="1"/>
  <c r="D11" i="42" s="1"/>
  <c r="A2" i="42"/>
  <c r="C11" i="42" l="1"/>
  <c r="D14" i="42" s="1"/>
  <c r="C14" i="42" s="1"/>
  <c r="D15" i="42" s="1"/>
  <c r="C15" i="42" s="1"/>
  <c r="D16" i="42" s="1"/>
  <c r="C16" i="42" s="1"/>
  <c r="D17" i="42" s="1"/>
  <c r="C17" i="42" s="1"/>
  <c r="D18" i="42" s="1"/>
  <c r="C18" i="42" s="1"/>
  <c r="D19" i="42" s="1"/>
  <c r="C19" i="42" s="1"/>
  <c r="D20" i="42" s="1"/>
  <c r="C20" i="42" s="1"/>
  <c r="D21" i="42" s="1"/>
  <c r="C21" i="42" s="1"/>
  <c r="D22" i="42" s="1"/>
  <c r="C22" i="42" s="1"/>
  <c r="D23" i="42" s="1"/>
  <c r="C23" i="42" s="1"/>
  <c r="D24" i="42" s="1"/>
  <c r="C24" i="42" s="1"/>
  <c r="D25" i="42" s="1"/>
  <c r="C25" i="42" s="1"/>
  <c r="D26" i="42" s="1"/>
  <c r="C26" i="42" s="1"/>
  <c r="D27" i="42" s="1"/>
  <c r="C27" i="42" s="1"/>
  <c r="D28" i="42" s="1"/>
  <c r="C28" i="42" s="1"/>
  <c r="D29" i="42" s="1"/>
  <c r="C29" i="42" s="1"/>
  <c r="D30" i="42" s="1"/>
  <c r="C30" i="42" s="1"/>
  <c r="D31" i="42" s="1"/>
  <c r="C31" i="42" s="1"/>
  <c r="D32" i="42" s="1"/>
  <c r="C32" i="42" s="1"/>
  <c r="D33" i="42" s="1"/>
  <c r="C33" i="42" s="1"/>
  <c r="D34" i="42" s="1"/>
  <c r="C34" i="42" s="1"/>
  <c r="D35" i="42" s="1"/>
  <c r="C35" i="42" s="1"/>
  <c r="D36" i="42" s="1"/>
  <c r="C36" i="42" s="1"/>
  <c r="D37" i="42" s="1"/>
  <c r="C37" i="42" s="1"/>
  <c r="D38" i="42" s="1"/>
  <c r="C38" i="42" s="1"/>
  <c r="D39" i="42" s="1"/>
  <c r="C39" i="42" s="1"/>
  <c r="D40" i="42" s="1"/>
  <c r="C40" i="42" s="1"/>
  <c r="D41" i="42" s="1"/>
  <c r="C41" i="42" s="1"/>
  <c r="D42" i="42" s="1"/>
  <c r="C42" i="42" s="1"/>
  <c r="D43" i="42" s="1"/>
  <c r="C43" i="42" s="1"/>
  <c r="D44" i="42" s="1"/>
  <c r="C44" i="42" s="1"/>
  <c r="D45" i="42" s="1"/>
  <c r="C45" i="42" s="1"/>
  <c r="D46" i="42" s="1"/>
  <c r="C46" i="42" s="1"/>
  <c r="D47" i="42" s="1"/>
  <c r="C47" i="42" s="1"/>
  <c r="D48" i="42" s="1"/>
  <c r="C48" i="42" s="1"/>
  <c r="D49" i="42" s="1"/>
  <c r="C49" i="42" s="1"/>
  <c r="D50" i="42" s="1"/>
  <c r="C50" i="42" s="1"/>
  <c r="D51" i="42" s="1"/>
  <c r="C51" i="42" s="1"/>
  <c r="D52" i="42" s="1"/>
  <c r="C52" i="42" s="1"/>
  <c r="D53" i="42" s="1"/>
  <c r="C53" i="42" s="1"/>
  <c r="D54" i="42" s="1"/>
  <c r="C54" i="42" s="1"/>
  <c r="D55" i="42" s="1"/>
  <c r="C55" i="42" s="1"/>
  <c r="D56" i="42" s="1"/>
  <c r="C56" i="42" s="1"/>
  <c r="D57" i="42" s="1"/>
  <c r="C57" i="42" s="1"/>
  <c r="D58" i="42" s="1"/>
  <c r="C58" i="42" s="1"/>
  <c r="D59" i="42" s="1"/>
  <c r="C59" i="42" s="1"/>
  <c r="F21" i="14" l="1"/>
  <c r="E21" i="14"/>
  <c r="E15" i="20" l="1"/>
  <c r="E14" i="20"/>
  <c r="E13" i="20"/>
  <c r="E16" i="20"/>
  <c r="B17" i="20"/>
  <c r="E17" i="20"/>
  <c r="F17" i="20"/>
  <c r="E18" i="20"/>
  <c r="F20" i="8"/>
  <c r="A4" i="34" l="1"/>
  <c r="I15" i="38" l="1"/>
  <c r="J16" i="38" s="1"/>
  <c r="I16" i="38" s="1"/>
  <c r="J17" i="38" s="1"/>
  <c r="I17" i="38" s="1"/>
  <c r="J18" i="38" s="1"/>
  <c r="I18" i="38" s="1"/>
  <c r="J19" i="38" s="1"/>
  <c r="I19" i="38" s="1"/>
  <c r="J20" i="38" s="1"/>
  <c r="I20" i="38" s="1"/>
  <c r="J21" i="38" s="1"/>
  <c r="I21" i="38" s="1"/>
  <c r="J22" i="38" s="1"/>
  <c r="I22" i="38" s="1"/>
  <c r="J23" i="38" s="1"/>
  <c r="I23" i="38" s="1"/>
  <c r="J24" i="38" s="1"/>
  <c r="I24" i="38" s="1"/>
  <c r="J25" i="38" l="1"/>
  <c r="I25" i="38" s="1"/>
  <c r="J26" i="38" s="1"/>
  <c r="I26" i="38" s="1"/>
  <c r="J27" i="38" s="1"/>
  <c r="I27" i="38" s="1"/>
  <c r="J28" i="38" s="1"/>
  <c r="I28" i="38" s="1"/>
  <c r="J29" i="38" s="1"/>
  <c r="I29" i="38" s="1"/>
  <c r="J30" i="38" s="1"/>
  <c r="I30" i="38" s="1"/>
  <c r="J31" i="38" s="1"/>
  <c r="I31" i="38" s="1"/>
  <c r="J32" i="38" s="1"/>
  <c r="I32" i="38" s="1"/>
  <c r="C2" i="36"/>
  <c r="D3" i="36" s="1"/>
  <c r="C3" i="36" s="1"/>
  <c r="D4" i="36" s="1"/>
  <c r="C4" i="36" s="1"/>
  <c r="D5" i="36" s="1"/>
  <c r="C5" i="36" s="1"/>
  <c r="D6" i="36" s="1"/>
  <c r="C6" i="36" s="1"/>
  <c r="D7" i="36" s="1"/>
  <c r="C7" i="36" s="1"/>
  <c r="D8" i="36" s="1"/>
  <c r="C8" i="36" s="1"/>
  <c r="D9" i="36" s="1"/>
  <c r="C9" i="36" s="1"/>
  <c r="C2" i="34"/>
  <c r="D3" i="34" s="1"/>
  <c r="C3" i="34" s="1"/>
  <c r="D4" i="34" s="1"/>
  <c r="C4" i="34" s="1"/>
  <c r="F20" i="32"/>
  <c r="E20" i="32"/>
  <c r="B20" i="32"/>
  <c r="F19" i="32"/>
  <c r="E19" i="32"/>
  <c r="A19" i="32"/>
  <c r="E18" i="32"/>
  <c r="F17" i="32"/>
  <c r="E17" i="32"/>
  <c r="F16" i="32"/>
  <c r="E16" i="32"/>
  <c r="F15" i="32"/>
  <c r="E15" i="32"/>
  <c r="B15" i="32"/>
  <c r="A15" i="32"/>
  <c r="F14" i="32"/>
  <c r="E14" i="32"/>
  <c r="B14" i="32"/>
  <c r="A14" i="32"/>
  <c r="F13" i="32"/>
  <c r="E13" i="32"/>
  <c r="B13" i="32"/>
  <c r="A13" i="32"/>
  <c r="F12" i="32"/>
  <c r="E12" i="32"/>
  <c r="B12" i="32"/>
  <c r="A12" i="32"/>
  <c r="F11" i="32"/>
  <c r="E11" i="32"/>
  <c r="F10" i="32"/>
  <c r="E10" i="32"/>
  <c r="B10" i="32"/>
  <c r="F9" i="32"/>
  <c r="E9" i="32"/>
  <c r="F8" i="32"/>
  <c r="E8" i="32"/>
  <c r="B8" i="32"/>
  <c r="A8" i="32"/>
  <c r="F7" i="32"/>
  <c r="E7" i="32"/>
  <c r="B7" i="32"/>
  <c r="A7" i="32"/>
  <c r="F6" i="32"/>
  <c r="E6" i="32"/>
  <c r="F4" i="32"/>
  <c r="E4" i="32"/>
  <c r="B4" i="32"/>
  <c r="A4" i="32"/>
  <c r="F3" i="32"/>
  <c r="E3" i="32"/>
  <c r="B3" i="32"/>
  <c r="A3" i="32"/>
  <c r="F2" i="32"/>
  <c r="E2" i="32"/>
  <c r="B2" i="32"/>
  <c r="C2" i="32" s="1"/>
  <c r="D3" i="32" s="1"/>
  <c r="A2" i="32"/>
  <c r="F27" i="30"/>
  <c r="E27" i="30"/>
  <c r="B27" i="30"/>
  <c r="F26" i="30"/>
  <c r="E26" i="30"/>
  <c r="B26" i="30"/>
  <c r="A26" i="30"/>
  <c r="F25" i="30"/>
  <c r="E25" i="30"/>
  <c r="A25" i="30"/>
  <c r="F24" i="30"/>
  <c r="E24" i="30"/>
  <c r="A24" i="30"/>
  <c r="F23" i="30"/>
  <c r="E23" i="30"/>
  <c r="A23" i="30"/>
  <c r="F22" i="30"/>
  <c r="E22" i="30"/>
  <c r="B22" i="30"/>
  <c r="A22" i="30"/>
  <c r="F21" i="30"/>
  <c r="E21" i="30"/>
  <c r="B21" i="30"/>
  <c r="A21" i="30"/>
  <c r="F20" i="30"/>
  <c r="E20" i="30"/>
  <c r="B20" i="30"/>
  <c r="A20" i="30"/>
  <c r="F19" i="30"/>
  <c r="E19" i="30"/>
  <c r="B19" i="30"/>
  <c r="A19" i="30"/>
  <c r="F18" i="30"/>
  <c r="E18" i="30"/>
  <c r="B18" i="30"/>
  <c r="A18" i="30"/>
  <c r="F15" i="30"/>
  <c r="E15" i="30"/>
  <c r="B15" i="30"/>
  <c r="A15" i="30"/>
  <c r="F14" i="30"/>
  <c r="E14" i="30"/>
  <c r="B14" i="30"/>
  <c r="A14" i="30"/>
  <c r="F13" i="30"/>
  <c r="E13" i="30"/>
  <c r="B13" i="30"/>
  <c r="A13" i="30"/>
  <c r="F12" i="30"/>
  <c r="E12" i="30"/>
  <c r="A12" i="30"/>
  <c r="F11" i="30"/>
  <c r="E11" i="30"/>
  <c r="F7" i="30"/>
  <c r="E7" i="30"/>
  <c r="B7" i="30"/>
  <c r="A7" i="30"/>
  <c r="F6" i="30"/>
  <c r="E6" i="30"/>
  <c r="B6" i="30"/>
  <c r="A6" i="30"/>
  <c r="F4" i="30"/>
  <c r="E4" i="30"/>
  <c r="B4" i="30"/>
  <c r="A4" i="30"/>
  <c r="F3" i="30"/>
  <c r="E3" i="30"/>
  <c r="B3" i="30"/>
  <c r="A3" i="30"/>
  <c r="F2" i="30"/>
  <c r="E2" i="30"/>
  <c r="B2" i="30"/>
  <c r="C2" i="30" s="1"/>
  <c r="D3" i="30" s="1"/>
  <c r="A2" i="30"/>
  <c r="F30" i="28"/>
  <c r="E30" i="28"/>
  <c r="F28" i="28"/>
  <c r="E28" i="28"/>
  <c r="B28" i="28"/>
  <c r="A28" i="28"/>
  <c r="F27" i="28"/>
  <c r="E27" i="28"/>
  <c r="A27" i="28"/>
  <c r="F26" i="28"/>
  <c r="E26" i="28"/>
  <c r="F25" i="28"/>
  <c r="E25" i="28"/>
  <c r="A25" i="28"/>
  <c r="F24" i="28"/>
  <c r="E24" i="28"/>
  <c r="F23" i="28"/>
  <c r="E23" i="28"/>
  <c r="A23" i="28"/>
  <c r="F22" i="28"/>
  <c r="E22" i="28"/>
  <c r="F21" i="28"/>
  <c r="E21" i="28"/>
  <c r="B21" i="28"/>
  <c r="A21" i="28"/>
  <c r="F20" i="28"/>
  <c r="E20" i="28"/>
  <c r="B20" i="28"/>
  <c r="A20" i="28"/>
  <c r="F19" i="28"/>
  <c r="E19" i="28"/>
  <c r="B19" i="28"/>
  <c r="A19" i="28"/>
  <c r="F18" i="28"/>
  <c r="E18" i="28"/>
  <c r="B18" i="28"/>
  <c r="A18" i="28"/>
  <c r="F17" i="28"/>
  <c r="E17" i="28"/>
  <c r="B17" i="28"/>
  <c r="A17" i="28"/>
  <c r="F16" i="28"/>
  <c r="E16" i="28"/>
  <c r="B16" i="28"/>
  <c r="A16" i="28"/>
  <c r="F15" i="28"/>
  <c r="E15" i="28"/>
  <c r="B15" i="28"/>
  <c r="A15" i="28"/>
  <c r="F14" i="28"/>
  <c r="E14" i="28"/>
  <c r="B14" i="28"/>
  <c r="A14" i="28"/>
  <c r="F13" i="28"/>
  <c r="E13" i="28"/>
  <c r="B13" i="28"/>
  <c r="A13" i="28"/>
  <c r="F12" i="28"/>
  <c r="E12" i="28"/>
  <c r="B12" i="28"/>
  <c r="A12" i="28"/>
  <c r="F11" i="28"/>
  <c r="E11" i="28"/>
  <c r="F10" i="28"/>
  <c r="E10" i="28"/>
  <c r="B10" i="28"/>
  <c r="A10" i="28"/>
  <c r="F7" i="28"/>
  <c r="E7" i="28"/>
  <c r="B7" i="28"/>
  <c r="A7" i="28"/>
  <c r="F6" i="28"/>
  <c r="E6" i="28"/>
  <c r="B6" i="28"/>
  <c r="A6" i="28"/>
  <c r="F4" i="28"/>
  <c r="E4" i="28"/>
  <c r="B4" i="28"/>
  <c r="A4" i="28"/>
  <c r="F3" i="28"/>
  <c r="E3" i="28"/>
  <c r="B3" i="28"/>
  <c r="A3" i="28"/>
  <c r="F2" i="28"/>
  <c r="E2" i="28"/>
  <c r="B2" i="28"/>
  <c r="C2" i="28" s="1"/>
  <c r="D3" i="28" s="1"/>
  <c r="A2" i="28"/>
  <c r="F26" i="26"/>
  <c r="E26" i="26"/>
  <c r="A26" i="26"/>
  <c r="F25" i="26"/>
  <c r="E25" i="26"/>
  <c r="B25" i="26"/>
  <c r="A25" i="26"/>
  <c r="F24" i="26"/>
  <c r="E24" i="26"/>
  <c r="B24" i="26"/>
  <c r="A24" i="26"/>
  <c r="F23" i="26"/>
  <c r="E23" i="26"/>
  <c r="B23" i="26"/>
  <c r="A23" i="26"/>
  <c r="F22" i="26"/>
  <c r="E22" i="26"/>
  <c r="B22" i="26"/>
  <c r="A22" i="26"/>
  <c r="F21" i="26"/>
  <c r="E21" i="26"/>
  <c r="B21" i="26"/>
  <c r="A21" i="26"/>
  <c r="F19" i="26"/>
  <c r="E19" i="26"/>
  <c r="A19" i="26"/>
  <c r="F18" i="26"/>
  <c r="E18" i="26"/>
  <c r="A18" i="26"/>
  <c r="F16" i="26"/>
  <c r="E16" i="26"/>
  <c r="A16" i="26"/>
  <c r="F15" i="26"/>
  <c r="E15" i="26"/>
  <c r="B15" i="26"/>
  <c r="A15" i="26"/>
  <c r="F14" i="26"/>
  <c r="E14" i="26"/>
  <c r="B14" i="26"/>
  <c r="A14" i="26"/>
  <c r="F13" i="26"/>
  <c r="E13" i="26"/>
  <c r="B13" i="26"/>
  <c r="F12" i="26"/>
  <c r="E12" i="26"/>
  <c r="F11" i="26"/>
  <c r="E11" i="26"/>
  <c r="B11" i="26"/>
  <c r="A11" i="26"/>
  <c r="F10" i="26"/>
  <c r="E10" i="26"/>
  <c r="B10" i="26"/>
  <c r="A10" i="26"/>
  <c r="F9" i="26"/>
  <c r="E9" i="26"/>
  <c r="B9" i="26"/>
  <c r="A9" i="26"/>
  <c r="F8" i="26"/>
  <c r="E8" i="26"/>
  <c r="B8" i="26"/>
  <c r="A8" i="26"/>
  <c r="B7" i="26"/>
  <c r="A7" i="26"/>
  <c r="F5" i="26"/>
  <c r="E5" i="26"/>
  <c r="B5" i="26"/>
  <c r="A5" i="26"/>
  <c r="F4" i="26"/>
  <c r="E4" i="26"/>
  <c r="A4" i="26"/>
  <c r="F2" i="26"/>
  <c r="E2" i="26"/>
  <c r="B2" i="26"/>
  <c r="C2" i="26" s="1"/>
  <c r="D3" i="26" s="1"/>
  <c r="C3" i="26" s="1"/>
  <c r="D4" i="26" s="1"/>
  <c r="C4" i="26" s="1"/>
  <c r="D5" i="26" s="1"/>
  <c r="A2" i="26"/>
  <c r="F52" i="24"/>
  <c r="E52" i="24"/>
  <c r="B52" i="24"/>
  <c r="A52" i="24"/>
  <c r="F51" i="24"/>
  <c r="E51" i="24"/>
  <c r="B51" i="24"/>
  <c r="A51" i="24"/>
  <c r="F50" i="24"/>
  <c r="E50" i="24"/>
  <c r="B50" i="24"/>
  <c r="A50" i="24"/>
  <c r="F49" i="24"/>
  <c r="E49" i="24"/>
  <c r="B49" i="24"/>
  <c r="A49" i="24"/>
  <c r="F48" i="24"/>
  <c r="E48" i="24"/>
  <c r="B48" i="24"/>
  <c r="A48" i="24"/>
  <c r="F47" i="24"/>
  <c r="E47" i="24"/>
  <c r="B47" i="24"/>
  <c r="A47" i="24"/>
  <c r="F46" i="24"/>
  <c r="E46" i="24"/>
  <c r="B46" i="24"/>
  <c r="A46" i="24"/>
  <c r="F45" i="24"/>
  <c r="E45" i="24"/>
  <c r="B45" i="24"/>
  <c r="A45" i="24"/>
  <c r="F44" i="24"/>
  <c r="E44" i="24"/>
  <c r="B44" i="24"/>
  <c r="A44" i="24"/>
  <c r="F43" i="24"/>
  <c r="E43" i="24"/>
  <c r="B43" i="24"/>
  <c r="A43" i="24"/>
  <c r="F42" i="24"/>
  <c r="E42" i="24"/>
  <c r="B42" i="24"/>
  <c r="A42" i="24"/>
  <c r="F41" i="24"/>
  <c r="E41" i="24"/>
  <c r="B41" i="24"/>
  <c r="A41" i="24"/>
  <c r="F40" i="24"/>
  <c r="E40" i="24"/>
  <c r="B40" i="24"/>
  <c r="A40" i="24"/>
  <c r="F39" i="24"/>
  <c r="E39" i="24"/>
  <c r="B39" i="24"/>
  <c r="A39" i="24"/>
  <c r="F38" i="24"/>
  <c r="E38" i="24"/>
  <c r="F37" i="24"/>
  <c r="E37" i="24"/>
  <c r="F36" i="24"/>
  <c r="E36" i="24"/>
  <c r="F34" i="24"/>
  <c r="E34" i="24"/>
  <c r="B34" i="24"/>
  <c r="A34" i="24"/>
  <c r="F33" i="24"/>
  <c r="E33" i="24"/>
  <c r="B33" i="24"/>
  <c r="A33" i="24"/>
  <c r="F32" i="24"/>
  <c r="E32" i="24"/>
  <c r="B32" i="24"/>
  <c r="A32" i="24"/>
  <c r="F31" i="24"/>
  <c r="E31" i="24"/>
  <c r="B31" i="24"/>
  <c r="A31" i="24"/>
  <c r="F30" i="24"/>
  <c r="E30" i="24"/>
  <c r="B30" i="24"/>
  <c r="A30" i="24"/>
  <c r="F29" i="24"/>
  <c r="E29" i="24"/>
  <c r="B29" i="24"/>
  <c r="A29" i="24"/>
  <c r="F28" i="24"/>
  <c r="E28" i="24"/>
  <c r="B28" i="24"/>
  <c r="A28" i="24"/>
  <c r="F27" i="24"/>
  <c r="E27" i="24"/>
  <c r="B27" i="24"/>
  <c r="A27" i="24"/>
  <c r="F26" i="24"/>
  <c r="E26" i="24"/>
  <c r="B26" i="24"/>
  <c r="A26" i="24"/>
  <c r="F25" i="24"/>
  <c r="E25" i="24"/>
  <c r="B25" i="24"/>
  <c r="A25" i="24"/>
  <c r="F24" i="24"/>
  <c r="E24" i="24"/>
  <c r="B24" i="24"/>
  <c r="A24" i="24"/>
  <c r="F23" i="24"/>
  <c r="E23" i="24"/>
  <c r="B23" i="24"/>
  <c r="A23" i="24"/>
  <c r="F22" i="24"/>
  <c r="E22" i="24"/>
  <c r="B22" i="24"/>
  <c r="A22" i="24"/>
  <c r="F21" i="24"/>
  <c r="E21" i="24"/>
  <c r="B21" i="24"/>
  <c r="A21" i="24"/>
  <c r="F20" i="24"/>
  <c r="E20" i="24"/>
  <c r="B20" i="24"/>
  <c r="A20" i="24"/>
  <c r="F19" i="24"/>
  <c r="E19" i="24"/>
  <c r="B19" i="24"/>
  <c r="F18" i="24"/>
  <c r="E18" i="24"/>
  <c r="B18" i="24"/>
  <c r="F16" i="24"/>
  <c r="E16" i="24"/>
  <c r="B16" i="24"/>
  <c r="A16" i="24"/>
  <c r="F15" i="24"/>
  <c r="E15" i="24"/>
  <c r="B15" i="24"/>
  <c r="A15" i="24"/>
  <c r="F14" i="24"/>
  <c r="E14" i="24"/>
  <c r="B14" i="24"/>
  <c r="A14" i="24"/>
  <c r="F13" i="24"/>
  <c r="E13" i="24"/>
  <c r="F12" i="24"/>
  <c r="E12" i="24"/>
  <c r="B12" i="24"/>
  <c r="A12" i="24"/>
  <c r="F11" i="24"/>
  <c r="E11" i="24"/>
  <c r="F9" i="24"/>
  <c r="E9" i="24"/>
  <c r="B9" i="24"/>
  <c r="A9" i="24"/>
  <c r="F8" i="24"/>
  <c r="E8" i="24"/>
  <c r="A8" i="24"/>
  <c r="F2" i="24"/>
  <c r="E2" i="24"/>
  <c r="B2" i="24"/>
  <c r="C2" i="24" s="1"/>
  <c r="D3" i="24" s="1"/>
  <c r="C3" i="24" s="1"/>
  <c r="D4" i="24" s="1"/>
  <c r="C4" i="24" s="1"/>
  <c r="D5" i="24" s="1"/>
  <c r="C5" i="24" s="1"/>
  <c r="D6" i="24" s="1"/>
  <c r="C6" i="24" s="1"/>
  <c r="D7" i="24" s="1"/>
  <c r="C7" i="24" s="1"/>
  <c r="D8" i="24" s="1"/>
  <c r="C8" i="24" s="1"/>
  <c r="D9" i="24" s="1"/>
  <c r="C9" i="24" s="1"/>
  <c r="D12" i="24" s="1"/>
  <c r="A2" i="24"/>
  <c r="F49" i="22"/>
  <c r="E49" i="22"/>
  <c r="A49" i="22"/>
  <c r="F48" i="22"/>
  <c r="E48" i="22"/>
  <c r="A48" i="22"/>
  <c r="F47" i="22"/>
  <c r="E47" i="22"/>
  <c r="A47" i="22"/>
  <c r="F44" i="22"/>
  <c r="E44" i="22"/>
  <c r="A44" i="22"/>
  <c r="F43" i="22"/>
  <c r="E43" i="22"/>
  <c r="A43" i="22"/>
  <c r="F42" i="22"/>
  <c r="E42" i="22"/>
  <c r="F41" i="22"/>
  <c r="E41" i="22"/>
  <c r="A41" i="22"/>
  <c r="F40" i="22"/>
  <c r="E40" i="22"/>
  <c r="A40" i="22"/>
  <c r="F39" i="22"/>
  <c r="E39" i="22"/>
  <c r="A39" i="22"/>
  <c r="F38" i="22"/>
  <c r="E38" i="22"/>
  <c r="A38" i="22"/>
  <c r="F37" i="22"/>
  <c r="E37" i="22"/>
  <c r="A37" i="22"/>
  <c r="F36" i="22"/>
  <c r="E36" i="22"/>
  <c r="A36" i="22"/>
  <c r="F35" i="22"/>
  <c r="E35" i="22"/>
  <c r="B35" i="22"/>
  <c r="A35" i="22"/>
  <c r="F34" i="22"/>
  <c r="E34" i="22"/>
  <c r="B34" i="22"/>
  <c r="A34" i="22"/>
  <c r="F33" i="22"/>
  <c r="E33" i="22"/>
  <c r="B33" i="22"/>
  <c r="A33" i="22"/>
  <c r="F32" i="22"/>
  <c r="E32" i="22"/>
  <c r="A32" i="22"/>
  <c r="F31" i="22"/>
  <c r="E31" i="22"/>
  <c r="A31" i="22"/>
  <c r="F30" i="22"/>
  <c r="E30" i="22"/>
  <c r="A30" i="22"/>
  <c r="F29" i="22"/>
  <c r="E29" i="22"/>
  <c r="A29" i="22"/>
  <c r="F28" i="22"/>
  <c r="E28" i="22"/>
  <c r="A28" i="22"/>
  <c r="F26" i="22"/>
  <c r="E26" i="22"/>
  <c r="A26" i="22"/>
  <c r="F25" i="22"/>
  <c r="E25" i="22"/>
  <c r="B25" i="22"/>
  <c r="A25" i="22"/>
  <c r="F24" i="22"/>
  <c r="E24" i="22"/>
  <c r="B24" i="22"/>
  <c r="A24" i="22"/>
  <c r="F23" i="22"/>
  <c r="E23" i="22"/>
  <c r="B23" i="22"/>
  <c r="A23" i="22"/>
  <c r="F22" i="22"/>
  <c r="E22" i="22"/>
  <c r="B22" i="22"/>
  <c r="A22" i="22"/>
  <c r="F21" i="22"/>
  <c r="E21" i="22"/>
  <c r="B21" i="22"/>
  <c r="A21" i="22"/>
  <c r="F20" i="22"/>
  <c r="E20" i="22"/>
  <c r="B20" i="22"/>
  <c r="A20" i="22"/>
  <c r="F19" i="22"/>
  <c r="E19" i="22"/>
  <c r="B19" i="22"/>
  <c r="A19" i="22"/>
  <c r="F18" i="22"/>
  <c r="E18" i="22"/>
  <c r="B18" i="22"/>
  <c r="A18" i="22"/>
  <c r="F17" i="22"/>
  <c r="E17" i="22"/>
  <c r="B17" i="22"/>
  <c r="A17" i="22"/>
  <c r="F15" i="22"/>
  <c r="E15" i="22"/>
  <c r="B15" i="22"/>
  <c r="F11" i="22"/>
  <c r="E11" i="22"/>
  <c r="F10" i="22"/>
  <c r="E10" i="22"/>
  <c r="B10" i="22"/>
  <c r="A10" i="22"/>
  <c r="F9" i="22"/>
  <c r="E9" i="22"/>
  <c r="B9" i="22"/>
  <c r="A9" i="22"/>
  <c r="F8" i="22"/>
  <c r="E8" i="22"/>
  <c r="B8" i="22"/>
  <c r="A8" i="22"/>
  <c r="F7" i="22"/>
  <c r="E7" i="22"/>
  <c r="B7" i="22"/>
  <c r="A7" i="22"/>
  <c r="F6" i="22"/>
  <c r="E6" i="22"/>
  <c r="B6" i="22"/>
  <c r="A6" i="22"/>
  <c r="F4" i="22"/>
  <c r="E4" i="22"/>
  <c r="F3" i="22"/>
  <c r="E3" i="22"/>
  <c r="B3" i="22"/>
  <c r="A3" i="22"/>
  <c r="F2" i="22"/>
  <c r="E2" i="22"/>
  <c r="B2" i="22"/>
  <c r="C2" i="22" s="1"/>
  <c r="D3" i="22" s="1"/>
  <c r="A2" i="22"/>
  <c r="F29" i="18"/>
  <c r="E29" i="18"/>
  <c r="F28" i="18"/>
  <c r="E28" i="18"/>
  <c r="F27" i="18"/>
  <c r="E27" i="18"/>
  <c r="F26" i="18"/>
  <c r="E26" i="18"/>
  <c r="B26" i="18"/>
  <c r="A26" i="18"/>
  <c r="F25" i="18"/>
  <c r="E25" i="18"/>
  <c r="B25" i="18"/>
  <c r="A25" i="18"/>
  <c r="F24" i="18"/>
  <c r="E24" i="18"/>
  <c r="B24" i="18"/>
  <c r="A24" i="18"/>
  <c r="F23" i="18"/>
  <c r="E23" i="18"/>
  <c r="B23" i="18"/>
  <c r="A23" i="18"/>
  <c r="F22" i="18"/>
  <c r="E22" i="18"/>
  <c r="B22" i="18"/>
  <c r="A22" i="18"/>
  <c r="F21" i="18"/>
  <c r="E21" i="18"/>
  <c r="B21" i="18"/>
  <c r="F20" i="18"/>
  <c r="E20" i="18"/>
  <c r="F18" i="18"/>
  <c r="E18" i="18"/>
  <c r="A18" i="18"/>
  <c r="F17" i="18"/>
  <c r="E17" i="18"/>
  <c r="B17" i="18"/>
  <c r="A17" i="18"/>
  <c r="F16" i="18"/>
  <c r="E16" i="18"/>
  <c r="B16" i="18"/>
  <c r="A16" i="18"/>
  <c r="F15" i="18"/>
  <c r="E15" i="18"/>
  <c r="B15" i="18"/>
  <c r="A15" i="18"/>
  <c r="F14" i="18"/>
  <c r="E14" i="18"/>
  <c r="F13" i="18"/>
  <c r="E13" i="18"/>
  <c r="B13" i="18"/>
  <c r="F12" i="18"/>
  <c r="E12" i="18"/>
  <c r="E10" i="18"/>
  <c r="F9" i="18"/>
  <c r="E9" i="18"/>
  <c r="B9" i="18"/>
  <c r="A9" i="18"/>
  <c r="F8" i="18"/>
  <c r="E8" i="18"/>
  <c r="B8" i="18"/>
  <c r="A8" i="18"/>
  <c r="F7" i="18"/>
  <c r="E7" i="18"/>
  <c r="B7" i="18"/>
  <c r="A7" i="18"/>
  <c r="B6" i="18"/>
  <c r="A6" i="18"/>
  <c r="F4" i="18"/>
  <c r="E4" i="18"/>
  <c r="B4" i="18"/>
  <c r="A4" i="18"/>
  <c r="F3" i="18"/>
  <c r="E3" i="18"/>
  <c r="B3" i="18"/>
  <c r="A3" i="18"/>
  <c r="F2" i="18"/>
  <c r="E2" i="18"/>
  <c r="B2" i="18"/>
  <c r="C2" i="18" s="1"/>
  <c r="D3" i="18" s="1"/>
  <c r="A2" i="18"/>
  <c r="F26" i="20"/>
  <c r="E26" i="20"/>
  <c r="B26" i="20"/>
  <c r="A26" i="20"/>
  <c r="F25" i="20"/>
  <c r="E25" i="20"/>
  <c r="B25" i="20"/>
  <c r="A25" i="20"/>
  <c r="F24" i="20"/>
  <c r="E24" i="20"/>
  <c r="B24" i="20"/>
  <c r="A24" i="20"/>
  <c r="F23" i="20"/>
  <c r="E23" i="20"/>
  <c r="B23" i="20"/>
  <c r="A23" i="20"/>
  <c r="F22" i="20"/>
  <c r="E22" i="20"/>
  <c r="B22" i="20"/>
  <c r="A22" i="20"/>
  <c r="F21" i="20"/>
  <c r="E21" i="20"/>
  <c r="B21" i="20"/>
  <c r="A21" i="20"/>
  <c r="F20" i="20"/>
  <c r="E20" i="20"/>
  <c r="B20" i="20"/>
  <c r="A20" i="20"/>
  <c r="F19" i="20"/>
  <c r="E19" i="20"/>
  <c r="B19" i="20"/>
  <c r="A19" i="20"/>
  <c r="F10" i="20"/>
  <c r="E10" i="20"/>
  <c r="B10" i="20"/>
  <c r="A10" i="20"/>
  <c r="F9" i="20"/>
  <c r="E9" i="20"/>
  <c r="B9" i="20"/>
  <c r="A9" i="20"/>
  <c r="F8" i="20"/>
  <c r="E8" i="20"/>
  <c r="B8" i="20"/>
  <c r="A8" i="20"/>
  <c r="F7" i="20"/>
  <c r="E7" i="20"/>
  <c r="B7" i="20"/>
  <c r="A7" i="20"/>
  <c r="F6" i="20"/>
  <c r="E6" i="20"/>
  <c r="B6" i="20"/>
  <c r="A6" i="20"/>
  <c r="F4" i="20"/>
  <c r="E4" i="20"/>
  <c r="B4" i="20"/>
  <c r="A4" i="20"/>
  <c r="F3" i="20"/>
  <c r="E3" i="20"/>
  <c r="B3" i="20"/>
  <c r="A3" i="20"/>
  <c r="F2" i="20"/>
  <c r="E2" i="20"/>
  <c r="C2" i="20"/>
  <c r="D3" i="20" s="1"/>
  <c r="C3" i="20" s="1"/>
  <c r="D4" i="20" s="1"/>
  <c r="A2" i="20"/>
  <c r="F23" i="16"/>
  <c r="E23" i="16"/>
  <c r="B23" i="16"/>
  <c r="A23" i="16"/>
  <c r="F22" i="16"/>
  <c r="E22" i="16"/>
  <c r="B22" i="16"/>
  <c r="A22" i="16"/>
  <c r="F21" i="16"/>
  <c r="E21" i="16"/>
  <c r="B21" i="16"/>
  <c r="A21" i="16"/>
  <c r="F20" i="16"/>
  <c r="E20" i="16"/>
  <c r="B20" i="16"/>
  <c r="F19" i="16"/>
  <c r="E19" i="16"/>
  <c r="B19" i="16"/>
  <c r="A19" i="16"/>
  <c r="F18" i="16"/>
  <c r="E18" i="16"/>
  <c r="B18" i="16"/>
  <c r="A18" i="16"/>
  <c r="F17" i="16"/>
  <c r="E17" i="16"/>
  <c r="B17" i="16"/>
  <c r="A17" i="16"/>
  <c r="F16" i="16"/>
  <c r="E16" i="16"/>
  <c r="B16" i="16"/>
  <c r="A16" i="16"/>
  <c r="F15" i="16"/>
  <c r="E15" i="16"/>
  <c r="F14" i="16"/>
  <c r="E14" i="16"/>
  <c r="A14" i="16"/>
  <c r="F13" i="16"/>
  <c r="E13" i="16"/>
  <c r="B13" i="16"/>
  <c r="A13" i="16"/>
  <c r="F12" i="16"/>
  <c r="E12" i="16"/>
  <c r="B12" i="16"/>
  <c r="A12" i="16"/>
  <c r="F10" i="16"/>
  <c r="E10" i="16"/>
  <c r="F9" i="16"/>
  <c r="E9" i="16"/>
  <c r="F7" i="16"/>
  <c r="E7" i="16"/>
  <c r="B7" i="16"/>
  <c r="A7" i="16"/>
  <c r="F6" i="16"/>
  <c r="E6" i="16"/>
  <c r="B6" i="16"/>
  <c r="A6" i="16"/>
  <c r="F4" i="16"/>
  <c r="E4" i="16"/>
  <c r="B4" i="16"/>
  <c r="A4" i="16"/>
  <c r="F3" i="16"/>
  <c r="E3" i="16"/>
  <c r="B3" i="16"/>
  <c r="A3" i="16"/>
  <c r="F2" i="16"/>
  <c r="E2" i="16"/>
  <c r="C2" i="16"/>
  <c r="D3" i="16" s="1"/>
  <c r="C3" i="16" s="1"/>
  <c r="D4" i="16" s="1"/>
  <c r="C4" i="16" s="1"/>
  <c r="A2" i="16"/>
  <c r="F32" i="14"/>
  <c r="E32" i="14"/>
  <c r="B32" i="14"/>
  <c r="A32" i="14"/>
  <c r="F31" i="14"/>
  <c r="E31" i="14"/>
  <c r="B31" i="14"/>
  <c r="A31" i="14"/>
  <c r="F30" i="14"/>
  <c r="E30" i="14"/>
  <c r="B30" i="14"/>
  <c r="A30" i="14"/>
  <c r="F29" i="14"/>
  <c r="E29" i="14"/>
  <c r="B29" i="14"/>
  <c r="A29" i="14"/>
  <c r="F28" i="14"/>
  <c r="E28" i="14"/>
  <c r="A28" i="14"/>
  <c r="F27" i="14"/>
  <c r="E27" i="14"/>
  <c r="A27" i="14"/>
  <c r="F26" i="14"/>
  <c r="E26" i="14"/>
  <c r="A26" i="14"/>
  <c r="F25" i="14"/>
  <c r="E25" i="14"/>
  <c r="A25" i="14"/>
  <c r="F24" i="14"/>
  <c r="E24" i="14"/>
  <c r="A24" i="14"/>
  <c r="F23" i="14"/>
  <c r="E23" i="14"/>
  <c r="A23" i="14"/>
  <c r="F22" i="14"/>
  <c r="E22" i="14"/>
  <c r="F17" i="14"/>
  <c r="E17" i="14"/>
  <c r="B17" i="14"/>
  <c r="A17" i="14"/>
  <c r="F16" i="14"/>
  <c r="E16" i="14"/>
  <c r="B16" i="14"/>
  <c r="A16" i="14"/>
  <c r="F15" i="14"/>
  <c r="E15" i="14"/>
  <c r="B15" i="14"/>
  <c r="F14" i="14"/>
  <c r="E14" i="14"/>
  <c r="F13" i="14"/>
  <c r="E13" i="14"/>
  <c r="B13" i="14"/>
  <c r="F11" i="14"/>
  <c r="F10" i="14"/>
  <c r="F9" i="14"/>
  <c r="F7" i="14"/>
  <c r="F6" i="14"/>
  <c r="F4" i="14"/>
  <c r="F3" i="14"/>
  <c r="F2" i="14"/>
  <c r="B2" i="14"/>
  <c r="A2" i="14"/>
  <c r="F36" i="12"/>
  <c r="E36" i="12"/>
  <c r="B36" i="12"/>
  <c r="A36" i="12"/>
  <c r="F35" i="12"/>
  <c r="E35" i="12"/>
  <c r="B35" i="12"/>
  <c r="A35" i="12"/>
  <c r="F34" i="12"/>
  <c r="E34" i="12"/>
  <c r="B34" i="12"/>
  <c r="A34" i="12"/>
  <c r="F32" i="12"/>
  <c r="E32" i="12"/>
  <c r="A32" i="12"/>
  <c r="F30" i="12"/>
  <c r="E30" i="12"/>
  <c r="B30" i="12"/>
  <c r="A30" i="12"/>
  <c r="F29" i="12"/>
  <c r="E29" i="12"/>
  <c r="B29" i="12"/>
  <c r="A29" i="12"/>
  <c r="F28" i="12"/>
  <c r="E28" i="12"/>
  <c r="B28" i="12"/>
  <c r="A28" i="12"/>
  <c r="F27" i="12"/>
  <c r="E27" i="12"/>
  <c r="B27" i="12"/>
  <c r="A27" i="12"/>
  <c r="F26" i="12"/>
  <c r="E26" i="12"/>
  <c r="B26" i="12"/>
  <c r="A26" i="12"/>
  <c r="F25" i="12"/>
  <c r="E25" i="12"/>
  <c r="B25" i="12"/>
  <c r="A25" i="12"/>
  <c r="F24" i="12"/>
  <c r="E24" i="12"/>
  <c r="B24" i="12"/>
  <c r="A24" i="12"/>
  <c r="F23" i="12"/>
  <c r="E23" i="12"/>
  <c r="B23" i="12"/>
  <c r="A23" i="12"/>
  <c r="F22" i="12"/>
  <c r="E22" i="12"/>
  <c r="B22" i="12"/>
  <c r="A22" i="12"/>
  <c r="F20" i="12"/>
  <c r="E20" i="12"/>
  <c r="F19" i="12"/>
  <c r="E19" i="12"/>
  <c r="B19" i="12"/>
  <c r="A19" i="12"/>
  <c r="F18" i="12"/>
  <c r="E18" i="12"/>
  <c r="B18" i="12"/>
  <c r="A18" i="12"/>
  <c r="F17" i="12"/>
  <c r="E17" i="12"/>
  <c r="B17" i="12"/>
  <c r="A17" i="12"/>
  <c r="F16" i="12"/>
  <c r="E16" i="12"/>
  <c r="B16" i="12"/>
  <c r="A16" i="12"/>
  <c r="F15" i="12"/>
  <c r="E15" i="12"/>
  <c r="B15" i="12"/>
  <c r="A15" i="12"/>
  <c r="F13" i="12"/>
  <c r="E13" i="12"/>
  <c r="B13" i="12"/>
  <c r="A13" i="12"/>
  <c r="F12" i="12"/>
  <c r="E12" i="12"/>
  <c r="A12" i="12"/>
  <c r="F9" i="12"/>
  <c r="F2" i="12"/>
  <c r="E2" i="12"/>
  <c r="D2" i="12"/>
  <c r="B2" i="12"/>
  <c r="A2" i="12"/>
  <c r="F10" i="12"/>
  <c r="E10" i="12"/>
  <c r="F42" i="10"/>
  <c r="E42" i="10"/>
  <c r="F41" i="10"/>
  <c r="E41" i="10"/>
  <c r="B41" i="10"/>
  <c r="A41" i="10"/>
  <c r="F40" i="10"/>
  <c r="E40" i="10"/>
  <c r="A40" i="10"/>
  <c r="F39" i="10"/>
  <c r="E39" i="10"/>
  <c r="A39" i="10"/>
  <c r="F38" i="10"/>
  <c r="E38" i="10"/>
  <c r="A38" i="10"/>
  <c r="F37" i="10"/>
  <c r="E37" i="10"/>
  <c r="A37" i="10"/>
  <c r="F36" i="10"/>
  <c r="E36" i="10"/>
  <c r="F35" i="10"/>
  <c r="E35" i="10"/>
  <c r="A35" i="10"/>
  <c r="F34" i="10"/>
  <c r="E34" i="10"/>
  <c r="A34" i="10"/>
  <c r="F33" i="10"/>
  <c r="E33" i="10"/>
  <c r="A33" i="10"/>
  <c r="F32" i="10"/>
  <c r="E32" i="10"/>
  <c r="A32" i="10"/>
  <c r="F31" i="10"/>
  <c r="E31" i="10"/>
  <c r="A31" i="10"/>
  <c r="E30" i="10"/>
  <c r="F28" i="10"/>
  <c r="E28" i="10"/>
  <c r="F27" i="10"/>
  <c r="E27" i="10"/>
  <c r="B27" i="10"/>
  <c r="A27" i="10"/>
  <c r="F26" i="10"/>
  <c r="E26" i="10"/>
  <c r="B26" i="10"/>
  <c r="A26" i="10"/>
  <c r="F24" i="10"/>
  <c r="E24" i="10"/>
  <c r="B24" i="10"/>
  <c r="A24" i="10"/>
  <c r="F23" i="10"/>
  <c r="E23" i="10"/>
  <c r="B23" i="10"/>
  <c r="A23" i="10"/>
  <c r="F21" i="10"/>
  <c r="E21" i="10"/>
  <c r="F20" i="10"/>
  <c r="E20" i="10"/>
  <c r="F19" i="10"/>
  <c r="E19" i="10"/>
  <c r="A19" i="10"/>
  <c r="F17" i="10"/>
  <c r="E17" i="10"/>
  <c r="B17" i="10"/>
  <c r="A17" i="10"/>
  <c r="F16" i="10"/>
  <c r="E16" i="10"/>
  <c r="B16" i="10"/>
  <c r="F15" i="10"/>
  <c r="E15" i="10"/>
  <c r="B15" i="10"/>
  <c r="A15" i="10"/>
  <c r="F13" i="10"/>
  <c r="E13" i="10"/>
  <c r="A13" i="10"/>
  <c r="F12" i="10"/>
  <c r="E12" i="10"/>
  <c r="B12" i="10"/>
  <c r="A12" i="10"/>
  <c r="F10" i="10"/>
  <c r="E10" i="10"/>
  <c r="B10" i="10"/>
  <c r="A10" i="10"/>
  <c r="F9" i="10"/>
  <c r="E9" i="10"/>
  <c r="F8" i="10"/>
  <c r="F2" i="10"/>
  <c r="E2" i="10"/>
  <c r="C2" i="10"/>
  <c r="D3" i="10" s="1"/>
  <c r="C3" i="10" s="1"/>
  <c r="D4" i="10" s="1"/>
  <c r="C4" i="10" s="1"/>
  <c r="D5" i="10" s="1"/>
  <c r="C5" i="10" s="1"/>
  <c r="D6" i="10" s="1"/>
  <c r="C6" i="10" s="1"/>
  <c r="D7" i="10" s="1"/>
  <c r="C7" i="10" s="1"/>
  <c r="D8" i="10" s="1"/>
  <c r="C8" i="10" s="1"/>
  <c r="D9" i="10" s="1"/>
  <c r="C9" i="10" s="1"/>
  <c r="D10" i="10" s="1"/>
  <c r="B2" i="10"/>
  <c r="A2" i="10"/>
  <c r="F57" i="8"/>
  <c r="B57" i="8"/>
  <c r="A57" i="8"/>
  <c r="F56" i="8"/>
  <c r="B56" i="8"/>
  <c r="A56" i="8"/>
  <c r="F55" i="8"/>
  <c r="B55" i="8"/>
  <c r="A55" i="8"/>
  <c r="F54" i="8"/>
  <c r="B54" i="8"/>
  <c r="A54" i="8"/>
  <c r="F53" i="8"/>
  <c r="B53" i="8"/>
  <c r="A53" i="8"/>
  <c r="F51" i="8"/>
  <c r="B51" i="8"/>
  <c r="A51" i="8"/>
  <c r="F50" i="8"/>
  <c r="B50" i="8"/>
  <c r="A50" i="8"/>
  <c r="F49" i="8"/>
  <c r="B49" i="8"/>
  <c r="A49" i="8"/>
  <c r="F48" i="8"/>
  <c r="B48" i="8"/>
  <c r="A48" i="8"/>
  <c r="F47" i="8"/>
  <c r="B47" i="8"/>
  <c r="A47" i="8"/>
  <c r="F46" i="8"/>
  <c r="B46" i="8"/>
  <c r="A46" i="8"/>
  <c r="F45" i="8"/>
  <c r="B45" i="8"/>
  <c r="A45" i="8"/>
  <c r="F44" i="8"/>
  <c r="B44" i="8"/>
  <c r="F43" i="8"/>
  <c r="B43" i="8"/>
  <c r="F41" i="8"/>
  <c r="B41" i="8"/>
  <c r="A41" i="8"/>
  <c r="F40" i="8"/>
  <c r="B40" i="8"/>
  <c r="A40" i="8"/>
  <c r="F39" i="8"/>
  <c r="B39" i="8"/>
  <c r="A39" i="8"/>
  <c r="F38" i="8"/>
  <c r="B38" i="8"/>
  <c r="A38" i="8"/>
  <c r="F36" i="8"/>
  <c r="A36" i="8"/>
  <c r="F35" i="8"/>
  <c r="F34" i="8"/>
  <c r="B34" i="8"/>
  <c r="A34" i="8"/>
  <c r="F33" i="8"/>
  <c r="B33" i="8"/>
  <c r="A33" i="8"/>
  <c r="F32" i="8"/>
  <c r="B32" i="8"/>
  <c r="A32" i="8"/>
  <c r="F31" i="8"/>
  <c r="B31" i="8"/>
  <c r="A31" i="8"/>
  <c r="F30" i="8"/>
  <c r="B30" i="8"/>
  <c r="A30" i="8"/>
  <c r="F29" i="8"/>
  <c r="B29" i="8"/>
  <c r="A29" i="8"/>
  <c r="F28" i="8"/>
  <c r="B28" i="8"/>
  <c r="A28" i="8"/>
  <c r="F27" i="8"/>
  <c r="B27" i="8"/>
  <c r="A27" i="8"/>
  <c r="F26" i="8"/>
  <c r="B26" i="8"/>
  <c r="A26" i="8"/>
  <c r="F25" i="8"/>
  <c r="B25" i="8"/>
  <c r="A25" i="8"/>
  <c r="F24" i="8"/>
  <c r="B24" i="8"/>
  <c r="A24" i="8"/>
  <c r="F23" i="8"/>
  <c r="B23" i="8"/>
  <c r="A23" i="8"/>
  <c r="F17" i="8"/>
  <c r="B17" i="8"/>
  <c r="F16" i="8"/>
  <c r="B16" i="8"/>
  <c r="F15" i="8"/>
  <c r="B15" i="8"/>
  <c r="A15" i="8"/>
  <c r="F14" i="8"/>
  <c r="B14" i="8"/>
  <c r="A14" i="8"/>
  <c r="F11" i="8"/>
  <c r="B11" i="8"/>
  <c r="A11" i="8"/>
  <c r="F10" i="8"/>
  <c r="A10" i="8"/>
  <c r="F9" i="8"/>
  <c r="F8" i="8"/>
  <c r="F2" i="8"/>
  <c r="B2" i="8"/>
  <c r="C2" i="8" s="1"/>
  <c r="D3" i="8" s="1"/>
  <c r="C3" i="8" s="1"/>
  <c r="D4" i="8" s="1"/>
  <c r="C4" i="8" s="1"/>
  <c r="D5" i="8" s="1"/>
  <c r="C5" i="8" s="1"/>
  <c r="D6" i="8" s="1"/>
  <c r="C6" i="8" s="1"/>
  <c r="D7" i="8" s="1"/>
  <c r="C7" i="8" s="1"/>
  <c r="D8" i="8" s="1"/>
  <c r="C8" i="8" s="1"/>
  <c r="D9" i="8" s="1"/>
  <c r="C9" i="8" s="1"/>
  <c r="D10" i="8" s="1"/>
  <c r="C10" i="8" s="1"/>
  <c r="D11" i="8" s="1"/>
  <c r="A2" i="8"/>
  <c r="C2" i="6"/>
  <c r="D7" i="34" l="1"/>
  <c r="C7" i="34" s="1"/>
  <c r="D8" i="34" s="1"/>
  <c r="C8" i="34" s="1"/>
  <c r="D9" i="34" s="1"/>
  <c r="C9" i="34" s="1"/>
  <c r="D10" i="34" s="1"/>
  <c r="C10" i="34" s="1"/>
  <c r="D11" i="34" s="1"/>
  <c r="C11" i="34" s="1"/>
  <c r="D12" i="34" s="1"/>
  <c r="C12" i="34" s="1"/>
  <c r="D5" i="34"/>
  <c r="C12" i="24"/>
  <c r="D13" i="24" s="1"/>
  <c r="C13" i="24" s="1"/>
  <c r="D14" i="24" s="1"/>
  <c r="C14" i="24" s="1"/>
  <c r="D15" i="24" s="1"/>
  <c r="C15" i="24" s="1"/>
  <c r="D16" i="24" s="1"/>
  <c r="C16" i="24" s="1"/>
  <c r="D17" i="24" s="1"/>
  <c r="C17" i="24" s="1"/>
  <c r="D18" i="24" s="1"/>
  <c r="C18" i="24" s="1"/>
  <c r="D19" i="24" s="1"/>
  <c r="C19" i="24" s="1"/>
  <c r="D20" i="24" s="1"/>
  <c r="C20" i="24" s="1"/>
  <c r="D21" i="24" s="1"/>
  <c r="C21" i="24" s="1"/>
  <c r="D22" i="24" s="1"/>
  <c r="C22" i="24" s="1"/>
  <c r="D23" i="24" s="1"/>
  <c r="C23" i="24" s="1"/>
  <c r="D24" i="24" s="1"/>
  <c r="C24" i="24" s="1"/>
  <c r="D25" i="24" s="1"/>
  <c r="C25" i="24" s="1"/>
  <c r="D26" i="24" s="1"/>
  <c r="C26" i="24" s="1"/>
  <c r="D27" i="24" s="1"/>
  <c r="C27" i="24" s="1"/>
  <c r="D28" i="24" s="1"/>
  <c r="C28" i="24" s="1"/>
  <c r="D29" i="24" s="1"/>
  <c r="C29" i="24" s="1"/>
  <c r="D30" i="24" s="1"/>
  <c r="C30" i="24" s="1"/>
  <c r="D31" i="24" s="1"/>
  <c r="C31" i="24" s="1"/>
  <c r="D32" i="24" s="1"/>
  <c r="C32" i="24" s="1"/>
  <c r="D33" i="24" s="1"/>
  <c r="C33" i="24" s="1"/>
  <c r="D34" i="24" s="1"/>
  <c r="C34" i="24" s="1"/>
  <c r="D35" i="24" s="1"/>
  <c r="C35" i="24" s="1"/>
  <c r="D36" i="24" s="1"/>
  <c r="C36" i="24" s="1"/>
  <c r="D37" i="24" s="1"/>
  <c r="C37" i="24" s="1"/>
  <c r="D38" i="24" s="1"/>
  <c r="C38" i="24" s="1"/>
  <c r="D39" i="24" s="1"/>
  <c r="C39" i="24" s="1"/>
  <c r="D40" i="24" s="1"/>
  <c r="C40" i="24" s="1"/>
  <c r="D41" i="24" s="1"/>
  <c r="C41" i="24" s="1"/>
  <c r="D42" i="24" s="1"/>
  <c r="C42" i="24" s="1"/>
  <c r="D43" i="24" s="1"/>
  <c r="C43" i="24" s="1"/>
  <c r="D44" i="24" s="1"/>
  <c r="C44" i="24" s="1"/>
  <c r="D45" i="24" s="1"/>
  <c r="C45" i="24" s="1"/>
  <c r="D46" i="24" s="1"/>
  <c r="C46" i="24" s="1"/>
  <c r="D47" i="24" s="1"/>
  <c r="C47" i="24" s="1"/>
  <c r="D48" i="24" s="1"/>
  <c r="C48" i="24" s="1"/>
  <c r="D49" i="24" s="1"/>
  <c r="C49" i="24" s="1"/>
  <c r="D50" i="24" s="1"/>
  <c r="C50" i="24" s="1"/>
  <c r="D51" i="24" s="1"/>
  <c r="C51" i="24" s="1"/>
  <c r="D52" i="24" s="1"/>
  <c r="C52" i="24" s="1"/>
  <c r="D53" i="24" s="1"/>
  <c r="C53" i="24" s="1"/>
  <c r="D7" i="16"/>
  <c r="C7" i="16" s="1"/>
  <c r="D8" i="16" s="1"/>
  <c r="C8" i="16" s="1"/>
  <c r="D9" i="16" s="1"/>
  <c r="C9" i="16" s="1"/>
  <c r="D10" i="16" s="1"/>
  <c r="C10" i="16" s="1"/>
  <c r="D11" i="16" s="1"/>
  <c r="C11" i="16" s="1"/>
  <c r="D12" i="16" s="1"/>
  <c r="C12" i="16" s="1"/>
  <c r="D13" i="16" s="1"/>
  <c r="C3" i="30"/>
  <c r="D4" i="30" s="1"/>
  <c r="C10" i="10"/>
  <c r="D13" i="10" s="1"/>
  <c r="C13" i="10" s="1"/>
  <c r="D14" i="10" s="1"/>
  <c r="C14" i="10" s="1"/>
  <c r="D15" i="10" s="1"/>
  <c r="C15" i="10" s="1"/>
  <c r="D16" i="10" s="1"/>
  <c r="C16" i="10" s="1"/>
  <c r="D17" i="10" s="1"/>
  <c r="C17" i="10" s="1"/>
  <c r="D18" i="10" s="1"/>
  <c r="C18" i="10" s="1"/>
  <c r="D19" i="10" s="1"/>
  <c r="C19" i="10" s="1"/>
  <c r="D20" i="10" s="1"/>
  <c r="C20" i="10" s="1"/>
  <c r="D21" i="10" s="1"/>
  <c r="C21" i="10" s="1"/>
  <c r="D22" i="10" s="1"/>
  <c r="C22" i="10" s="1"/>
  <c r="D23" i="10" s="1"/>
  <c r="C23" i="10" s="1"/>
  <c r="D24" i="10" s="1"/>
  <c r="C24" i="10" s="1"/>
  <c r="D25" i="10" s="1"/>
  <c r="C25" i="10" s="1"/>
  <c r="D26" i="10" s="1"/>
  <c r="C26" i="10" s="1"/>
  <c r="D27" i="10" s="1"/>
  <c r="C27" i="10" s="1"/>
  <c r="D28" i="10" s="1"/>
  <c r="C28" i="10" s="1"/>
  <c r="D29" i="10" s="1"/>
  <c r="C29" i="10" s="1"/>
  <c r="D30" i="10" s="1"/>
  <c r="C30" i="10" s="1"/>
  <c r="D31" i="10" s="1"/>
  <c r="C31" i="10" s="1"/>
  <c r="D32" i="10" s="1"/>
  <c r="C32" i="10" s="1"/>
  <c r="D33" i="10" s="1"/>
  <c r="C33" i="10" s="1"/>
  <c r="D34" i="10" s="1"/>
  <c r="C34" i="10" s="1"/>
  <c r="D35" i="10" s="1"/>
  <c r="C35" i="10" s="1"/>
  <c r="D36" i="10" s="1"/>
  <c r="C36" i="10" s="1"/>
  <c r="D37" i="10" s="1"/>
  <c r="C37" i="10" s="1"/>
  <c r="D38" i="10" s="1"/>
  <c r="C38" i="10" s="1"/>
  <c r="D39" i="10" s="1"/>
  <c r="C39" i="10" s="1"/>
  <c r="D40" i="10" s="1"/>
  <c r="C40" i="10" s="1"/>
  <c r="D41" i="10" s="1"/>
  <c r="C41" i="10" s="1"/>
  <c r="D42" i="10" s="1"/>
  <c r="C42" i="10" s="1"/>
  <c r="C3" i="28"/>
  <c r="D4" i="28" s="1"/>
  <c r="C4" i="28" s="1"/>
  <c r="D7" i="28" s="1"/>
  <c r="C7" i="28" s="1"/>
  <c r="D8" i="28" s="1"/>
  <c r="C8" i="28" s="1"/>
  <c r="D9" i="28" s="1"/>
  <c r="C9" i="28" s="1"/>
  <c r="D10" i="28" s="1"/>
  <c r="C10" i="28" s="1"/>
  <c r="D11" i="28" s="1"/>
  <c r="C11" i="28" s="1"/>
  <c r="D12" i="28" s="1"/>
  <c r="C12" i="28" s="1"/>
  <c r="D13" i="28" s="1"/>
  <c r="C13" i="28" s="1"/>
  <c r="D14" i="28" s="1"/>
  <c r="C14" i="28" s="1"/>
  <c r="D15" i="28" s="1"/>
  <c r="C15" i="28" s="1"/>
  <c r="D16" i="28" s="1"/>
  <c r="C16" i="28" s="1"/>
  <c r="D17" i="28" s="1"/>
  <c r="C17" i="28" s="1"/>
  <c r="D18" i="28" s="1"/>
  <c r="C18" i="28" s="1"/>
  <c r="D19" i="28" s="1"/>
  <c r="C19" i="28" s="1"/>
  <c r="D20" i="28" s="1"/>
  <c r="C20" i="28" s="1"/>
  <c r="D21" i="28" s="1"/>
  <c r="C21" i="28" s="1"/>
  <c r="D22" i="28" s="1"/>
  <c r="C22" i="28" s="1"/>
  <c r="D23" i="28" s="1"/>
  <c r="C23" i="28" s="1"/>
  <c r="D24" i="28" s="1"/>
  <c r="C24" i="28" s="1"/>
  <c r="D25" i="28" s="1"/>
  <c r="C25" i="28" s="1"/>
  <c r="D26" i="28" s="1"/>
  <c r="C26" i="28" s="1"/>
  <c r="D27" i="28" s="1"/>
  <c r="C27" i="28" s="1"/>
  <c r="D28" i="28" s="1"/>
  <c r="C28" i="28" s="1"/>
  <c r="D29" i="28" s="1"/>
  <c r="C29" i="28" s="1"/>
  <c r="D30" i="28" s="1"/>
  <c r="C30" i="28" s="1"/>
  <c r="C11" i="8"/>
  <c r="D12" i="8" s="1"/>
  <c r="C12" i="8" s="1"/>
  <c r="D13" i="8" s="1"/>
  <c r="C13" i="8" s="1"/>
  <c r="D14" i="8" s="1"/>
  <c r="C14" i="8" s="1"/>
  <c r="D15" i="8" s="1"/>
  <c r="C15" i="8" s="1"/>
  <c r="D16" i="8" s="1"/>
  <c r="C16" i="8" s="1"/>
  <c r="D17" i="8" s="1"/>
  <c r="C17" i="8" s="1"/>
  <c r="D18" i="8" s="1"/>
  <c r="C18" i="8" s="1"/>
  <c r="D19" i="8" s="1"/>
  <c r="C19" i="8" s="1"/>
  <c r="C5" i="26"/>
  <c r="D8" i="26" s="1"/>
  <c r="C8" i="26" s="1"/>
  <c r="D9" i="26" s="1"/>
  <c r="C9" i="26" s="1"/>
  <c r="D10" i="26" s="1"/>
  <c r="C10" i="26" s="1"/>
  <c r="D11" i="26" s="1"/>
  <c r="C11" i="26" s="1"/>
  <c r="D12" i="26" s="1"/>
  <c r="C12" i="26" s="1"/>
  <c r="D13" i="26" s="1"/>
  <c r="C13" i="26" s="1"/>
  <c r="D14" i="26" s="1"/>
  <c r="C14" i="26" s="1"/>
  <c r="D15" i="26" s="1"/>
  <c r="C15" i="26" s="1"/>
  <c r="D16" i="26" s="1"/>
  <c r="C16" i="26" s="1"/>
  <c r="D17" i="26" s="1"/>
  <c r="C17" i="26" s="1"/>
  <c r="D18" i="26" s="1"/>
  <c r="C18" i="26" s="1"/>
  <c r="D19" i="26" s="1"/>
  <c r="C19" i="26" s="1"/>
  <c r="D20" i="26" s="1"/>
  <c r="C20" i="26" s="1"/>
  <c r="D21" i="26" s="1"/>
  <c r="C21" i="26" s="1"/>
  <c r="D22" i="26" s="1"/>
  <c r="C22" i="26" s="1"/>
  <c r="D23" i="26" s="1"/>
  <c r="C23" i="26" s="1"/>
  <c r="D24" i="26" s="1"/>
  <c r="C24" i="26" s="1"/>
  <c r="D25" i="26" s="1"/>
  <c r="C25" i="26" s="1"/>
  <c r="D26" i="26" s="1"/>
  <c r="C26" i="26" s="1"/>
  <c r="C3" i="18"/>
  <c r="D4" i="18" s="1"/>
  <c r="C4" i="18" s="1"/>
  <c r="D7" i="18" s="1"/>
  <c r="C7" i="18" s="1"/>
  <c r="D8" i="18" s="1"/>
  <c r="C8" i="18" s="1"/>
  <c r="D9" i="18" s="1"/>
  <c r="C9" i="18" s="1"/>
  <c r="D10" i="18" s="1"/>
  <c r="C10" i="18" s="1"/>
  <c r="C3" i="22"/>
  <c r="D4" i="22" s="1"/>
  <c r="C4" i="22" s="1"/>
  <c r="C4" i="30"/>
  <c r="D7" i="30" s="1"/>
  <c r="C7" i="30" s="1"/>
  <c r="D8" i="30" s="1"/>
  <c r="C8" i="30" s="1"/>
  <c r="D9" i="30" s="1"/>
  <c r="C9" i="30" s="1"/>
  <c r="D10" i="30" s="1"/>
  <c r="C10" i="30" s="1"/>
  <c r="D11" i="30" s="1"/>
  <c r="C11" i="30" s="1"/>
  <c r="D12" i="30" s="1"/>
  <c r="C12" i="30" s="1"/>
  <c r="D13" i="30" s="1"/>
  <c r="C13" i="30" s="1"/>
  <c r="D14" i="30" s="1"/>
  <c r="C14" i="30" s="1"/>
  <c r="D15" i="30" s="1"/>
  <c r="C15" i="30" s="1"/>
  <c r="D16" i="30" s="1"/>
  <c r="C16" i="30" s="1"/>
  <c r="D17" i="30" s="1"/>
  <c r="C17" i="30" s="1"/>
  <c r="D18" i="30" s="1"/>
  <c r="C18" i="30" s="1"/>
  <c r="D19" i="30" s="1"/>
  <c r="C19" i="30" s="1"/>
  <c r="D20" i="30" s="1"/>
  <c r="C20" i="30" s="1"/>
  <c r="D21" i="30" s="1"/>
  <c r="C21" i="30" s="1"/>
  <c r="D22" i="30" s="1"/>
  <c r="C22" i="30" s="1"/>
  <c r="D23" i="30" s="1"/>
  <c r="C23" i="30" s="1"/>
  <c r="D24" i="30" s="1"/>
  <c r="C24" i="30" s="1"/>
  <c r="D25" i="30" s="1"/>
  <c r="C25" i="30" s="1"/>
  <c r="D26" i="30" s="1"/>
  <c r="C26" i="30" s="1"/>
  <c r="D27" i="30" s="1"/>
  <c r="C27" i="30" s="1"/>
  <c r="D28" i="30" s="1"/>
  <c r="C28" i="30" s="1"/>
  <c r="C4" i="20"/>
  <c r="D7" i="20" s="1"/>
  <c r="C7" i="20" s="1"/>
  <c r="D8" i="20" s="1"/>
  <c r="C8" i="20" s="1"/>
  <c r="D9" i="20" s="1"/>
  <c r="C9" i="20" s="1"/>
  <c r="D10" i="20" s="1"/>
  <c r="C10" i="20" s="1"/>
  <c r="D11" i="20" s="1"/>
  <c r="C11" i="20" s="1"/>
  <c r="D12" i="20" s="1"/>
  <c r="C12" i="20" s="1"/>
  <c r="D13" i="20" s="1"/>
  <c r="C13" i="20" s="1"/>
  <c r="D14" i="20" s="1"/>
  <c r="C14" i="20" s="1"/>
  <c r="D15" i="20" s="1"/>
  <c r="C15" i="20" s="1"/>
  <c r="D16" i="20" s="1"/>
  <c r="C16" i="20" s="1"/>
  <c r="D17" i="20" s="1"/>
  <c r="C17" i="20" s="1"/>
  <c r="D18" i="20" s="1"/>
  <c r="C18" i="20" s="1"/>
  <c r="D19" i="20" s="1"/>
  <c r="C19" i="20" s="1"/>
  <c r="D20" i="20" s="1"/>
  <c r="C20" i="20" s="1"/>
  <c r="D21" i="20" s="1"/>
  <c r="C21" i="20" s="1"/>
  <c r="D22" i="20" s="1"/>
  <c r="C22" i="20" s="1"/>
  <c r="D23" i="20" s="1"/>
  <c r="C23" i="20" s="1"/>
  <c r="D24" i="20" s="1"/>
  <c r="C24" i="20" s="1"/>
  <c r="D25" i="20" s="1"/>
  <c r="C25" i="20" s="1"/>
  <c r="D26" i="20" s="1"/>
  <c r="C26" i="20" s="1"/>
  <c r="J33" i="38"/>
  <c r="I33" i="38" s="1"/>
  <c r="J34" i="38" s="1"/>
  <c r="I34" i="38" s="1"/>
  <c r="J35" i="38" s="1"/>
  <c r="I35" i="38" s="1"/>
  <c r="J36" i="38" s="1"/>
  <c r="I36" i="38" s="1"/>
  <c r="J37" i="38" s="1"/>
  <c r="I37" i="38" s="1"/>
  <c r="J38" i="38" s="1"/>
  <c r="I38" i="38" s="1"/>
  <c r="J39" i="38" s="1"/>
  <c r="I39" i="38" s="1"/>
  <c r="C13" i="16"/>
  <c r="D14" i="16" s="1"/>
  <c r="C14" i="16" s="1"/>
  <c r="D15" i="16" s="1"/>
  <c r="C15" i="16" s="1"/>
  <c r="D16" i="16" s="1"/>
  <c r="C16" i="16" s="1"/>
  <c r="D17" i="16" s="1"/>
  <c r="C17" i="16" s="1"/>
  <c r="D18" i="16" s="1"/>
  <c r="C18" i="16" s="1"/>
  <c r="D19" i="16" s="1"/>
  <c r="C19" i="16" s="1"/>
  <c r="D20" i="16" s="1"/>
  <c r="C20" i="16" s="1"/>
  <c r="D21" i="16" s="1"/>
  <c r="C21" i="16" s="1"/>
  <c r="D22" i="16" s="1"/>
  <c r="C22" i="16" s="1"/>
  <c r="D23" i="16" s="1"/>
  <c r="C23" i="16" s="1"/>
  <c r="C3" i="32"/>
  <c r="D4" i="32" s="1"/>
  <c r="C4" i="32" s="1"/>
  <c r="D7" i="32" s="1"/>
  <c r="C7" i="32" s="1"/>
  <c r="D8" i="32" s="1"/>
  <c r="C8" i="32" s="1"/>
  <c r="D9" i="32" s="1"/>
  <c r="C9" i="32" s="1"/>
  <c r="D10" i="32" s="1"/>
  <c r="C10" i="32" s="1"/>
  <c r="D11" i="32" s="1"/>
  <c r="C11" i="32" s="1"/>
  <c r="D12" i="32" s="1"/>
  <c r="C12" i="32" s="1"/>
  <c r="D13" i="32" s="1"/>
  <c r="C13" i="32" s="1"/>
  <c r="D14" i="32" s="1"/>
  <c r="C14" i="32" s="1"/>
  <c r="D15" i="32" s="1"/>
  <c r="C15" i="32" s="1"/>
  <c r="D16" i="32" s="1"/>
  <c r="C16" i="32" s="1"/>
  <c r="D17" i="32" s="1"/>
  <c r="C17" i="32" s="1"/>
  <c r="D18" i="32" s="1"/>
  <c r="C18" i="32" s="1"/>
  <c r="D19" i="32" s="1"/>
  <c r="C19" i="32" s="1"/>
  <c r="D20" i="32" s="1"/>
  <c r="C20" i="32" s="1"/>
  <c r="C2" i="12"/>
  <c r="D3" i="12" s="1"/>
  <c r="C3" i="12" s="1"/>
  <c r="D4" i="12" s="1"/>
  <c r="C4" i="12" s="1"/>
  <c r="D5" i="12" s="1"/>
  <c r="C5" i="12" s="1"/>
  <c r="D6" i="12" s="1"/>
  <c r="C6" i="12" s="1"/>
  <c r="D7" i="12" s="1"/>
  <c r="C7" i="12" s="1"/>
  <c r="D3" i="6"/>
  <c r="D5" i="22" l="1"/>
  <c r="C5" i="22" s="1"/>
  <c r="D6" i="22" s="1"/>
  <c r="C6" i="22" s="1"/>
  <c r="D7" i="22" s="1"/>
  <c r="C7" i="22" s="1"/>
  <c r="D8" i="22" s="1"/>
  <c r="C8" i="22" s="1"/>
  <c r="D9" i="22" s="1"/>
  <c r="C9" i="22" s="1"/>
  <c r="D10" i="22" s="1"/>
  <c r="C10" i="22" s="1"/>
  <c r="D11" i="22" s="1"/>
  <c r="C11" i="22" s="1"/>
  <c r="D12" i="22" s="1"/>
  <c r="C12" i="22" s="1"/>
  <c r="D15" i="22" s="1"/>
  <c r="C15" i="22" s="1"/>
  <c r="D16" i="22" s="1"/>
  <c r="C16" i="22" s="1"/>
  <c r="D17" i="22" s="1"/>
  <c r="C17" i="22" s="1"/>
  <c r="D18" i="22" s="1"/>
  <c r="C18" i="22" s="1"/>
  <c r="D19" i="22" s="1"/>
  <c r="C19" i="22" s="1"/>
  <c r="D20" i="22" s="1"/>
  <c r="C20" i="22" s="1"/>
  <c r="D21" i="22" s="1"/>
  <c r="C21" i="22" s="1"/>
  <c r="D22" i="22" s="1"/>
  <c r="C22" i="22" s="1"/>
  <c r="D23" i="22" s="1"/>
  <c r="C23" i="22" s="1"/>
  <c r="D24" i="22" s="1"/>
  <c r="C24" i="22" s="1"/>
  <c r="D25" i="22" s="1"/>
  <c r="C25" i="22" s="1"/>
  <c r="D26" i="22" s="1"/>
  <c r="C26" i="22" s="1"/>
  <c r="D27" i="22" s="1"/>
  <c r="C27" i="22" s="1"/>
  <c r="D28" i="22" s="1"/>
  <c r="C28" i="22" s="1"/>
  <c r="D29" i="22" s="1"/>
  <c r="C29" i="22" s="1"/>
  <c r="D30" i="22" s="1"/>
  <c r="C30" i="22" s="1"/>
  <c r="D31" i="22" s="1"/>
  <c r="C31" i="22" s="1"/>
  <c r="D32" i="22" s="1"/>
  <c r="C32" i="22" s="1"/>
  <c r="D33" i="22" s="1"/>
  <c r="C33" i="22" s="1"/>
  <c r="D34" i="22" s="1"/>
  <c r="C34" i="22" s="1"/>
  <c r="D35" i="22" s="1"/>
  <c r="C35" i="22" s="1"/>
  <c r="D36" i="22" s="1"/>
  <c r="C36" i="22" s="1"/>
  <c r="D37" i="22" s="1"/>
  <c r="C37" i="22" s="1"/>
  <c r="D38" i="22" s="1"/>
  <c r="C38" i="22" s="1"/>
  <c r="D39" i="22" s="1"/>
  <c r="C39" i="22" s="1"/>
  <c r="D40" i="22" s="1"/>
  <c r="C40" i="22" s="1"/>
  <c r="D41" i="22" s="1"/>
  <c r="C41" i="22" s="1"/>
  <c r="D42" i="22" s="1"/>
  <c r="C42" i="22" s="1"/>
  <c r="D43" i="22" s="1"/>
  <c r="C43" i="22" s="1"/>
  <c r="D44" i="22" s="1"/>
  <c r="C44" i="22" s="1"/>
  <c r="D45" i="22" s="1"/>
  <c r="C45" i="22" s="1"/>
  <c r="D46" i="22" s="1"/>
  <c r="C46" i="22" s="1"/>
  <c r="D47" i="22" s="1"/>
  <c r="C47" i="22" s="1"/>
  <c r="D48" i="22" s="1"/>
  <c r="C48" i="22" s="1"/>
  <c r="D49" i="22" s="1"/>
  <c r="C49" i="22" s="1"/>
  <c r="D50" i="22" s="1"/>
  <c r="C50" i="22" s="1"/>
  <c r="D12" i="14"/>
  <c r="C12" i="14" s="1"/>
  <c r="D13" i="14" s="1"/>
  <c r="C13" i="14" s="1"/>
  <c r="D14" i="14" s="1"/>
  <c r="C14" i="14" s="1"/>
  <c r="D15" i="14" s="1"/>
  <c r="C15" i="14" s="1"/>
  <c r="D16" i="14" s="1"/>
  <c r="C16" i="14" s="1"/>
  <c r="D17" i="14" s="1"/>
  <c r="C17" i="14" s="1"/>
  <c r="D18" i="14" s="1"/>
  <c r="C18" i="14" s="1"/>
  <c r="D19" i="14" s="1"/>
  <c r="C19" i="14" s="1"/>
  <c r="D20" i="14" s="1"/>
  <c r="C20" i="14" s="1"/>
  <c r="D21" i="14" s="1"/>
  <c r="C21" i="14" s="1"/>
  <c r="D22" i="14" s="1"/>
  <c r="C22" i="14" s="1"/>
  <c r="D23" i="14" s="1"/>
  <c r="C23" i="14" s="1"/>
  <c r="D24" i="14" s="1"/>
  <c r="C24" i="14" s="1"/>
  <c r="D25" i="14" s="1"/>
  <c r="C25" i="14" s="1"/>
  <c r="D26" i="14" s="1"/>
  <c r="C26" i="14" s="1"/>
  <c r="D27" i="14" s="1"/>
  <c r="C27" i="14" s="1"/>
  <c r="D28" i="14" s="1"/>
  <c r="C28" i="14" s="1"/>
  <c r="D29" i="14" s="1"/>
  <c r="C29" i="14" s="1"/>
  <c r="D30" i="14" s="1"/>
  <c r="C30" i="14" s="1"/>
  <c r="D31" i="14" s="1"/>
  <c r="C31" i="14" s="1"/>
  <c r="D32" i="14" s="1"/>
  <c r="C32" i="14" s="1"/>
  <c r="D11" i="18"/>
  <c r="C11" i="18" s="1"/>
  <c r="D12" i="18" s="1"/>
  <c r="C12" i="18" s="1"/>
  <c r="D13" i="18" s="1"/>
  <c r="C13" i="18" s="1"/>
  <c r="D14" i="18" s="1"/>
  <c r="C14" i="18" s="1"/>
  <c r="D15" i="18" s="1"/>
  <c r="C15" i="18" s="1"/>
  <c r="D16" i="18" s="1"/>
  <c r="C16" i="18" s="1"/>
  <c r="D17" i="18" s="1"/>
  <c r="C17" i="18" s="1"/>
  <c r="D18" i="18" s="1"/>
  <c r="C18" i="18" s="1"/>
  <c r="D19" i="18" s="1"/>
  <c r="C19" i="18" s="1"/>
  <c r="D20" i="18" s="1"/>
  <c r="C20" i="18" s="1"/>
  <c r="D21" i="18" s="1"/>
  <c r="C21" i="18" s="1"/>
  <c r="D22" i="18" s="1"/>
  <c r="C22" i="18" s="1"/>
  <c r="D23" i="18" s="1"/>
  <c r="C23" i="18" s="1"/>
  <c r="D24" i="18" s="1"/>
  <c r="C24" i="18" s="1"/>
  <c r="D25" i="18" s="1"/>
  <c r="C25" i="18" s="1"/>
  <c r="D26" i="18" s="1"/>
  <c r="C26" i="18" s="1"/>
  <c r="D27" i="18" s="1"/>
  <c r="C27" i="18" s="1"/>
  <c r="D28" i="18" s="1"/>
  <c r="C28" i="18" s="1"/>
  <c r="D29" i="18" s="1"/>
  <c r="C29" i="18" s="1"/>
  <c r="D8" i="12"/>
  <c r="C8" i="12" s="1"/>
  <c r="D9" i="12" s="1"/>
  <c r="C9" i="12" s="1"/>
  <c r="D10" i="12" s="1"/>
  <c r="C10" i="12" s="1"/>
  <c r="D11" i="12" s="1"/>
  <c r="C11" i="12" s="1"/>
  <c r="D12" i="12" s="1"/>
  <c r="C12" i="12" s="1"/>
  <c r="D13" i="12" s="1"/>
  <c r="C13" i="12" s="1"/>
  <c r="D16" i="12" s="1"/>
  <c r="C16" i="12" s="1"/>
  <c r="D17" i="12" s="1"/>
  <c r="C17" i="12" s="1"/>
  <c r="D18" i="12" s="1"/>
  <c r="C18" i="12" s="1"/>
  <c r="D19" i="12" s="1"/>
  <c r="C19" i="12" s="1"/>
  <c r="D20" i="12" s="1"/>
  <c r="C20" i="12" s="1"/>
  <c r="D21" i="12" s="1"/>
  <c r="C21" i="12" s="1"/>
  <c r="D22" i="12" s="1"/>
  <c r="C22" i="12" s="1"/>
  <c r="D23" i="12" s="1"/>
  <c r="C23" i="12" s="1"/>
  <c r="D24" i="12" s="1"/>
  <c r="C24" i="12" s="1"/>
  <c r="D25" i="12" s="1"/>
  <c r="C25" i="12" s="1"/>
  <c r="D26" i="12" s="1"/>
  <c r="C26" i="12" s="1"/>
  <c r="D27" i="12" s="1"/>
  <c r="C27" i="12" s="1"/>
  <c r="D28" i="12" s="1"/>
  <c r="C28" i="12" s="1"/>
  <c r="D29" i="12" s="1"/>
  <c r="C29" i="12" s="1"/>
  <c r="D30" i="12" s="1"/>
  <c r="C30" i="12" s="1"/>
  <c r="D31" i="12" s="1"/>
  <c r="C31" i="12" s="1"/>
  <c r="D32" i="12" s="1"/>
  <c r="C32" i="12" s="1"/>
  <c r="D33" i="12" s="1"/>
  <c r="C33" i="12" s="1"/>
  <c r="D34" i="12" s="1"/>
  <c r="C34" i="12" s="1"/>
  <c r="D35" i="12" s="1"/>
  <c r="C35" i="12" s="1"/>
  <c r="D36" i="12" s="1"/>
  <c r="C36" i="12" s="1"/>
  <c r="D20" i="8"/>
  <c r="C20" i="8" s="1"/>
  <c r="D21" i="8" s="1"/>
  <c r="C21" i="8" s="1"/>
  <c r="D22" i="8" s="1"/>
  <c r="C22" i="8" s="1"/>
  <c r="D23" i="8" s="1"/>
  <c r="C23" i="8" s="1"/>
  <c r="D24" i="8" s="1"/>
  <c r="C24" i="8" s="1"/>
  <c r="D25" i="8" s="1"/>
  <c r="C25" i="8" s="1"/>
  <c r="D26" i="8" s="1"/>
  <c r="C26" i="8" s="1"/>
  <c r="D27" i="8" s="1"/>
  <c r="C27" i="8" s="1"/>
  <c r="D28" i="8" s="1"/>
  <c r="C28" i="8" s="1"/>
  <c r="D29" i="8" s="1"/>
  <c r="C29" i="8" s="1"/>
  <c r="D30" i="8" s="1"/>
  <c r="C30" i="8" s="1"/>
  <c r="D31" i="8" s="1"/>
  <c r="C31" i="8" s="1"/>
  <c r="D32" i="8" s="1"/>
  <c r="C32" i="8" s="1"/>
  <c r="D33" i="8" s="1"/>
  <c r="C33" i="8" s="1"/>
  <c r="D34" i="8" s="1"/>
  <c r="C34" i="8" s="1"/>
  <c r="D35" i="8" s="1"/>
  <c r="C35" i="8" s="1"/>
  <c r="D36" i="8" s="1"/>
  <c r="C36" i="8" s="1"/>
  <c r="D37" i="8" s="1"/>
  <c r="C37" i="8" s="1"/>
  <c r="D38" i="8" s="1"/>
  <c r="C38" i="8" s="1"/>
  <c r="D39" i="8" s="1"/>
  <c r="C39" i="8" s="1"/>
  <c r="D40" i="8" s="1"/>
  <c r="C40" i="8" s="1"/>
  <c r="D41" i="8" s="1"/>
  <c r="C41" i="8" s="1"/>
  <c r="D42" i="8" s="1"/>
  <c r="C42" i="8" s="1"/>
  <c r="D43" i="8" s="1"/>
  <c r="C43" i="8" s="1"/>
  <c r="D44" i="8" s="1"/>
  <c r="C44" i="8" s="1"/>
  <c r="D45" i="8" s="1"/>
  <c r="C45" i="8" s="1"/>
  <c r="D46" i="8" s="1"/>
  <c r="C46" i="8" s="1"/>
  <c r="D47" i="8" s="1"/>
  <c r="C47" i="8" s="1"/>
  <c r="D48" i="8" s="1"/>
  <c r="C48" i="8" s="1"/>
  <c r="D49" i="8" s="1"/>
  <c r="C49" i="8" s="1"/>
  <c r="D50" i="8" s="1"/>
  <c r="C50" i="8" s="1"/>
  <c r="D51" i="8" s="1"/>
  <c r="C51" i="8" s="1"/>
  <c r="D52" i="8" s="1"/>
  <c r="C52" i="8" s="1"/>
  <c r="D53" i="8" s="1"/>
  <c r="C53" i="8" s="1"/>
  <c r="D54" i="8" s="1"/>
  <c r="C54" i="8" s="1"/>
  <c r="D55" i="8" s="1"/>
  <c r="C55" i="8" s="1"/>
  <c r="D56" i="8" s="1"/>
  <c r="C56" i="8" s="1"/>
  <c r="D57" i="8" s="1"/>
  <c r="C57" i="8" s="1"/>
  <c r="D58" i="8" s="1"/>
  <c r="C58" i="8" s="1"/>
  <c r="D59" i="8" s="1"/>
  <c r="C59" i="8" s="1"/>
  <c r="C3" i="6"/>
  <c r="J40" i="38" l="1"/>
  <c r="I40" i="38" s="1"/>
  <c r="J41" i="38" s="1"/>
  <c r="I41" i="38" s="1"/>
  <c r="J42" i="38" s="1"/>
  <c r="I42" i="38" s="1"/>
  <c r="J43" i="38" s="1"/>
  <c r="I43" i="38" s="1"/>
  <c r="J44" i="38" s="1"/>
  <c r="I44" i="38" l="1"/>
  <c r="J45" i="38" s="1"/>
  <c r="I45" i="38" s="1"/>
  <c r="I46" i="38" s="1"/>
  <c r="J47" i="38" s="1"/>
  <c r="I47" i="38" s="1"/>
  <c r="J48" i="38" l="1"/>
  <c r="I48" i="38" s="1"/>
  <c r="I52" i="38" s="1"/>
  <c r="J53" i="38"/>
  <c r="I53" i="38" s="1"/>
  <c r="J54" i="38" s="1"/>
  <c r="I54" i="38" s="1"/>
  <c r="J55" i="38" s="1"/>
  <c r="I55" i="38" s="1"/>
  <c r="I56" i="38" l="1"/>
  <c r="J57" i="38" s="1"/>
  <c r="I57" i="38" s="1"/>
  <c r="J58" i="38" s="1"/>
  <c r="I58" i="38" s="1"/>
  <c r="D7" i="6"/>
  <c r="J59" i="38" l="1"/>
  <c r="C7" i="6"/>
  <c r="I59" i="38" l="1"/>
  <c r="J60" i="38" s="1"/>
  <c r="I60" i="38" s="1"/>
  <c r="I61" i="38" s="1"/>
  <c r="D8" i="6"/>
  <c r="J62" i="38" l="1"/>
  <c r="I62" i="38" s="1"/>
  <c r="C8" i="6"/>
  <c r="J63" i="38" l="1"/>
  <c r="I63" i="38" s="1"/>
  <c r="D9" i="6"/>
  <c r="J64" i="38" l="1"/>
  <c r="I64" i="38" s="1"/>
  <c r="C9" i="6"/>
  <c r="I65" i="38" l="1"/>
  <c r="J66" i="38" s="1"/>
  <c r="I66" i="38" s="1"/>
  <c r="D10" i="6"/>
  <c r="J67" i="38" l="1"/>
  <c r="I67" i="38" s="1"/>
  <c r="J68" i="38" s="1"/>
  <c r="I68" i="38" s="1"/>
  <c r="C10" i="6"/>
  <c r="J69" i="38" l="1"/>
  <c r="I69" i="38" s="1"/>
  <c r="J70" i="38" s="1"/>
  <c r="I70" i="38" s="1"/>
  <c r="J71" i="38" s="1"/>
  <c r="I71" i="38" s="1"/>
  <c r="J72" i="38" s="1"/>
  <c r="I72" i="38" s="1"/>
  <c r="J73" i="38" s="1"/>
  <c r="I73" i="38" s="1"/>
  <c r="J74" i="38" s="1"/>
  <c r="I74" i="38" s="1"/>
  <c r="I75" i="38" s="1"/>
  <c r="J76" i="38" s="1"/>
  <c r="I76" i="38" s="1"/>
  <c r="J77" i="38" s="1"/>
  <c r="I77" i="38" s="1"/>
  <c r="J78" i="38" s="1"/>
  <c r="D11" i="6"/>
  <c r="C11" i="6" l="1"/>
  <c r="D12" i="6" l="1"/>
  <c r="C12" i="6" l="1"/>
  <c r="D13" i="6" l="1"/>
  <c r="C13" i="6" l="1"/>
  <c r="D14" i="6" l="1"/>
  <c r="C14" i="6" l="1"/>
  <c r="D15" i="6" l="1"/>
  <c r="C15" i="6" l="1"/>
  <c r="D16" i="6" l="1"/>
  <c r="C16" i="6" l="1"/>
  <c r="D17" i="6" l="1"/>
  <c r="C17" i="6" l="1"/>
  <c r="D18" i="6" l="1"/>
  <c r="C18" i="6" l="1"/>
  <c r="D19" i="6" l="1"/>
  <c r="C19" i="6" l="1"/>
  <c r="D20" i="6" l="1"/>
  <c r="C20" i="6" l="1"/>
  <c r="D21" i="6" l="1"/>
  <c r="C21" i="6" l="1"/>
  <c r="D22" i="6" l="1"/>
  <c r="C22" i="6" l="1"/>
  <c r="D23" i="6" l="1"/>
  <c r="C23" i="6" l="1"/>
  <c r="D24" i="6" l="1"/>
  <c r="C24" i="6" l="1"/>
  <c r="D25" i="6" l="1"/>
  <c r="C25" i="6" l="1"/>
  <c r="D26" i="6" l="1"/>
  <c r="C26" i="6" l="1"/>
  <c r="D27" i="6" l="1"/>
  <c r="C27" i="6" l="1"/>
  <c r="D28" i="6" l="1"/>
  <c r="C28" i="6" l="1"/>
  <c r="D29" i="6" l="1"/>
  <c r="C29" i="6" l="1"/>
  <c r="D30" i="6" l="1"/>
  <c r="C30" i="6" l="1"/>
  <c r="D31" i="6" l="1"/>
  <c r="C31" i="6" l="1"/>
  <c r="D32" i="6" l="1"/>
  <c r="C32" i="6" l="1"/>
  <c r="D33" i="6" l="1"/>
  <c r="C33" i="6" l="1"/>
  <c r="D34" i="6" l="1"/>
  <c r="C34" i="6" l="1"/>
  <c r="D35" i="6" l="1"/>
  <c r="C35" i="6" l="1"/>
  <c r="D36" i="6" l="1"/>
  <c r="C36" i="6" l="1"/>
  <c r="D37" i="6" l="1"/>
  <c r="C37" i="6" l="1"/>
  <c r="D38" i="6" l="1"/>
  <c r="C38" i="6" l="1"/>
  <c r="D39" i="6" l="1"/>
  <c r="C39" i="6" l="1"/>
  <c r="D40" i="6" l="1"/>
  <c r="C40" i="6" l="1"/>
  <c r="D41" i="6" l="1"/>
  <c r="C41" i="6" l="1"/>
  <c r="D42" i="6" l="1"/>
  <c r="C42" i="6" l="1"/>
  <c r="D43" i="6" l="1"/>
  <c r="C43" i="6" l="1"/>
  <c r="D44" i="6" l="1"/>
  <c r="C44" i="6" l="1"/>
  <c r="D45" i="6" l="1"/>
  <c r="C45" i="6" l="1"/>
  <c r="D46" i="6" l="1"/>
  <c r="C46" i="6" l="1"/>
  <c r="D47" i="6" l="1"/>
  <c r="C47" i="6" l="1"/>
  <c r="D48" i="6" l="1"/>
  <c r="C48" i="6" l="1"/>
  <c r="D49" i="6" l="1"/>
  <c r="C49" i="6" l="1"/>
  <c r="D50" i="6" l="1"/>
  <c r="C50" i="6" l="1"/>
  <c r="D51" i="6" l="1"/>
  <c r="C51" i="6" l="1"/>
  <c r="D52" i="6" l="1"/>
  <c r="C52" i="6" l="1"/>
  <c r="D53" i="6" l="1"/>
  <c r="C53" i="6" l="1"/>
  <c r="D54" i="6" l="1"/>
  <c r="C54" i="6" l="1"/>
  <c r="D55" i="6" l="1"/>
  <c r="C55" i="6" l="1"/>
  <c r="D56" i="6" l="1"/>
  <c r="C56" i="6" l="1"/>
  <c r="D57" i="6" l="1"/>
  <c r="C57" i="6" l="1"/>
  <c r="D58" i="6" l="1"/>
  <c r="C58" i="6" l="1"/>
  <c r="D59" i="6" l="1"/>
  <c r="C59" i="6" l="1"/>
  <c r="D60" i="6" l="1"/>
  <c r="C60" i="6" l="1"/>
  <c r="D61" i="6" l="1"/>
  <c r="C61" i="6" l="1"/>
  <c r="D62" i="6" l="1"/>
  <c r="C62" i="6" l="1"/>
  <c r="D63" i="6" l="1"/>
  <c r="C63" i="6" l="1"/>
  <c r="D64" i="6" l="1"/>
  <c r="C64" i="6" l="1"/>
  <c r="D65" i="6" l="1"/>
  <c r="C65" i="6" l="1"/>
  <c r="D66" i="6" l="1"/>
  <c r="C66" i="6" l="1"/>
  <c r="D67" i="6" l="1"/>
  <c r="C67" i="6" l="1"/>
  <c r="D68" i="6" l="1"/>
  <c r="C68" i="6" l="1"/>
  <c r="D69" i="6" l="1"/>
  <c r="C69" i="6" l="1"/>
  <c r="D70" i="6" l="1"/>
  <c r="C70" i="6" l="1"/>
  <c r="D71" i="6" l="1"/>
  <c r="C71" i="6" l="1"/>
  <c r="D72" i="6" l="1"/>
  <c r="C72" i="6" l="1"/>
  <c r="D73" i="6" l="1"/>
  <c r="C73" i="6" l="1"/>
  <c r="D74" i="6" l="1"/>
  <c r="C74" i="6" l="1"/>
  <c r="D75" i="6" l="1"/>
  <c r="C75" i="6" l="1"/>
  <c r="D76" i="6" l="1"/>
  <c r="C76" i="6" l="1"/>
  <c r="D77" i="6" l="1"/>
  <c r="C77" i="6" l="1"/>
  <c r="D78" i="6" l="1"/>
  <c r="C78" i="6" l="1"/>
  <c r="D79" i="6" l="1"/>
  <c r="C79" i="6" l="1"/>
  <c r="D80" i="6" l="1"/>
  <c r="C80" i="6" l="1"/>
  <c r="D81" i="6" l="1"/>
  <c r="C81" i="6" l="1"/>
  <c r="D82" i="6" l="1"/>
  <c r="C82" i="6" l="1"/>
  <c r="D83" i="6" l="1"/>
  <c r="C83" i="6" l="1"/>
  <c r="D84" i="6" l="1"/>
  <c r="C84" i="6" l="1"/>
  <c r="D85" i="6" l="1"/>
  <c r="C85" i="6" l="1"/>
  <c r="D86" i="6" l="1"/>
  <c r="C86" i="6" l="1"/>
  <c r="D87" i="6" l="1"/>
  <c r="C87" i="6" l="1"/>
  <c r="D88" i="6" l="1"/>
  <c r="C88" i="6" l="1"/>
  <c r="D89" i="6" l="1"/>
  <c r="C89" i="6" l="1"/>
  <c r="I100" i="38" l="1"/>
  <c r="I101" i="38" s="1"/>
  <c r="J102" i="38" s="1"/>
  <c r="I102" i="38" s="1"/>
  <c r="J103" i="38" s="1"/>
  <c r="I103" i="38" s="1"/>
  <c r="J104" i="38" s="1"/>
  <c r="I104" i="38" s="1"/>
  <c r="J105" i="38" s="1"/>
  <c r="I105" i="38" s="1"/>
  <c r="J106" i="38" s="1"/>
  <c r="I106" i="38" s="1"/>
  <c r="I107" i="38" s="1"/>
  <c r="J108" i="38" s="1"/>
  <c r="I108" i="38" s="1"/>
  <c r="J109" i="38" s="1"/>
  <c r="I109" i="38" s="1"/>
  <c r="J110" i="38" s="1"/>
  <c r="I110" i="38" s="1"/>
  <c r="J111" i="38" s="1"/>
  <c r="I111" i="38" s="1"/>
  <c r="J112" i="38" s="1"/>
  <c r="I112" i="38" s="1"/>
  <c r="J113" i="38" s="1"/>
  <c r="I113" i="38" s="1"/>
  <c r="J114" i="38" s="1"/>
  <c r="I114" i="38" s="1"/>
  <c r="J115" i="38" s="1"/>
  <c r="I115" i="38" s="1"/>
  <c r="J116" i="38" s="1"/>
  <c r="I116" i="38" s="1"/>
  <c r="J117" i="38" s="1"/>
  <c r="I117" i="38" s="1"/>
  <c r="J118" i="38" s="1"/>
  <c r="I118" i="38" s="1"/>
  <c r="J119" i="38" l="1"/>
  <c r="I119" i="38" s="1"/>
  <c r="J120" i="38" s="1"/>
  <c r="I120" i="38" s="1"/>
  <c r="J121" i="38" s="1"/>
  <c r="I121" i="38" s="1"/>
  <c r="I122" i="38" s="1"/>
  <c r="J123" i="38" s="1"/>
  <c r="I123" i="38" s="1"/>
  <c r="I124" i="38" s="1"/>
  <c r="I78" i="38"/>
  <c r="J125" i="38" l="1"/>
  <c r="I125" i="38" s="1"/>
  <c r="J126" i="38" s="1"/>
  <c r="I126" i="38" s="1"/>
  <c r="J127" i="38" s="1"/>
  <c r="I127" i="38" s="1"/>
  <c r="J128" i="38" s="1"/>
  <c r="I128" i="38" s="1"/>
  <c r="J129" i="38" s="1"/>
  <c r="I129" i="38" s="1"/>
  <c r="J130" i="38" s="1"/>
  <c r="I130" i="38" s="1"/>
  <c r="J131" i="38" s="1"/>
  <c r="I131" i="38" s="1"/>
  <c r="J132" i="38" s="1"/>
  <c r="I132" i="38" s="1"/>
  <c r="J133" i="38" s="1"/>
  <c r="I133" i="38" s="1"/>
  <c r="J134" i="38" s="1"/>
  <c r="I134" i="38" s="1"/>
  <c r="J135" i="38" s="1"/>
  <c r="I135" i="38" s="1"/>
  <c r="J136" i="38" s="1"/>
  <c r="I136" i="38" s="1"/>
  <c r="J137" i="38" s="1"/>
  <c r="I137" i="38" s="1"/>
  <c r="J138" i="38" s="1"/>
  <c r="I138" i="38" s="1"/>
  <c r="J139" i="38" s="1"/>
  <c r="I139" i="38" s="1"/>
  <c r="J140" i="38" s="1"/>
  <c r="I140" i="38" s="1"/>
  <c r="J141" i="38" s="1"/>
  <c r="I141" i="38" s="1"/>
  <c r="I79" i="38"/>
  <c r="J80" i="38" s="1"/>
  <c r="I80" i="38" s="1"/>
  <c r="J81" i="38" s="1"/>
  <c r="I81" i="38" s="1"/>
  <c r="J82" i="38" s="1"/>
  <c r="I82" i="38" s="1"/>
  <c r="J83" i="38" s="1"/>
  <c r="I83" i="38" s="1"/>
  <c r="J84" i="38" s="1"/>
  <c r="I84" i="38" s="1"/>
  <c r="J85" i="38" s="1"/>
  <c r="I85" i="38" s="1"/>
  <c r="J86" i="38" s="1"/>
  <c r="I86" i="38" s="1"/>
  <c r="J87" i="38" s="1"/>
  <c r="I87" i="38" s="1"/>
  <c r="J88" i="38" s="1"/>
  <c r="I88" i="38" s="1"/>
  <c r="J89" i="38" s="1"/>
  <c r="I89" i="38" s="1"/>
  <c r="J90" i="38" s="1"/>
  <c r="I90" i="38" s="1"/>
  <c r="J91" i="38" s="1"/>
  <c r="I91" i="38" s="1"/>
  <c r="J92" i="38" s="1"/>
  <c r="I92" i="38" s="1"/>
  <c r="J93" i="38" s="1"/>
  <c r="I93" i="38" s="1"/>
  <c r="J94" i="38" s="1"/>
  <c r="I94" i="38" s="1"/>
  <c r="J95" i="38" s="1"/>
  <c r="I95" i="38" s="1"/>
  <c r="J96" i="38" s="1"/>
  <c r="I96" i="38" s="1"/>
  <c r="J97" i="38" s="1"/>
  <c r="I97" i="38" s="1"/>
  <c r="J142" i="38" l="1"/>
  <c r="I142" i="38" s="1"/>
  <c r="I143" i="38" s="1"/>
  <c r="J144" i="38" s="1"/>
  <c r="I144" i="38" s="1"/>
  <c r="E85" i="38" l="1"/>
  <c r="E83" i="38"/>
  <c r="E82" i="38"/>
  <c r="E86" i="38"/>
  <c r="E84" i="38"/>
  <c r="E81" i="38"/>
  <c r="E80" i="38"/>
  <c r="E87" i="38"/>
</calcChain>
</file>

<file path=xl/comments1.xml><?xml version="1.0" encoding="utf-8"?>
<comments xmlns="http://schemas.openxmlformats.org/spreadsheetml/2006/main">
  <authors>
    <author>dora</author>
  </authors>
  <commentList>
    <comment ref="A11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添加res0_sign
</t>
        </r>
      </text>
    </comment>
    <comment ref="A12" authorId="0" shapeId="0">
      <text>
        <r>
          <rPr>
            <b/>
            <sz val="9"/>
            <rFont val="宋体"/>
            <family val="3"/>
            <charset val="134"/>
          </rPr>
          <t>dora:</t>
        </r>
        <r>
          <rPr>
            <sz val="9"/>
            <rFont val="宋体"/>
            <family val="3"/>
            <charset val="134"/>
          </rPr>
          <t xml:space="preserve">
删除relu_thres
</t>
        </r>
      </text>
    </comment>
  </commentList>
</comments>
</file>

<file path=xl/sharedStrings.xml><?xml version="1.0" encoding="utf-8"?>
<sst xmlns="http://schemas.openxmlformats.org/spreadsheetml/2006/main" count="4187" uniqueCount="1205">
  <si>
    <t>Rev</t>
  </si>
  <si>
    <t>Date</t>
  </si>
  <si>
    <t>Update description</t>
  </si>
  <si>
    <t>Field</t>
  </si>
  <si>
    <t>Length（bit）</t>
  </si>
  <si>
    <t>High（bit）</t>
  </si>
  <si>
    <t>Low（bit）</t>
  </si>
  <si>
    <t>RW</t>
  </si>
  <si>
    <t>Default</t>
  </si>
  <si>
    <t>descriptions</t>
  </si>
  <si>
    <t>cfg_en</t>
  </si>
  <si>
    <t>1'b0</t>
  </si>
  <si>
    <t>TPU使能</t>
  </si>
  <si>
    <t>R/W1C
TIU interrupt Status</t>
  </si>
  <si>
    <t>上一个执行完的command id</t>
  </si>
  <si>
    <t>cfg_instr_barrier</t>
  </si>
  <si>
    <t>cfg_data_barrier</t>
  </si>
  <si>
    <t>数据barrier</t>
  </si>
  <si>
    <t>cfg_fb_pins_en</t>
  </si>
  <si>
    <t>pad insv read buffer</t>
  </si>
  <si>
    <t>cfg_fb_pxl_en</t>
  </si>
  <si>
    <t>pxl read buffer</t>
  </si>
  <si>
    <t>reserved</t>
  </si>
  <si>
    <t xml:space="preserve">TIU interrupt global enable </t>
  </si>
  <si>
    <t>des buf interrupt enable</t>
  </si>
  <si>
    <t>cfg_cmdbuf_intr_biten</t>
  </si>
  <si>
    <t>1'h0</t>
  </si>
  <si>
    <t>cfg_des_mode</t>
  </si>
  <si>
    <t>RO</t>
  </si>
  <si>
    <t>des mode</t>
  </si>
  <si>
    <t>自动清0</t>
  </si>
  <si>
    <t>cfg_des_addr_vld</t>
  </si>
  <si>
    <t>使能descriptor模式
写1‘b1 使能
自动清0</t>
  </si>
  <si>
    <t>写1清空des buf</t>
  </si>
  <si>
    <t>DES模式, AX接口slave err或者decode err, 硬件置位，软件清0</t>
  </si>
  <si>
    <t>cfg2</t>
  </si>
  <si>
    <t>cfg3</t>
  </si>
  <si>
    <t>cfg4</t>
  </si>
  <si>
    <t>cfg5</t>
  </si>
  <si>
    <t>cfg5_H</t>
  </si>
  <si>
    <t>cfg7</t>
  </si>
  <si>
    <t>cfg_monitor_en，tpu performance monitor的使能信号</t>
  </si>
  <si>
    <t>35'h0</t>
  </si>
  <si>
    <t>cfg_result_start_addr，保存monitor输出结果的起始地址，需要在配cfg_monitor_en之前配置</t>
  </si>
  <si>
    <t>cfg_result_end_addr，保存monitor输出结果的结束地址，需要在配置cfg_monitor_en之前配置</t>
  </si>
  <si>
    <t>cfg_cmpt_en，计算使能</t>
  </si>
  <si>
    <t>16'h0</t>
  </si>
  <si>
    <t>cfg_cmpt_val，计算数据，在cfg_cmpt_en之前或同时配置</t>
  </si>
  <si>
    <t>cfg_rd_instr_en，read instruction enable</t>
  </si>
  <si>
    <t>cfg_rd_instr_stall_en, read instruction stall enable</t>
  </si>
  <si>
    <t>cfg_wr_instr_en, write instruction enable</t>
  </si>
  <si>
    <t>为高时表示开启指令间空闲时时钟门以及dma时钟门</t>
  </si>
  <si>
    <t>cfg_eu_clk_gate_en</t>
  </si>
  <si>
    <t>为高时表示开启eu的clk_gate功能</t>
  </si>
  <si>
    <t>cfg8</t>
  </si>
  <si>
    <t>4'h0</t>
  </si>
  <si>
    <t>cfg12</t>
  </si>
  <si>
    <t>cfg12_L</t>
  </si>
  <si>
    <t>cfg_pwr_ctrl_en</t>
  </si>
  <si>
    <t>power ctrl使能</t>
  </si>
  <si>
    <t>cfg_pwr_bub_en</t>
  </si>
  <si>
    <t>power ctrl bubble compensate en</t>
  </si>
  <si>
    <t>cfg_pwr_limit_en</t>
  </si>
  <si>
    <t>power ctrl功耗限定</t>
  </si>
  <si>
    <t>cfg_pwr_timeout_en</t>
  </si>
  <si>
    <t>tpu指令执行结束power ctrl是否回到idle状态</t>
  </si>
  <si>
    <t>cfg_pwr_step_scale</t>
  </si>
  <si>
    <t>power在缓起缓降时一个单位上升或下降的step数</t>
  </si>
  <si>
    <t>cfg_pwr_step_max</t>
  </si>
  <si>
    <t>功耗限定最大power step</t>
  </si>
  <si>
    <t>cfg_pwr_step_min</t>
  </si>
  <si>
    <t>功耗限定最低power step</t>
  </si>
  <si>
    <t>cfg_pwr_step_len</t>
  </si>
  <si>
    <t>缓起缓降时step scale周期数</t>
  </si>
  <si>
    <t>cfg_pwr_timeout_len</t>
  </si>
  <si>
    <t>20'h0</t>
  </si>
  <si>
    <t>tpu指令执行结束后，多少个周期没有指令执行开始进入缓降状态</t>
  </si>
  <si>
    <t>cfg12_H</t>
  </si>
  <si>
    <t>cfg_pwr_lane_all_en</t>
  </si>
  <si>
    <t>cfg_pwr_scale_en</t>
  </si>
  <si>
    <t>64'h0</t>
  </si>
  <si>
    <t>cfg13</t>
  </si>
  <si>
    <t>cfg13_L</t>
  </si>
  <si>
    <t>cfg_pwr_max_grp0</t>
  </si>
  <si>
    <t>power max组合0，共8组，每组8个bit</t>
  </si>
  <si>
    <t>cfg13_H</t>
  </si>
  <si>
    <t>cfg_pwr_max_grp1</t>
  </si>
  <si>
    <t>power max组合1，共8组，每组8个bit</t>
  </si>
  <si>
    <t>cfg14_H</t>
  </si>
  <si>
    <t>cfg15</t>
  </si>
  <si>
    <t>cfg15_L</t>
  </si>
  <si>
    <t>arch name</t>
  </si>
  <si>
    <t>Addr</t>
  </si>
  <si>
    <t>IDX</t>
  </si>
  <si>
    <t>Width(bit)</t>
  </si>
  <si>
    <t>Description</t>
  </si>
  <si>
    <t>A2 support</t>
  </si>
  <si>
    <t>Conv</t>
  </si>
  <si>
    <t>MM2</t>
  </si>
  <si>
    <t>PorD</t>
  </si>
  <si>
    <t>MM</t>
  </si>
  <si>
    <t>T0</t>
  </si>
  <si>
    <t>opd0 addr</t>
  </si>
  <si>
    <t>N</t>
  </si>
  <si>
    <t>T1</t>
  </si>
  <si>
    <t>opd1 addr</t>
  </si>
  <si>
    <t>T2</t>
  </si>
  <si>
    <t>opd2 addr</t>
  </si>
  <si>
    <t>T3</t>
  </si>
  <si>
    <t>res0 addr</t>
  </si>
  <si>
    <t>T4</t>
  </si>
  <si>
    <t>opd3 addr</t>
  </si>
  <si>
    <t>T5</t>
  </si>
  <si>
    <t>opd4_addr</t>
  </si>
  <si>
    <t>Y</t>
  </si>
  <si>
    <t>当kzp为常量时，kzp value；当kzp为变量时，kzp地址</t>
  </si>
  <si>
    <t>Not used</t>
  </si>
  <si>
    <t>T6</t>
  </si>
  <si>
    <t>opd5_addr</t>
  </si>
  <si>
    <t>量化参数地址；如果量化参数为常量，则当量化参数为常数时，multiplior</t>
  </si>
  <si>
    <t>T7</t>
  </si>
  <si>
    <t>res1_addr</t>
  </si>
  <si>
    <t>T8</t>
  </si>
  <si>
    <t>opd0 w</t>
  </si>
  <si>
    <t>T9</t>
  </si>
  <si>
    <t>opd0 h</t>
  </si>
  <si>
    <t>T10</t>
  </si>
  <si>
    <t>opd0 c</t>
  </si>
  <si>
    <t>T11</t>
  </si>
  <si>
    <t>opd0 n</t>
  </si>
  <si>
    <t>T12</t>
  </si>
  <si>
    <t>opd0 w stride</t>
  </si>
  <si>
    <t>T13</t>
  </si>
  <si>
    <t>opd0 h stride</t>
  </si>
  <si>
    <t>T14</t>
  </si>
  <si>
    <t>opd0 c stride</t>
  </si>
  <si>
    <t>T15</t>
  </si>
  <si>
    <t>opd0 n stride</t>
  </si>
  <si>
    <t>T16</t>
  </si>
  <si>
    <t>opd1 w</t>
  </si>
  <si>
    <t>T17</t>
  </si>
  <si>
    <t>opd1 h</t>
  </si>
  <si>
    <t>T18</t>
  </si>
  <si>
    <t>opd1 c</t>
  </si>
  <si>
    <t>T19</t>
  </si>
  <si>
    <t>opd1 n</t>
  </si>
  <si>
    <t>T20</t>
  </si>
  <si>
    <t>opd1 w stride</t>
  </si>
  <si>
    <t>T21</t>
  </si>
  <si>
    <t>opd1 h stride</t>
  </si>
  <si>
    <t>T22</t>
  </si>
  <si>
    <t>opd1 c stride</t>
  </si>
  <si>
    <t>T23</t>
  </si>
  <si>
    <t>opd1 n stride</t>
  </si>
  <si>
    <t>T24</t>
  </si>
  <si>
    <t>res0 w</t>
  </si>
  <si>
    <t>T25</t>
  </si>
  <si>
    <t>res0 h</t>
  </si>
  <si>
    <t>T26</t>
  </si>
  <si>
    <t>res0 c</t>
  </si>
  <si>
    <t>T27</t>
  </si>
  <si>
    <t>res0 n</t>
  </si>
  <si>
    <t>T28</t>
  </si>
  <si>
    <t>res0 w stride</t>
  </si>
  <si>
    <t>T29</t>
  </si>
  <si>
    <t>res0 h stride</t>
  </si>
  <si>
    <t>T30</t>
  </si>
  <si>
    <t>res0 c stride</t>
  </si>
  <si>
    <t>T31</t>
  </si>
  <si>
    <t>res0 n stride</t>
  </si>
  <si>
    <t>T32</t>
  </si>
  <si>
    <t>TGCR32</t>
  </si>
  <si>
    <t>当量化参数为常数时，移位参数</t>
  </si>
  <si>
    <t>T33</t>
  </si>
  <si>
    <t>TGCR33</t>
  </si>
  <si>
    <t>当量化参数为常数时，rzp</t>
  </si>
  <si>
    <t>当量化参数为常数时，yzp</t>
  </si>
  <si>
    <t>T34</t>
  </si>
  <si>
    <t>TGCR34</t>
  </si>
  <si>
    <t>指令ID，每执行一条指令+1，可以通过指令sys_tr_wr写入指定值(这种情况下sys_tr_wr指令的cmd id是该指令写入的值)</t>
  </si>
  <si>
    <t>T127</t>
  </si>
  <si>
    <t>0寄存器，写入无效，可以reg_idx为0xFF，表示一笔无效写入</t>
  </si>
  <si>
    <t>conv1
opd0=image
opd1=kernel
opd1=bias</t>
  </si>
  <si>
    <t>winograd
opd0=image
opd1=kernel
opd1=bias</t>
  </si>
  <si>
    <t>conv2
opd0=image
opd1=kernel</t>
  </si>
  <si>
    <t>depthwise
opd0=image
opd1=kernel
opd2=bias</t>
  </si>
  <si>
    <t>pooling
opd0=image
opd1=kernel</t>
  </si>
  <si>
    <t>matrix1
opd0=left
opd1=right
opd2=bias</t>
  </si>
  <si>
    <t>matrix2
opd0=left
opd1=right
opd2=bias</t>
  </si>
  <si>
    <t>tensor</t>
  </si>
  <si>
    <t>table lookup
opd0=index
opd1=table</t>
  </si>
  <si>
    <t>lmem</t>
  </si>
  <si>
    <t>md_sum
opd0 = A</t>
  </si>
  <si>
    <t>mdsfu
opd0 = A</t>
  </si>
  <si>
    <t>mdscalar 
opd0 = A
opd1 = B</t>
  </si>
  <si>
    <t>md_linear
opd0 =A
opd1 =B 
opd2 =Ｓ</t>
  </si>
  <si>
    <t>decomp
opd0=index(tensor_i)
opd1=data(tensor_c)</t>
  </si>
  <si>
    <t>can add result
but ic*kh*kw must be larger than 31</t>
  </si>
  <si>
    <t>no add result</t>
  </si>
  <si>
    <t>can add result
but left column must be larger than 32</t>
  </si>
  <si>
    <t>image != kernel</t>
  </si>
  <si>
    <t>image != result</t>
  </si>
  <si>
    <t>left != right</t>
  </si>
  <si>
    <t>result != opd0</t>
  </si>
  <si>
    <t>image != bias</t>
  </si>
  <si>
    <t>left != bias</t>
  </si>
  <si>
    <t>left != result</t>
  </si>
  <si>
    <t>result != opd1</t>
  </si>
  <si>
    <t>right != result</t>
  </si>
  <si>
    <t>result != opd2</t>
  </si>
  <si>
    <t>opd0 != opd1</t>
  </si>
  <si>
    <t>kernel != result</t>
  </si>
  <si>
    <t>bias != result</t>
  </si>
  <si>
    <t>每个 lane中的local memory分为8个bank</t>
  </si>
  <si>
    <t>local memory共2个read port 2个write port，对应EU的2读1写，GDMA有独立的写端口，GDMA与EU复用2个读接口，当有至少一个read port空闲的时候，GDMA才进行读操作</t>
  </si>
  <si>
    <t>GDMA的读写之间可以bank冲突</t>
  </si>
  <si>
    <t>GDMA的读写和EU操作之间可以bank冲突,性能会有损失</t>
  </si>
  <si>
    <t>EU的读写之间，读读之间可以有Bank冲突,性能会有损失</t>
  </si>
  <si>
    <r>
      <rPr>
        <b/>
        <sz val="11"/>
        <color theme="1"/>
        <rFont val="Microsoft YaHei UI"/>
        <family val="2"/>
        <charset val="134"/>
      </rPr>
      <t>指令读取</t>
    </r>
    <r>
      <rPr>
        <sz val="11"/>
        <color theme="1"/>
        <rFont val="Microsoft YaHei UI"/>
        <family val="2"/>
        <charset val="134"/>
      </rPr>
      <t xml:space="preserve">
TPU有两种方式获取指令，两种模式支持所有指令宽度，支持不同宽度指令混编
</t>
    </r>
    <r>
      <rPr>
        <b/>
        <sz val="11"/>
        <color theme="1"/>
        <rFont val="Microsoft YaHei UI"/>
        <family val="2"/>
        <charset val="134"/>
      </rPr>
      <t>PIO</t>
    </r>
    <r>
      <rPr>
        <sz val="11"/>
        <color theme="1"/>
        <rFont val="Microsoft YaHei UI"/>
        <family val="2"/>
        <charset val="134"/>
      </rPr>
      <t xml:space="preserve">  外部向TPU配置指令
</t>
    </r>
    <r>
      <rPr>
        <b/>
        <sz val="11"/>
        <color theme="1"/>
        <rFont val="Microsoft YaHei UI"/>
        <family val="2"/>
        <charset val="134"/>
      </rPr>
      <t>DES</t>
    </r>
    <r>
      <rPr>
        <sz val="11"/>
        <color theme="1"/>
        <rFont val="Microsoft YaHei UI"/>
        <family val="2"/>
        <charset val="134"/>
      </rPr>
      <t xml:space="preserve">  TPU从memory读取指令</t>
    </r>
  </si>
  <si>
    <r>
      <rPr>
        <b/>
        <sz val="11"/>
        <color theme="1"/>
        <rFont val="Microsoft YaHei UI"/>
        <family val="2"/>
        <charset val="134"/>
      </rPr>
      <t>PIO模式</t>
    </r>
    <r>
      <rPr>
        <sz val="11"/>
        <color theme="1"/>
        <rFont val="Microsoft YaHei UI"/>
        <family val="2"/>
        <charset val="134"/>
      </rPr>
      <t>，MCU向TPU顺序配置指令，每条指令内的section是以section0~N(N=1, 2, 3, 4, 5, 6, 7)的方式顺序发送。TPU执行指令的顺序与MCU发送顺序须完全一致。TPU根据指令类型和section0[0]获取指令长度，待一条指令完整后执行。
TPU默认PIO模式</t>
    </r>
  </si>
  <si>
    <r>
      <rPr>
        <b/>
        <sz val="11"/>
        <color theme="1"/>
        <rFont val="Microsoft YaHei UI"/>
        <family val="2"/>
        <charset val="134"/>
      </rPr>
      <t>DES模式</t>
    </r>
    <r>
      <rPr>
        <sz val="11"/>
        <color theme="1"/>
        <rFont val="Microsoft YaHei UI"/>
        <family val="2"/>
        <charset val="134"/>
      </rPr>
      <t>，TPU从外部存储读取指令。指令在memory中顺序排放，并128bit对齐。每条指令内的section以section0~N(N=1, 2, 3, 7)的方式摆放。指令的排放是紧凑的。TPU根据指令类型和section0[0]获取指令长度，待一条指令完整后执行。
MCU须配置TPU指令起始地址，结束地址，然后配置TPU进入DES模式。TPU指令起始地址，顺序从memory读取指令，当TPU执行到SYS(end)指令后，TPU不在读取指令，并将其后的指令fluash掉。TPU执行指令的顺序须与memory中指令排放顺序一致。</t>
    </r>
  </si>
  <si>
    <t>field</t>
  </si>
  <si>
    <t>CONV
opd0=image
opd1=kernel
opd2=bias
opd3=shift
res0=result</t>
  </si>
  <si>
    <t>PorD
opd0=image
opd1=kernel
opd2=bias(for depth width)</t>
  </si>
  <si>
    <t>MM
opd0=left
opd1=right
opd2=bias</t>
  </si>
  <si>
    <t>MM2
opd0=left
opd1=right
opd2=bias</t>
  </si>
  <si>
    <t>VC
opd0=X
opd1=Y</t>
  </si>
  <si>
    <t>AR &amp; SEG</t>
  </si>
  <si>
    <t>SFU
opd0 = A</t>
  </si>
  <si>
    <t>LIN
opd0 =A
opd1 =B 
opd2 =Ｓ</t>
  </si>
  <si>
    <t>CMP
opd0 =A
opd1 =B 
opd2 =C
opd3 =D</t>
  </si>
  <si>
    <t>TRANS &amp; BC</t>
  </si>
  <si>
    <t>RQ &amp; DQ</t>
  </si>
  <si>
    <t>SG</t>
  </si>
  <si>
    <t>SGL</t>
  </si>
  <si>
    <t>des_cmd_short</t>
  </si>
  <si>
    <t>0x0</t>
  </si>
  <si>
    <t>0: Long Des
1: Short Des</t>
  </si>
  <si>
    <t>des_op_code</t>
  </si>
  <si>
    <t>操作码</t>
  </si>
  <si>
    <t>des_cmd_id_dep</t>
  </si>
  <si>
    <t>Dependency CMD ID
等待des_cmd_id_en指定外部eng ID完成后, 方可执行本descriptor</t>
  </si>
  <si>
    <t>des_tsk_typ</t>
  </si>
  <si>
    <t>des_tsk_eu_typ</t>
  </si>
  <si>
    <t>指令操作类型
根据指令类型指定</t>
  </si>
  <si>
    <t>des_opt_rq</t>
  </si>
  <si>
    <t>是否对结果做量化</t>
  </si>
  <si>
    <t>des_tsk_opd_num</t>
  </si>
  <si>
    <t>0x2</t>
  </si>
  <si>
    <t>输入操作数数目
0: 4个操作数
1: 1个操作数
2: 2个操作数_x000D_
3: 3个操作数_x000D_</t>
  </si>
  <si>
    <t>des_pad_mode</t>
  </si>
  <si>
    <r>
      <rPr>
        <sz val="10"/>
        <rFont val="Microsoft YaHei UI"/>
        <family val="2"/>
        <charset val="134"/>
      </rPr>
      <t>如果指令类型是CONV, 则
padding mode
其他, reserved</t>
    </r>
    <r>
      <rPr>
        <sz val="10"/>
        <rFont val="Microsoft YaHei UI"/>
        <family val="2"/>
        <charset val="134"/>
      </rPr>
      <t>0</t>
    </r>
  </si>
  <si>
    <t>des_opt_res0_sign</t>
  </si>
  <si>
    <r>
      <rPr>
        <sz val="10"/>
        <rFont val="Microsoft YaHei UI"/>
        <family val="2"/>
        <charset val="134"/>
      </rPr>
      <t>R</t>
    </r>
    <r>
      <rPr>
        <sz val="10"/>
        <rFont val="Microsoft YaHei UI"/>
        <family val="2"/>
        <charset val="134"/>
      </rPr>
      <t>W</t>
    </r>
  </si>
  <si>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x0</t>
    </r>
  </si>
  <si>
    <t>ASITIS</t>
  </si>
  <si>
    <t>des_rsvd0</t>
  </si>
  <si>
    <t>reserved0</t>
  </si>
  <si>
    <t>0</t>
  </si>
  <si>
    <t>des_pwr_step</t>
  </si>
  <si>
    <t>power step</t>
  </si>
  <si>
    <t>des_intr_en</t>
  </si>
  <si>
    <t>0: 该指令执行结束不发出intr
1: 该指令执行结束发出intr</t>
  </si>
  <si>
    <t>des_opt_res_add</t>
  </si>
  <si>
    <t>结果是否和原res0_addr地址的内容累加</t>
  </si>
  <si>
    <t>des_opt_relu</t>
  </si>
  <si>
    <t>0x1</t>
  </si>
  <si>
    <t>des_opt_left_tran</t>
  </si>
  <si>
    <t>是否转置，只用在矩阵乘</t>
  </si>
  <si>
    <t>des_opt_opd4_const</t>
  </si>
  <si>
    <t>opd4是否为常数</t>
  </si>
  <si>
    <t>des_opt_kernel_rotate</t>
  </si>
  <si>
    <t>kernel是否转置</t>
  </si>
  <si>
    <t>des_opt_opd0_sign</t>
  </si>
  <si>
    <t>opd0数据类型是INT8时，opd0是否为有符号数
0: 无符号数
1: 有符号数</t>
  </si>
  <si>
    <t>des_opt_opd1_sign</t>
  </si>
  <si>
    <t>opd1数据类型是INT8时，opd0是否为有符号数
0: 无符号数
1: 有符号数</t>
  </si>
  <si>
    <t>des_opt_opd2_sign</t>
  </si>
  <si>
    <t>des_opt_res0_prec</t>
  </si>
  <si>
    <t>des_opt_opd0_prec</t>
  </si>
  <si>
    <t>opd0数据类型
0: INT8
1: FP16
2: FP32
3: INT16
4: INT32
5: BFP16
others: not support</t>
  </si>
  <si>
    <t>des_opt_opd1_prec</t>
  </si>
  <si>
    <t>des_opt_opd2_prec</t>
  </si>
  <si>
    <t>opd2数据类型
0: INT8
1: FP16
2: FP32
3: INT16
4: INT32
5: BFP16
others: not support</t>
  </si>
  <si>
    <t>des_opt_opd0_const</t>
  </si>
  <si>
    <t>opd0是否常数_x000D_, 如果是常数的话, 其值在des_opd0_addr中
0: 非常数
1: 常数</t>
  </si>
  <si>
    <t>des_opt_opd1_const</t>
  </si>
  <si>
    <t>opd1是否常数, 如果是常数的话，其值在des_opd1_addr中
0: 非常数
1: 常数</t>
  </si>
  <si>
    <t>des_opt_opd2_const</t>
  </si>
  <si>
    <t>opd2是否常数, 如果是常数的话，其值在des_opd1_addr中
0: 非常数
1: 常数</t>
  </si>
  <si>
    <t>des_short_res0_str</t>
  </si>
  <si>
    <t>res0数据存储格式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</si>
  <si>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des_short_opd0_str</t>
  </si>
  <si>
    <t>opd0数据存储格式
0:  对齐, 即
     W_STRIDE=1
     H_STRIDE=W
     C_STRIDE=EU_NUM*roundup(H*W/EU_NUM)
     N_STRIDE=C_STRIDE*roundup(C+C_START/LANE_NUM)
1:  紧密, 即
     W_STRIDE=1
     H_STRIDE=W
     C_STRIDE=W*H
     N_STRIDE=roundup(C+C_START/LANE_NUM)*C_STRIDE
2:  偏置, 即
     N_STRIDE=H_STRIDE=W_STRIDE=0
     C_STRIDE=1
     (depthwise中的kernel，以及md_sum的结果, conv/depthwise的bias使用该存储格式)
3:  张量，看具体配置
others: not support</t>
  </si>
  <si>
    <t>des_short_opd1_str</t>
  </si>
  <si>
    <t>opd1数据存储格式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</si>
  <si>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des_short_opd2_str</t>
  </si>
  <si>
    <t>opd2数据存储格式
0:  对齐, 即
     W_STRIDE=1
     H_STRIDE=W
     C_STRIDE=EU_NUM*roundup(H*W/EU_NUM)
     N_STRIDE=C_STRIDE*roundup(C+C_START/LANE_NUM)
1:  紧密, 即
     W_STRIDE=1
     H_STRIDE=W
     C_STRIDE=W*H
     N_STRIDE=roundup(C+C_START/LANE_NUM)*C_STRIDE
conv_neuron_/ winograd kernel的C对应OC，kernel的N对应IC
2:  偏置, 即
     N_STRIDE=H_STRIDE=W_STRIDE=0
     C_STRIDE=1
     (depthwise中的kernel，以及md_sum的结果, conv/depthwise的bias使用该存储格式)
3:  张量，看具体配置
others: not support</t>
  </si>
  <si>
    <t>des_opt_res_add_sign</t>
  </si>
  <si>
    <t>int8运算add_result，原结果是有符号数还是无符号数
0: 无符号
1: 有符号</t>
  </si>
  <si>
    <t>des_rsvd2</t>
  </si>
  <si>
    <t>des_sym_range</t>
  </si>
  <si>
    <t>conv/mm2结果量化，是否做对称饱和:
0: 不做对称饱和
1: 做对称饱和</t>
  </si>
  <si>
    <t>des_opt_opd3_const</t>
  </si>
  <si>
    <t>opd3是否常数, 如果是常数的话, 其值在des_opd3_addr中
0: 非常数
1: 常数</t>
  </si>
  <si>
    <t>des_opt_opd5_const</t>
  </si>
  <si>
    <t>conv/mm2结果量化，量化参数是否常数
0: 非常数
1: 常数</t>
  </si>
  <si>
    <t>des_opd0_x_ins0</t>
  </si>
  <si>
    <t>opd0行方向每个元素后插入0的个数, 0-14有效</t>
  </si>
  <si>
    <t>des_opd0_y_ins0</t>
  </si>
  <si>
    <t>opd0列方向每个元素后插入0的个数, 0-14有效</t>
  </si>
  <si>
    <t>des_opd1_x_ins0</t>
  </si>
  <si>
    <t>opd1行方向每个元素后插入0的个数, 0-14有效</t>
  </si>
  <si>
    <t>des_opd1_y_ins0</t>
  </si>
  <si>
    <t>opd1列方向每个元素后插入0的个数, 0-14有效</t>
  </si>
  <si>
    <t>des_opd0_up_pad</t>
  </si>
  <si>
    <t>opd0上方padding行数_x000D_，0-15有效</t>
  </si>
  <si>
    <t>des_opd0_dn_pad</t>
  </si>
  <si>
    <t>opd0下方padding行数_x000D_，0-15有效</t>
  </si>
  <si>
    <t>des_opd0_lf_pad</t>
  </si>
  <si>
    <t>opd0左方padding列数_x000D_，0-15有效</t>
  </si>
  <si>
    <t>des_opd0_rt_pad</t>
  </si>
  <si>
    <t>opd0右方padding列数_x000D_，0-15有效</t>
  </si>
  <si>
    <t>des_res_op_x_str</t>
  </si>
  <si>
    <t>卷积/pooling横向stride，1-15有效</t>
  </si>
  <si>
    <t>des_res_op_y_str</t>
  </si>
  <si>
    <t>卷积/pooling纵向stride，1-15有效</t>
  </si>
  <si>
    <t>des_res0_h_shift</t>
  </si>
  <si>
    <t>res0的h右shift的数值, 只在tensor arithmetic使用</t>
  </si>
  <si>
    <t>des_res0_w_shift</t>
  </si>
  <si>
    <t>res0的w右shift的数值, 只在tensor arithmetic使用</t>
  </si>
  <si>
    <t>des_opd0_h_shift</t>
  </si>
  <si>
    <t>opd0的h右shift的数值, 只在tensor arithmetic使用</t>
  </si>
  <si>
    <t>des_opd0_w_shift</t>
  </si>
  <si>
    <t>opd0的w由shift的数值, 只在tensor arithmetic使用</t>
  </si>
  <si>
    <t>des_opd1_h_shift</t>
  </si>
  <si>
    <t>opd1的h右shift的数值, 只在tensor arithmetic使用</t>
  </si>
  <si>
    <t>des_opd1_w_shift</t>
  </si>
  <si>
    <t>opd1的w右shift的数值, 只在tensor arithmetic使用</t>
  </si>
  <si>
    <t>des_tsk_lane_num</t>
  </si>
  <si>
    <t>0xffffffffffffffff</t>
  </si>
  <si>
    <t>lane mask
0: 代表对应的lane不会被写入
1: 代表对应的lane可以被写入</t>
  </si>
  <si>
    <t>des_res0_n</t>
  </si>
  <si>
    <t>res0的n, 0无效
matrix multiply: res0 matrix的行数目
mdsum: opd0的n, res0的n为1</t>
  </si>
  <si>
    <t>des_res0_c</t>
  </si>
  <si>
    <t>res0的c, 0无效</t>
  </si>
  <si>
    <t>des_res0_h</t>
  </si>
  <si>
    <t>res0的h, 0无效
在conv，depthwise conv和tensor arithmetic中res0的h最大值为2047(2048?)</t>
  </si>
  <si>
    <t>des_res0_w</t>
  </si>
  <si>
    <t>res0的w, 0无效
在conv, depthwise conv和tensor arithmetic中res0的w最大值为2047(2048?)</t>
  </si>
  <si>
    <t>des_opd0_n</t>
  </si>
  <si>
    <t>opd0的n, 0无效</t>
  </si>
  <si>
    <t>des_opd0_c</t>
  </si>
  <si>
    <t>opd0的c, 0无效</t>
  </si>
  <si>
    <t>des_opd0_h</t>
  </si>
  <si>
    <t>opd0的h, 0无效
在conv, depthwise conv和tensor arithmetic中opd0的h最大值为2047(2048?)</t>
  </si>
  <si>
    <t>des_opd0_w</t>
  </si>
  <si>
    <t>opd0的w, 0无效
在conv, depthwise conv和tensor arithmetic中opd0的h最大值为2047(2048?)</t>
  </si>
  <si>
    <t>des_opd1_n</t>
  </si>
  <si>
    <t>opd1的n, 0无效</t>
  </si>
  <si>
    <t>des_opd1_c</t>
  </si>
  <si>
    <t>opd1的c, 0无效</t>
  </si>
  <si>
    <t>des_opd1_h</t>
  </si>
  <si>
    <t>opd1的h, 0无效
在conv, depthwise conv和tensor arithmetic中opd1的h最大值为2047(2048?)</t>
  </si>
  <si>
    <t>des_opd1_w</t>
  </si>
  <si>
    <t>opd1的w, 0无效
在conv, depthwise conv和tensor arithmetic中opd1的h最大值为2047(2048?)</t>
  </si>
  <si>
    <t>des_res0_n_str</t>
  </si>
  <si>
    <t>res0的n stride</t>
  </si>
  <si>
    <t>des_res0_c_str</t>
  </si>
  <si>
    <t>res0的c stride</t>
  </si>
  <si>
    <t>des_opd0_n_str</t>
  </si>
  <si>
    <t>opd0的n stride</t>
  </si>
  <si>
    <t>des_opd0_c_str</t>
  </si>
  <si>
    <t>opd0的c stride</t>
  </si>
  <si>
    <t>des_opd1_n_str</t>
  </si>
  <si>
    <t>opd1的n stride</t>
  </si>
  <si>
    <t>des_opd1_c_str</t>
  </si>
  <si>
    <t>des_opd2_n_str</t>
  </si>
  <si>
    <t>opd2的n stride</t>
  </si>
  <si>
    <t>des_opd2_c_str</t>
  </si>
  <si>
    <t>opd2的c stride</t>
  </si>
  <si>
    <t>des_res0_addr</t>
  </si>
  <si>
    <t>res0起始地址</t>
  </si>
  <si>
    <t>des_opd0_addr</t>
  </si>
  <si>
    <t>如果des_opt_opd0_const为0, opd0起始地址
如果des_opt_opd0_const为1, opd0常数</t>
  </si>
  <si>
    <t>des_opd1_addr</t>
  </si>
  <si>
    <t>如果des_opt_opd1_const为0, opd1起始地址
如果des_opt_opd1_const为1, opd1常数</t>
  </si>
  <si>
    <t>des_opd2_addr</t>
  </si>
  <si>
    <t>如果des_opt_opd2_const为0, opd2起始地址
如果des_opt_opd2_const为1, opd2常数</t>
  </si>
  <si>
    <t>des_res0_h_str</t>
  </si>
  <si>
    <t>res0的h stride, tensor arithmetic以外的指令只是用低19bit</t>
  </si>
  <si>
    <t>des_res0_w_str</t>
  </si>
  <si>
    <t>res0的w stride, tensor arithmetic以外的指令只是用低19bit</t>
  </si>
  <si>
    <t>des_opd0_h_str</t>
  </si>
  <si>
    <t>opd0的h stride, tensor arithmetic以外的指令只是用低19bit</t>
  </si>
  <si>
    <t>des_opd0_w_str</t>
  </si>
  <si>
    <t>opd0的w stride, tensor arithmetic以外的指令只是用低19bit</t>
  </si>
  <si>
    <t>des_opd1_h_str</t>
  </si>
  <si>
    <t>opd1的h stride, tensor arithmetic以外的指令只是用低19bit</t>
  </si>
  <si>
    <t>des_opd1_w_str</t>
  </si>
  <si>
    <t>opd1的w stride, tensor arithmetic以外的指令只是用低19bit</t>
  </si>
  <si>
    <t>des_opd2_h_str</t>
  </si>
  <si>
    <t>opd2的h stride, tensor arithmetic以外的指令只是用低19bit</t>
  </si>
  <si>
    <t>des_opd2_w_str</t>
  </si>
  <si>
    <t>opd2的w stride, tensor arithmetic以外的指令只是用低19bit</t>
  </si>
  <si>
    <t>des_res1_addr</t>
  </si>
  <si>
    <t>res1起始地址</t>
  </si>
  <si>
    <t>des_opd3_addr</t>
  </si>
  <si>
    <t>如果des_opt_opd3_const为0, opd3起始地址
如果des_opt_opd3_const为1, opd3常数</t>
  </si>
  <si>
    <t>必须配</t>
  </si>
  <si>
    <t>硬件可推导的指令filed，无需软件配置</t>
  </si>
  <si>
    <t>无需软件配置，且不影响硬件行为的field</t>
  </si>
  <si>
    <t>macro_res0_000_c_str = (`EU_NUM*((des_res0_h_hw*des_res0_w_hw+`EU_NUM)/`EU_NUM));</t>
  </si>
  <si>
    <t>macro_res0_000_n_str = macro_res0_000_c_str*(des_res0_c_hw+(des_res0_addr_hw&gt;&gt;(`ADDR_BITS+`LANE_BITS))+`LANE_NUM)&gt;&gt;`LANE_NUM_LOG2;</t>
  </si>
  <si>
    <t>macro_res0_001_c_str = des_res0_h_hw*des_res0_w_hw;</t>
  </si>
  <si>
    <t>macro_res0_001_n_str = macro_res0_001_c_str*des_res0_c_hw;</t>
  </si>
  <si>
    <t>macro_res0_003_h_str = (`EU_NUM*((des_res0_w+`EU_NUM)/`EU_NUM));</t>
  </si>
  <si>
    <t>macro_res0_003_c_str = macro_res0_003_h_str * des_res0_h</t>
  </si>
  <si>
    <t>macro_res0_003_n_str = macro_res0_003_c_str*(des_res0_c+(des_res0_addr&gt;&gt;(`ADDR_BITS+`LANE_BITS))+`LANE_NUM)&gt;&gt;`LANE_NUM_LOG2;</t>
  </si>
  <si>
    <t>macro_opd0_003_h_str = (`EU_NUM*((des_opd0_w_hw+`EU_NUM)/`EU_NUM));</t>
  </si>
  <si>
    <t>macro_opd0_003_c_str = macro_opd0_003_h_str * des_opd0_h</t>
  </si>
  <si>
    <t>macro_opd0_003_n_str = macro_opd0_003_c_str*(des_opd0_c+(des_opd0_addr&gt;&gt;(`ADDR_BITS+`LANE_BITS))+`LANE_NUM)&gt;&gt;`LANE_NUM_LOG2;</t>
  </si>
  <si>
    <t>macro_opd0_000_c_str = (`EU_NUM*((des_opd0_h_hw*des_opd0_w_hw+`EU_NUM)/`EU_NUM));</t>
  </si>
  <si>
    <t>macro_opd0_000_n_str = macro_opd0_000_c_str*(des_opd0_c_hw+(des_opd0_addr_hw&gt;&gt;(`ADDR_BITS+`LANE_BITS))+`LANE_NUM)&gt;&gt;`LANE_NUM_LOG2;</t>
  </si>
  <si>
    <t>macro_opd1_000_c_str = (`EU_NUM*((des_opd1_h_hw*des_opd1_w_hw+`EU_NUM)/`EU_NUM));</t>
  </si>
  <si>
    <t>macro_opd1_000_n_str = macro_opd1_000_c_str*(des_opd1_c_hw+(des_opd1_addr_hw&gt;&gt;(`ADDR_BITS+`LANE_BITS))+`LANE_NUM)&gt;&gt;`LANE_NUM_LOG2;</t>
  </si>
  <si>
    <t>macro_opd1_001_c_str = des_opd1_h_hw*des_opd1_w_hw;</t>
  </si>
  <si>
    <t>macro_opd1_001_n_str = macro_opd1_001_c_str*des_opd1_c_hw;</t>
  </si>
  <si>
    <t>conv_neuron
opd0=image
opd1=kernel
opd2=bias/kzp
res0=result</t>
  </si>
  <si>
    <t>Code</t>
  </si>
  <si>
    <t>必需的指令field</t>
  </si>
  <si>
    <t>指令任务类型
0: conv</t>
  </si>
  <si>
    <t>结果是否做量化
0: 不做量化
1: 做量化</t>
  </si>
  <si>
    <t>padding mode:
0: Constant
1: Reflection
2: Replication
3: Circular</t>
  </si>
  <si>
    <t>如果指令操作类型是CONV_NORMAL,
0: 不做result add
1: 做result add
其他，reserved</t>
  </si>
  <si>
    <t>对结果是否做relu
0: 不做relu操作
1: 做relu操作</t>
  </si>
  <si>
    <t>当opd0数据类型时INT8，INT4时，KZP是否为常数
0: 非常数
1: 常数</t>
  </si>
  <si>
    <t>kernel是否旋转</t>
  </si>
  <si>
    <t>opd0数据类型是INT8时, opd0是否为有符号数
0: 无符号数
1: 有符号数</t>
  </si>
  <si>
    <t>opd1数据类型是INT8时, opd1是否为有符号数
0: 无符号数
1: 有符号数</t>
  </si>
  <si>
    <t>opd2数据类型是INT8时, opd2是否为有符号数
0: 无符号数
1: 有符号数</t>
  </si>
  <si>
    <t>0: kernel非常数
1: kernel常数</t>
  </si>
  <si>
    <t>0: bias非常数
1: bias常数</t>
  </si>
  <si>
    <t xml:space="preserve">((des_opt_opd1_prec_reg == `INT8 || des_opt_opd1_prec_reg == `INT4) ? 3'd2 : (des_opt_opd1_prec_reg == `FP16 || des_opt_opd1_prec_reg == `BF16) ? 3'd2 : 3'd1)
</t>
  </si>
  <si>
    <t>1</t>
  </si>
  <si>
    <t>opd3是否常数
0: 非常数
1: 常数</t>
  </si>
  <si>
    <t>opd0行方向每个元素后插入常数的个数, 0-14有效</t>
  </si>
  <si>
    <t>opd0列方向每个元素后插入常数的个数, 0-14有效</t>
  </si>
  <si>
    <t>opd1行方向每个元素后插入常数的个数, 0-14有效</t>
  </si>
  <si>
    <t>opd1列方向每个元素后插入常数的个数, 0-14有效</t>
  </si>
  <si>
    <t>opd0上方padding行数_x000D_, 0-15有效</t>
  </si>
  <si>
    <t>opd0下方padding行数_x000D_, 0-15有效</t>
  </si>
  <si>
    <t>opd0左方padding列数_x000D_, 0-15有效</t>
  </si>
  <si>
    <t>opd0右方padding列数_x000D_, 0-15有效</t>
  </si>
  <si>
    <t>卷积/pooling横向stride, 1-15有效</t>
  </si>
  <si>
    <t>卷积/pooling纵向stride, 1-15有效</t>
  </si>
  <si>
    <t>res0的n, 0无效</t>
  </si>
  <si>
    <t>res0的h, 0无效</t>
  </si>
  <si>
    <t>res0的w, 0无效</t>
  </si>
  <si>
    <t>des_res0_n_reg</t>
  </si>
  <si>
    <t>opd0的h, 0无效</t>
  </si>
  <si>
    <t>opd0的w, 0无效,</t>
  </si>
  <si>
    <t>des_opd0_c_reg</t>
  </si>
  <si>
    <t>des_res0_c_reg</t>
  </si>
  <si>
    <t>opd1的h, 0无效</t>
  </si>
  <si>
    <t>opd1的w, 0无效</t>
  </si>
  <si>
    <t>macro_res0_000_n_str[15:0]</t>
  </si>
  <si>
    <t>macro_res0_000_c_str[15:0]</t>
  </si>
  <si>
    <t>((des_short_opd0_str_reg == 3) ? des_opd0_n_str_reg : macro_opd0_000_n_str[15:0])</t>
  </si>
  <si>
    <t>((des_short_opd0_str_reg == 3) ? des_opd0_c_str_reg : macro_opd0_000_c_str[15:0])</t>
  </si>
  <si>
    <t>des_opd2_n_str[2:0]: 
0: round_to_even
1: half round up
2: round to zero
3: floor
4: ceil</t>
  </si>
  <si>
    <t>opd0起始地址</t>
  </si>
  <si>
    <t>如果des_opt_opd1_const为0, opd1起始地址,
如果des_opt_opd1_const为1, opd1常数</t>
  </si>
  <si>
    <t>insert常数</t>
  </si>
  <si>
    <t>指向padding/insert tensor或者padding的常数</t>
  </si>
  <si>
    <t>1: 512bit</t>
  </si>
  <si>
    <r>
      <rPr>
        <sz val="11"/>
        <color theme="1"/>
        <rFont val="Microsoft YaHei UI"/>
        <family val="2"/>
        <charset val="134"/>
      </rPr>
      <t>R</t>
    </r>
    <r>
      <rPr>
        <sz val="11"/>
        <color theme="1"/>
        <rFont val="Microsoft YaHei UI"/>
        <family val="2"/>
        <charset val="134"/>
      </rPr>
      <t>W</t>
    </r>
  </si>
  <si>
    <r>
      <rPr>
        <sz val="11"/>
        <color theme="1"/>
        <rFont val="Microsoft YaHei UI"/>
        <family val="2"/>
        <charset val="134"/>
      </rPr>
      <t>0</t>
    </r>
    <r>
      <rPr>
        <sz val="11"/>
        <color theme="1"/>
        <rFont val="Microsoft YaHei UI"/>
        <family val="2"/>
        <charset val="134"/>
      </rPr>
      <t>x0</t>
    </r>
  </si>
  <si>
    <t>res0是INT型时，指明结果是有符号数还是无符号数
0: 无符号
1: 有符号</t>
  </si>
  <si>
    <t>opd0数据存储格式
0: 对齐, 即
     W_STRIDE=1
     H_STRIDE=W
     C_STRIDE=EU_NUM*roundup(H*W/EU_NUM)
     N_STRIDE=C_STRIDE*roundup(C+C_START/LANE_NUM)
1: tensor
others: not support</t>
  </si>
  <si>
    <t xml:space="preserve">matrix
</t>
  </si>
  <si>
    <t>code</t>
  </si>
  <si>
    <t>指令任务类型
2: matrix multiply &amp;&amp; matrix multiply2</t>
  </si>
  <si>
    <t>(((des_tsk_eu_typ_reg == `DES_MM_NORMAL) &amp;&amp; (des_opt_opd0_prec_reg == `INT8 || des_opt_opd0_prec_reg == `INT16)) ? 2'd2 : ((des_tsk_eu_typ_reg == `DES_MM_NORMAL) &amp;&amp; (des_opt_opd0_prec_reg == `INT32 || des_opt_opd0_prec_reg == `FP32)) ? 2'd3: 2'd0)</t>
  </si>
  <si>
    <t>des_rsvd1</t>
  </si>
  <si>
    <t>如果指令操作类型是MM_NORMAL, 左矩阵是否转置
0: 不转置
1: 转置</t>
  </si>
  <si>
    <t>res0数据类型
0: INT8
2: FP32
3: INT16
4: INT32
others: reserved</t>
  </si>
  <si>
    <t>opd0数据类型
0: INT8
2: FP32
3: INT16
4: INT32
others: reserved</t>
  </si>
  <si>
    <t>des_opt_opd0_prec_reg</t>
  </si>
  <si>
    <t>opd2是否常数
0: 非常数
1: 常数</t>
  </si>
  <si>
    <t>(des_opt_left_tran_reg ? (des_opd0_w_reg * (des_opd0_c_reg - 16'd1) + des_opd1_w_reg) : des_opd0_n_reg)</t>
  </si>
  <si>
    <t>res0的c</t>
  </si>
  <si>
    <t>res0的h</t>
  </si>
  <si>
    <t>res0的w</t>
  </si>
  <si>
    <t>opd0的c</t>
  </si>
  <si>
    <t>opd0的h</t>
  </si>
  <si>
    <t>opd0的w</t>
  </si>
  <si>
    <t>macro_res0_000_c_str</t>
  </si>
  <si>
    <t>macro_opd0_000_n_str</t>
  </si>
  <si>
    <t>macro_opd0_000_c_str</t>
  </si>
  <si>
    <t>macro_opd1_000_n_str</t>
  </si>
  <si>
    <t>macro_opd1_000_c_str</t>
  </si>
  <si>
    <t>opd1起始地址</t>
  </si>
  <si>
    <t>1: 384bit</t>
  </si>
  <si>
    <t>量化饱和是否做对称饱和</t>
  </si>
  <si>
    <t>是否result_add</t>
  </si>
  <si>
    <t>opd0是否常数
0: 非常数
1: 常数</t>
  </si>
  <si>
    <t>opd2是否为有符号数
如果指令操作类型是MM_NORMAL, 且opd0数据类型是INT32时
0: 无符号数
如果指令操作类型是NM_NORMAL, 且opd0数据类型是INT8/INT16, 则
0: 无符号数
1: 有符号数</t>
  </si>
  <si>
    <t>如果指令做量化，则
des_opd2_n_str[2:0], round mode
0: round_to_even
1: half round up
2: round to zero
3: floor
4: ceil
5: round to nearest with Ties to Plus Infinity
6: round to nearest with Ties to Minus Infinity</t>
  </si>
  <si>
    <t>opd0的n
如果指令操作类型是cube, Fix1</t>
  </si>
  <si>
    <t>des_rsvd3</t>
  </si>
  <si>
    <t>如果指令操作类型是mac, macs, 则opd0最后一个C的w
如果指令操作类型是cube, 1</t>
  </si>
  <si>
    <t>res0起始地址, {des_res0_addr, 6'h00}</t>
  </si>
  <si>
    <t>opd0起始地址, {des_opd0_addr, 6'h00}</t>
  </si>
  <si>
    <t>opd1起始地址, {des_res0_prec[16:11], des_opd0_addr, 6'h00}</t>
  </si>
  <si>
    <t>TPU命令ID
0不可用</t>
  </si>
  <si>
    <t>((des_opt_opd0_prec_reg == `INT8) ? 2'd0 : 2'd3)</t>
  </si>
  <si>
    <t>opd1数据类型是INT8时，opd1是否为有符号数
0: 无符号数
1: 有符号数</t>
  </si>
  <si>
    <t>opd2数据类型是INT8, int4时，bias是否为有符号数
0: 无符号数
1: 有符号数</t>
  </si>
  <si>
    <t>((des_opt_opd0_prec_reg == `INT8 || des_opt_opd0_prec_reg == `INT4) ? `INT32 : `FP32)</t>
  </si>
  <si>
    <t>opd1是否常数, 如果是常数的话, 其值在des_opd1_addr中
0: 非常数
1: 常数</t>
  </si>
  <si>
    <t>opd2是否常数, 如果是常数的话, 其值在des_opd1_addr中
0: 非常数
1: 常数</t>
  </si>
  <si>
    <t>((des_tsk_eu_typ_reg == `DES_MM2_TT) ? des_opd1_w_reg : des_res0_c_reg)</t>
  </si>
  <si>
    <t>((des_tsk_eu_typ_reg == `DES_MM2_NN) ? des_opd1_c_reg : (des_tsk_eu_typ_reg == `DES_MM2_NT ) ? des_opd1_w_reg : des_res0_w_reg)</t>
  </si>
  <si>
    <t>opd1的c
如果指令操作类型是MM2_NN, 则
des_opd1_c
如果指令操作类型是MM_NT, 则
des_res0_w
如果指令操作类型是MM_TT, 则
des_res0_c</t>
  </si>
  <si>
    <t>opd1的w
如果指令操作类型是MM2_NN, 则
des_res0_w
如果指令操作类型是MM2_NT, 则
des_res0_c
如果指令操作类型是MM_TT, 则
des_opd1_w</t>
  </si>
  <si>
    <t>macro_opd0_000_n_str[15:0]</t>
  </si>
  <si>
    <t>macro_opd0_000_c_str[15:0]</t>
  </si>
  <si>
    <t>macro_opd1_000_n_str[15:0]</t>
  </si>
  <si>
    <t>macro_opd1_000_c_str[15:0]</t>
  </si>
  <si>
    <t>1: 256bit</t>
  </si>
  <si>
    <t>res0数据类型
如果opd0数据类型是INT8, 则
4: INT32
如果opd0数据类型是FP16, 则
1: FP16
2: FP32
如果opd0数据类型是BF16, 则
2: FP32
5: BF16
others: reserved</t>
  </si>
  <si>
    <t>opd2是否常数, 如果是常数的话, 其值在des_opd2_addr中
0: 非常数
1: 常数</t>
  </si>
  <si>
    <t>是否result add</t>
  </si>
  <si>
    <t>md_cmp
opd0 =A
opd1 =B 
opd2 =C
opd3 =D</t>
  </si>
  <si>
    <t>指令任务类型
13: fused_cmp</t>
  </si>
  <si>
    <t>当opd0是整数时，是否是有符号数</t>
  </si>
  <si>
    <t>des_opt_opd0_sign_reg</t>
  </si>
  <si>
    <t>((des_tsk_eu_typ_reg == `DES_CMP_GSELG || des_tsk_eu_typ_reg == `DES_CMP_LSELL) ? des_opt_opd0_prec_reg : des_opt_opd2_prec_reg)</t>
  </si>
  <si>
    <t>opd2是否常数, 如果是常数的话，其值在des_opd2_addr中
0: 非常数
1: 常数</t>
  </si>
  <si>
    <t>des_res0_h_reg</t>
  </si>
  <si>
    <t>des_res0_w_reg</t>
  </si>
  <si>
    <t>opd1的c</t>
  </si>
  <si>
    <t>macro_res0_000_n_str</t>
  </si>
  <si>
    <t>((des_short_opd0_str_reg == 3'd3) ? 16'd0 : macro_opd0_000_n_str[15:0])</t>
  </si>
  <si>
    <t>((des_short_opd0_str_reg == 3'd3) ? 16'd0 : macro_opd0_000_c_str[15:0])</t>
  </si>
  <si>
    <t>macro_opd2_000_n_str</t>
  </si>
  <si>
    <t>macro_opd2_000_c_str</t>
  </si>
  <si>
    <t>如果des_opt_opd0_const为0, opd0起始地址, 如果opd0张量存储, 则opd0地址与数据类型宽度对齐即可
如果des_opt_opd0_const为1, opd0常数</t>
  </si>
  <si>
    <t>如果des_opt_opd1_const为0, opd1起始地址, 如果opd1张量存储, 则opd1地址与数据类型宽度对齐即可
如果des_opt_opd1_const为1, opd1常数</t>
  </si>
  <si>
    <t>((des_short_opd0_str_reg == 3'd3)? 32'd0 : {12'd0, macro_opd0_000_n_str[17:16], 2'd0, des_opd0_w_hw})</t>
  </si>
  <si>
    <t>((des_short_opd0_str_reg == 3'd3)? 32'd0 : {12'd0, macro_opd0_000_c_str[17:16], 18'd1})</t>
  </si>
  <si>
    <t>0: 对齐
3: 张量</t>
  </si>
  <si>
    <t>指令任务类型
9: md sfu</t>
  </si>
  <si>
    <t>((des_tsk_eu_typ_reg == `DES_SFU_TAILOR) ? 2'd2 : 2'd1)</t>
  </si>
  <si>
    <t>res0数据类型
如果指令操作类型是rsqrt，则
1: FP16
2: FP32
5: BF16
如果指令操作类型是normalize且opd0数据类型是FP16, 则
1: FP16
3: INT16
others: not support
如果指令操作类型是normalize且opd0数据类型是BF16, 则
1: BF16
3: INT16
others: not support
如果指令操作类型是normalize且opd0数据类型是FP32, 则
2: FP32
4: INT32
如果指令操作类型是泰勒展开，则
1: FP16
2: FP32
5: BF16
others: not support</t>
  </si>
  <si>
    <t>opd0数据类型
如果指令操作类型是泰勒展开, normalize，则
1: FP16
2: FP32
5: BFP16
如果指令操作类型是rsqrt, 则
1: FP16
2: FP32
5: BF16
others: not support</t>
  </si>
  <si>
    <t>如果指令操作类型为泰勒展开，则
表示泰勒展开系数表的长度
其他指令操作类型 not support</t>
  </si>
  <si>
    <t>如果指令操作类型是nsqrt，则表示牛顿迭代次数(des_opd2_n_str[1:0]+1)</t>
  </si>
  <si>
    <t>des_tsk_eu_type = tailor 
表示泰勒展开系数表的在地址
others: not support</t>
  </si>
  <si>
    <t>{16'd0, des_opd0_w_hw[15:0]}</t>
  </si>
  <si>
    <t>md_linear
opd0 =A
opd1 =B 
opd2 =C</t>
  </si>
  <si>
    <t>指令任务类型
10: md linear</t>
  </si>
  <si>
    <t>指令操作类型
1: mac
20: (A + B)的平方
21: (A - B)的平方
其他：not support</t>
  </si>
  <si>
    <t>((des_tsk_eu_typ_reg == `DES_LIN_MAC) ? 2'd3 : 2'd2)</t>
  </si>
  <si>
    <t>des_opt_res0_prec_reg</t>
  </si>
  <si>
    <t>如果des_opt_opd1_const为0, 表示opd1起始地址
如果des_opt_opd1_const为1, 表示opd1常数</t>
  </si>
  <si>
    <t>如果des_opt_opd2_const为0, 表示opd2起始地址
如果des_opt_opd2_const为1, 表示opd2常数</t>
  </si>
  <si>
    <t>vector_correlation
opd0=X
opd1=Y</t>
  </si>
  <si>
    <t>指令任务类型
14: vector correlation</t>
  </si>
  <si>
    <t>((des_tsk_eu_typ_reg == `DES_VC_SELG || des_tsk_eu_typ_reg == `DES_VC_SELL || des_tsk_eu_typ_reg == `DES_VC_SELE) ? 2'd3 : 2'd2)</t>
  </si>
  <si>
    <t>opd0是否有符号数</t>
  </si>
  <si>
    <t>opd1是否有符号数</t>
  </si>
  <si>
    <t>res0数据类型
0: INT8
1: FP16
2: FP32
3: INT16
4: INT32
5: BFP16
其他指令操作类型: not support</t>
  </si>
  <si>
    <t>opd0数据类型
0: INT8
1: FP16
2: FP32
3: INT16
4: INT32
5: BFP16
其他指令操作类型: not support</t>
  </si>
  <si>
    <t>(des_opd0_w_reg*(des_opd0_c_reg-16'd1)+ des_opd1_w_reg)</t>
  </si>
  <si>
    <t>res0的w, opd1的w</t>
  </si>
  <si>
    <t>一维向量opd0以tensor方式存储，最后一个channel的W
WX_LAST(tensorX为M维，WX为其w，CX为其c，WX_LAST = M-WX*CX)</t>
  </si>
  <si>
    <t>{16'd0, des_opd1_w_hw[15:0]}</t>
  </si>
  <si>
    <t>如果指令操作类型是mulDHR, round mode</t>
  </si>
  <si>
    <t>res0的c, opd1的c</t>
  </si>
  <si>
    <t>opd0数据类型是整数类型时，opd0是否为有符号数
0: 无符号数
1: 有符号数</t>
  </si>
  <si>
    <t>opd1数据类型是整数类型时，opd1是否为有符号数
0: 无符号数
1: 有符号数</t>
  </si>
  <si>
    <t>res0数据类型
0: INT8
1: FP16
2: FP32
3: INT16
4: INT32
5: BFP16
6: INT4
others: not support</t>
  </si>
  <si>
    <t>opd0数据类型
0: INT8
1: FP16
2: FP32
3: INT16
4: INT32
5: BFP16
6: INT4
others: not support</t>
  </si>
  <si>
    <t>opd1数据类型
0: INT8
1: FP16
2: FP32
3: INT16
4: INT32
5: BFP16
6: INT4
others: not support</t>
  </si>
  <si>
    <t>opd2数据类型
0: INT8
3: INT16
4: INT32</t>
  </si>
  <si>
    <t>opd2是否常数, 如果是常数的话，其值在des_opd2_addr中
如果指令操作类型是SELECT_EQUAL/SELECT_GREAT/SELECT_LESS, mac
1: 常数
如果指令操作类型是ADD, SUB, MUL, 且操作数数目为3, 
0: 非常数
1: 常数
others: not support</t>
  </si>
  <si>
    <t>res0数据存储格式
如果指令操作类型是copy_mb, 则
3: tensor格式
此外, 
0: 对齐, 即
     W_STRIDE=1
     H_STRIDE=W
     C_STRIDE=EU_NUM*roundup(H*W/EU_NUM)
     N_STRIDE=C_STRIDE*roundup(C+C_START/LANE_NUM)
3: tensor格式
others: not support</t>
  </si>
  <si>
    <t>opd0数据存储格式
0: 对齐, 即
     W_STRIDE=1
     H_STRIDE=W
     C_STRIDE=EU_NUM*roundup(H*W/EU_NUM)
     N_STRIDE=C_STRIDE*roundup(C+C_START/LANE_NUM)
3: 张量，看具体配置
others: not support</t>
  </si>
  <si>
    <t>res0的n</t>
  </si>
  <si>
    <t>(des_short_opd0_str_reg==3'd0) ? macro_opd0_000_n_str[15:0] : des_opd0_n_str_reg[15:0]</t>
  </si>
  <si>
    <t>((des_short_opd0_str_reg==3'd0) ? macro_opd0_000_c_str[15:0] : des_opd0_c_str_reg[15:0])</t>
  </si>
  <si>
    <t>((des_short_opd1_str_reg==3'd0) ? macro_opd1_000_n_str : des_opd1_n_str_reg[15:0])</t>
  </si>
  <si>
    <t>((des_short_opd1_str_reg==3'd0) ? macro_opd1_000_c_str : des_opd1_c_str_reg[15:0])</t>
  </si>
  <si>
    <t>如果des_opt_opd2_const为0, opd2起始地址
如果des_opt_opd2_const为1, opd2常数
如果指令操作类型是mac，且是定点运算, 则
des_opd2_addr[7:0]表示左移常数，des_opd2_addr[15:8]表示右移常数</t>
  </si>
  <si>
    <t>{12'd0, (des_short_opd0_str_reg == 3'd0) ? {macro_opd0_000_n_str[17:16], 2'd0, des_opd0_w_hw[15:0]} : des_opd0_h_str_reg[19:0]}</t>
  </si>
  <si>
    <t>{12'd0, (des_short_opd0_str_reg == 3'd0) ? {macro_opd0_000_c_str[17:16], 18'd1} : des_opd0_w_str_reg[19:0]}</t>
  </si>
  <si>
    <t>{12'd0, (des_short_opd1_str_reg == 3'd0) ? {macro_opd1_000_n_str[17:16], 2'd0, des_opd1_w_hw[15:0]} : des_opd1_h_str_reg[19:0]}</t>
  </si>
  <si>
    <t>{12'd0, (des_short_opd1_str_reg == 3'd0) ? {macro_opd1_000_c_str[17:16], 18'd1} : des_opd1_w_str_reg[19:0]}</t>
  </si>
  <si>
    <t>指令任务类型
3: tensor arithmetic</t>
  </si>
  <si>
    <t>输入操作数数目
如果指令操作类型是mul, add, sub, mul_satu, add_satu, sub_satu且操作数为整数, 则
2: 2个操作数, opd0--A, opd1--B
3: 3个操作数_x000D_, opd0--A, opd1--B, opd2--M
如果指令操作类型是mac, 且opd0类型是整数, 则
3: 3个操作数, opd0--A, opd1--B, opd2--移位{n, m}
如果指令操作类型是data_convert, not, copy, copy_mb, ABS, 则
1: 1个操作数, opd0--A
其他: 2: 2个操作数, opd0--A, opd1--B</t>
  </si>
  <si>
    <r>
      <rPr>
        <sz val="11"/>
        <color theme="1"/>
        <rFont val="Microsoft YaHei UI"/>
        <family val="2"/>
        <charset val="134"/>
      </rPr>
      <t>d</t>
    </r>
    <r>
      <rPr>
        <sz val="11"/>
        <color theme="1"/>
        <rFont val="Microsoft YaHei UI"/>
        <family val="2"/>
        <charset val="134"/>
      </rPr>
      <t>es_sym_range</t>
    </r>
  </si>
  <si>
    <t>结果是否做饱和</t>
  </si>
  <si>
    <t>opd1数据存储格式
如果指令操作类型是clamp, 则
2: 偏置
其他,
0: 对齐, 即
     W_STRIDE=1
     H_STRIDE=W
     C_STRIDE=EU_NUM*roundup(H*W/EU_NUM)
     N_STRIDE=C_STRIDE*roundup(C+C_START/LANE_NUM)
3: 张量，看具体配置
others: reserved</t>
  </si>
  <si>
    <t>des_opd2_n_str[2:0]: 
如果指令操作类型是mulDhr, muHr, round模式
0: round_to_even
1: half round up
2: round to zero
3: floor
4: ceil
5: round to nearest with Ties to Plus Infinity
6: round to nearest with Ties to Minus Infinity
如果指令操作类型是data_convert, 
0: round_to_even
1: half round up
2: round to zero
3: floor
4: ceil</t>
  </si>
  <si>
    <t>opd2_sign</t>
  </si>
  <si>
    <t>depthwise/pooling
opd0=image
opd1=kernel
opd2=bias(for depth wise)</t>
  </si>
  <si>
    <t>指令任务类型
1: depthwise or pooling</t>
  </si>
  <si>
    <t>((des_tsk_eu_typ_reg == `DES_PORD_MAXP || des_tsk_eu_typ_reg == `DES_PORD_AVGP ) ? 2'd3 : 2'd0)</t>
  </si>
  <si>
    <t>res0数据类型
0: INT8
1: FP16
2: FP32
3: INT16
4: INT32
5: BFP16
others: reserved</t>
  </si>
  <si>
    <t>opd0数据类型
0: INT8
1: FP16
2: FP32
5: BFP16
others: reserved</t>
  </si>
  <si>
    <t>opd2数据类型
如果指令操作类型是depthwise, 且操作数类型是INT8, 则
4: INT32
如果操作类型是ROI max pooling/ROI avg pooling/ROI depthwise
0: INT8
1: FP16
2: FP32
5: BFP16
others: reserved</t>
  </si>
  <si>
    <t>opd1是否常数, 如果是常数的话，其值在des_opd1_addr中
如果指令操作类型是avg pooling或者ROI avg pooling，则
1: 常数，即des_opd1_addr表示该常数, 该常数数据类型与opd0相同</t>
  </si>
  <si>
    <t>是否做对称饱和</t>
  </si>
  <si>
    <t>如果指令操作类型是avg pooling, max pooling, depthwise, 则
padding, insert值是否常数
0: 非常数
1: 常数
如果指令操作类型是ROI avg, ROI max, ROI depthwise, 则
Fix0: 非常数</t>
  </si>
  <si>
    <t>opd0行方向每个元素后插入0的个数, 0-7有效</t>
  </si>
  <si>
    <t>opd0列方向每个元素后插入0的个数, 0-7有效</t>
  </si>
  <si>
    <t>macro_opd1_001_c_str[15:0]</t>
  </si>
  <si>
    <t>des_opd2_n_str[2:0]: 
如果指令操作类型是depthwise, depthwise_relu且是INT8运算, round模式
0: round_to_even
1: half round up
2: round to zero
3: floor
4: ceil
5: round to nearest with Ties to Plus Infinity
6: round to nearest with Ties to Minus Infinity</t>
  </si>
  <si>
    <t>如果是浮点运算, 则
插值常数
如果指令操作类型是depthwise且是INT8运算, 则
des_res1_addr[7:0]表示插值</t>
  </si>
  <si>
    <t>指向padding tensor的地址或者padding的常数</t>
  </si>
  <si>
    <t>opd1数据类型是INT8时, opd0是否为有符号数
0: 无符号数
1: 有符号数</t>
  </si>
  <si>
    <t>如果指令操作类型是ROI avg, ROI max, ROI depthwise, 则
0: 非常数
1: 常数</t>
  </si>
  <si>
    <t>opd2符号位</t>
  </si>
  <si>
    <t>conv_neuron
opd0=image
opd1=kernel
opd2=bias
opd3=shift
res0=result</t>
  </si>
  <si>
    <t>指令操作类型
0:  RQ_0
1:  RQ_1
3:  DQ_0
4:  DQ_1
others: not support</t>
  </si>
  <si>
    <t>2</t>
  </si>
  <si>
    <t>opd0数据类型是整数时，opd0是否为有符号数
0: 无符号数
1: 有符号数</t>
  </si>
  <si>
    <t>res0是否有符号数</t>
  </si>
  <si>
    <t>4</t>
  </si>
  <si>
    <t>如果指令操作类型是RQ_0
des_opd2_n_str[2:0]
0: round_to_even
1: half round up
2: round to zero
3: floor
4: ceil
des_opd2_n_str[5:3]
0: round_to_even
1: half round up
2: round to zero
3: floor
4: ceil
如果指令操作类型是RQ_1, DQ_1
des_opd2_n_str[2:0]
0: round_to_even
1: half round up
2: round to zero
3: floor
4: ceil
5: round to nearest with Ties to Plus Infinity
6: round to nearest with Ties to Minus Infinity
如果指令操作类型是DQ_0
des_opd2_n_str[2:0]
0: round_to_even
1: half round up
2: round to zero
3: floor
4: ceil
5: round to nearest with Ties to Plus Infinity
6: round to nearest with Ties to Minus Infinity</t>
  </si>
  <si>
    <t>如果des_opd1_const =0, 则opd1起始地址
如果des_opd1_const =1, 参见指令spec</t>
  </si>
  <si>
    <t>如果des_opd1_const =0, 则ignore
如果des_opd1_const =1, 参见指令spec</t>
  </si>
  <si>
    <t>指令任务类型
4:   RQ &amp;&amp; DQ</t>
  </si>
  <si>
    <t>res0数据类型
如果指令操作类型是RQ_0, RQ_1
0: INT8
3: INT16
6: INT4
如果指令操作类型是DQ_0, 
2: FP32
如果指令操作类型是DQ_1
0: INT8
3: INT16
4: INT32
others: not support</t>
  </si>
  <si>
    <t>opd1是否常数
others: not support</t>
  </si>
  <si>
    <t>opd0数据类型
如果指令操作类型是RQ_0, RQ_1
0: INT8
3: INT16
4: INT32
如果指令操作类型是DQ_0, DQ_1
0: INT8
3: INT16
6: INT4
others: not support</t>
  </si>
  <si>
    <t>指令任务类型
6: scatter_gather</t>
  </si>
  <si>
    <t>((des_tsk_eu_typ_reg == `DES_SGPE_S_NONZ || des_tsk_eu_typ_reg == `DES_SGPE_S_NONHZD) ? 2'd1 : 2'd2)</t>
  </si>
  <si>
    <t>opd2是否常数, 如果是常数的话, 其值在des_opd2_addr中
0: 不使用常数填充
1: 常数，使用des_opd2_addr的值填充</t>
  </si>
  <si>
    <t xml:space="preserve">((des_tsk_eu_typ_reg == `DES_SGPL_GD1C || des_tsk_eu_typ_reg == `DES_SGPL_GD2C || des_tsk_eu_typ_reg == `DES_SGPL_SD1C || des_tsk_eu_typ_reg == `DES_SGPL_SD2C) ? 3'd1 : 3'd0) </t>
  </si>
  <si>
    <t>limit enable</t>
  </si>
  <si>
    <t>如果指令操作类型是PL_gather_d1coor, PL_gather_d2coor, PL_scatter_d1coor, PL_scatter_d2coor, PE_S_gather_d1coor, PE_S_scatter_d1coor, PL_gather_rec, PE_S_mask_select, PE_S_nonzero,  PL_gather_perw, PL_scatter_perw, PE_S_gather_hzd, PE_S_scatter_hzd, PE_S_mask_selhzd, PE_S_nonzero_hzd则
res0的n
如果指令操作类型是PE_M_gather_d1coor, 则
1</t>
  </si>
  <si>
    <t>如果指令操作类型是PL_gather_d2coor, PL_scatter_d2coor, PL_gather_rec则
des_res0_h
如果指令操作类型是PL_gather_d1coor, PE_S_gather_d1coor, PE_S_gather_d1coor, PL_scatter_d1coor, PE_S_scatter_d1coor, PE_M_gather_d1coor, PE_S_mask_select, PE_S_nonzero 则
1</t>
  </si>
  <si>
    <t>((des_tsk_eu_typ_reg == `DES_SGPE_M_GD1C) ? 16'd4 : (des_tsk_eu_typ_reg == `DES_SGPL_GD1C || des_tsk_eu_typ_reg == `DES_SGPL_GD2C || des_tsk_eu_typ_reg == `DES_SGPL_SD1C || des_tsk_eu_typ_reg == `DES_SGPL_SD2C || des_tsk_eu_typ_reg == `DES_SGPE_S_NONZ || des_tsk_eu_typ_reg == `DES_SGPE_S_NONHZD) ? des_res0_n_reg : 16'd1)</t>
  </si>
  <si>
    <t>如果指令操作类型是PL_gather_d1coor, PE_S_gather_d1coor, PE_S_scatter_d1coor, PE_M_gather_d1coor, PE_S_mask_select, PE_S_nonzero, PE_S_gaher_hzd, PE_S_scatter_hzd, PE_S_mask_selhzd, PE_S_nonzero_hzd则
1
如果指令操作类型是PL_gather_d2coor, PL_scatter_d1coor, PL_scatter_d2coor, 则
des_opd0_h</t>
  </si>
  <si>
    <t>(((des_tsk_eu_typ_reg == `DES_SGPL_GD1C) || (des_tsk_eu_typ_reg == `DES_SGPL_GD2C) || (des_tsk_eu_typ_reg == `DES_SGPL_GREC) || (des_tsk_eu_typ_reg == `DES_SGPL_SD1C) || (des_tsk_eu_typ_reg == `DES_SGPL_SD2C) || (des_tsk_eu_typ_reg == `DES_SGPE_M_GD1C)) ? 16'd1 : des_res0_n_reg)</t>
  </si>
  <si>
    <t>opd1的w
如果指令操作类型是PL_gather_d1coor, PL_gather_d2coor, PL_gahter_rec, PL_scatter_d1coor, PL_scatter_d2coor, 则
1
如果指令操作类型是PE_S_gahter_d1coor, PE_S_scatter_d1coor, PE_M_gather_d1coor, PE_S_mask_select, PL_gather_perw, PL_scatter_perw, PE_S_gather_hzd, PE_S_scatter_hzd, PE_S_mask_selhzd, PE_S_nonzero_hzd则
des_opd1_w</t>
  </si>
  <si>
    <t xml:space="preserve">((des_tsk_eu_typ_reg == `DES_SGPE_M_GD1C) ? 16'd0 : (des_short_opd0_str_hw == 3'd4) ? 16'd0 : macro_opd0_000_n_str[15:0])
</t>
  </si>
  <si>
    <t>((des_short_opd0_str_reg == 3'd5) ? 16'd0 : (des_short_opd0_str_reg == 3'd4) ? 16'd0 : macro_opd0_000_c_str[15:0])</t>
  </si>
  <si>
    <t>((des_short_opd1_str_reg == 3'd1) ? macro_opd1_001_n_str[15:0] : macro_opd1_000_n_str[15:0])</t>
  </si>
  <si>
    <t>((des_short_opd1_str_reg == 3'd1) ? macro_opd1_001_c_str[15:0] : macro_opd1_000_c_str[15:0])</t>
  </si>
  <si>
    <t>des_opt_opd2_const为1, opd2常数</t>
  </si>
  <si>
    <t>如果指令操作类型是PL_gather_rec, 则{KH, KW}</t>
  </si>
  <si>
    <t>opd0数据存储格式
如果指令操作类型是PL_gather_d1coor, PL_gather_d2coor, PL_gather_rec, PL_scatter_d1coor, PL_scatter_d2coor, PE_S_nonzero, PL_gather_perw, PL_scatter_perw, 则
0: 对齐
如果指令操作类型是PE_S_gather_d1coor, PE_S_scatter_d1coor, PE_S_mask_select, PE_S_gather_hzd, PE_S_scatter_hzd, PE_S_mask_selhzd, 则
0: 对齐
4: tensor格式
     W_STRIDE=1
     H_STRIDE=EU_NUM*roundup(W/EU_NUM)
     C_STRIDE=0
     N_STRIDE=0
如果指令操作类型是PE_M_gather_d1coor则
3: tensor
    W_STRIDE=1
    H_STRIDE = des_opd0_w
    C_STRIDE = macro_opd0_000_str
    N_STRIDE = 2*BANK_SIZE*8/BWIDTH
4: tensor格式
     W_STRIDE=1
     H_STRIDE=EU_NUM*roundup(W/EU_NUM)
     C_STRIDE=0
     N_STRIDE=0
others: not support</t>
  </si>
  <si>
    <t>res0数据类型</t>
  </si>
  <si>
    <t>opd0数据类型</t>
  </si>
  <si>
    <t>opd1数据类型</t>
  </si>
  <si>
    <t>res1地址，
如果指令操作类型为PE_S_mask_select, PE_S_nonzero用于存储不为0的mask数量</t>
  </si>
  <si>
    <t>指令任务类型
6: scatter_gather_line</t>
  </si>
  <si>
    <t>指令操作类型
17: PE_S_gather_line
18: PE_S_scatter_line
others: not support</t>
  </si>
  <si>
    <t>res0数据类型
0: INT8
1: FP16
2: FP32
3: INT16
4: INT32
5: BFP16
others: not support</t>
  </si>
  <si>
    <t>3</t>
  </si>
  <si>
    <t>opd0数据存储格式
3: tensor格式, 即
     W_STRIDE=1
     H_STRIDE=EU_NUM*roundup(W/EU_NUM)
     C_STRIDE=H*H_STRIDE
     N_STRIDE=C_STRIDE*roundup(C+C_START/LANE_NUM)
4: tensor格式
     W_STRIDE=1
     H_STRIDE=EU_NUM*roundup(W/EU_NUM)
     C_STRIDE=0
     N_STRIDE=0
others: not support</t>
  </si>
  <si>
    <t xml:space="preserve">res0的n
</t>
  </si>
  <si>
    <t>((des_tsk_eu_typ_reg == `DES_SGLPE_SCA) ? des_opd0_h_hw : des_res0_h_hw)</t>
  </si>
  <si>
    <t>macro_res0_003_n_str[15:0]</t>
  </si>
  <si>
    <t>macro_res0_003_c_str[15:0]</t>
  </si>
  <si>
    <t>((des_short_opd0_str_reg == 3'd3) ? macro_opd0_003_n_str[15:0] : 16'd0)</t>
  </si>
  <si>
    <t>opd1数据类型
如果指令操作类型是PE_S_mask_seline 则
0: INT8
1: INT16
2: INT32
此外
0: INT8
3: INT16
others: not support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</si>
  <si>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2</t>
    </r>
  </si>
  <si>
    <t>res1地址
如果指令操作类型为PE_S_mask_seline用于存储不为0的mask数量</t>
  </si>
  <si>
    <r>
      <rPr>
        <sz val="11"/>
        <color theme="1"/>
        <rFont val="Microsoft YaHei UI"/>
        <family val="2"/>
        <charset val="134"/>
      </rPr>
      <t>des_rsvd</t>
    </r>
    <r>
      <rPr>
        <sz val="11"/>
        <color theme="1"/>
        <rFont val="Microsoft YaHei UI"/>
        <family val="2"/>
        <charset val="134"/>
      </rPr>
      <t>3</t>
    </r>
  </si>
  <si>
    <t>指令操作类型
0:   C_W_transpose
1:   W_C_transpose
2:   lane_copy
3:   lane_broad
4:   static_broad
5:   static_distribute</t>
  </si>
  <si>
    <t>((des_tsk_eu_typ_reg == `DES_TRANS_CWTRAN) ? 3'd3 : (des_tsk_eu_typ_reg == `DES_BC_SDIS) ? 3'd1 : 3'd0)</t>
  </si>
  <si>
    <t>res0的n, 0无效
如果指令操作类型是static_broad, static_distribute, 则，
des_res0_n = 1</t>
  </si>
  <si>
    <t>res0的w, 0无效
如果指令操作类型是static_distribute, 则
des_res0_w = 1</t>
  </si>
  <si>
    <t>opd0的c
如果指令操作类型是lane_broad, 则
des_opd0_c = 1</t>
  </si>
  <si>
    <t xml:space="preserve">((des_short_res0_str_hw == 3'd0) ? macro_res0_000_n_str : (des_short_res0_str_hw == 3'd1) ? 16'd0 :  macro_res0_003_n_str)
</t>
  </si>
  <si>
    <t xml:space="preserve">((des_short_res0_str_hw == 3'd0) ? macro_res0_000_c_str : (des_short_res0_str_hw == 3'd1) ? 16'd1:  macro_res0_003_c_str)
</t>
  </si>
  <si>
    <t>opd0起始地址
如果指令操作类型是static_broad, static_distribute, 则
opd0指向static mem地址</t>
  </si>
  <si>
    <t>sRS
opd0=src
res0=result</t>
  </si>
  <si>
    <t>指令任务类型
5:   TRAN &amp; BC</t>
  </si>
  <si>
    <t>res0的h, 0无效
如果指令操作类型是static_braod, static_distribute, 则，
des_res0_h = 1</t>
  </si>
  <si>
    <t>Length(bit)</t>
  </si>
  <si>
    <t>High(bit)</t>
  </si>
  <si>
    <t>Low(bit)</t>
  </si>
  <si>
    <t>指令任务类型
15: sys</t>
  </si>
  <si>
    <t>des_reg_vld</t>
  </si>
  <si>
    <t>如果指令操作类型是swr, swr_from_lmem则
des_reg_vld[1]: 指令寄存器长效valid bit
des_reg_vld[0]: 指令寄存器短效valid bit
其他, ignore</t>
  </si>
  <si>
    <t>des_reg_idx</t>
  </si>
  <si>
    <t>des_imm</t>
  </si>
  <si>
    <t>NA</t>
  </si>
  <si>
    <t>gen code使用, 软件无需care</t>
  </si>
  <si>
    <t>`INT8</t>
  </si>
  <si>
    <t>((des_cur[`DES_TSK_EU_TYP] == `DES_SYS_SWR_FLMEM) ? 3'd0 : 3'd1)</t>
  </si>
  <si>
    <t>((des_cur[`DES_TSK_EU_TYP] == `DES_SYS_SWR_FLMEM) ? 16'd1 : 16'd64)</t>
  </si>
  <si>
    <t>((des_cur[`DES_TSK_EU_TYP] == `DES_SYS_SWR_FLMEM) ? 16'd64 : 16'd1)</t>
  </si>
  <si>
    <t>des_cur[95:64]</t>
  </si>
  <si>
    <t>des_cur[`SYS_NORM_IMM]</t>
  </si>
  <si>
    <t>{7'd0, des_cur[`SYS_NORM_REG_VLD], des_cur[`SYS_NORM_REG_IDX]}</t>
  </si>
  <si>
    <r>
      <rPr>
        <sz val="10"/>
        <rFont val="Microsoft YaHei UI"/>
        <family val="2"/>
        <charset val="134"/>
      </rPr>
      <t>des_</t>
    </r>
    <r>
      <rPr>
        <sz val="10"/>
        <rFont val="Microsoft YaHei UI"/>
        <family val="2"/>
        <charset val="134"/>
      </rPr>
      <t>imm0</t>
    </r>
  </si>
  <si>
    <t>立即数</t>
  </si>
  <si>
    <t>des_reg_idx0</t>
  </si>
  <si>
    <t>写入第一个寄存器的idx</t>
  </si>
  <si>
    <r>
      <rPr>
        <sz val="10"/>
        <rFont val="Microsoft YaHei UI"/>
        <family val="2"/>
        <charset val="134"/>
      </rPr>
      <t>指令任务类型
1</t>
    </r>
    <r>
      <rPr>
        <sz val="10"/>
        <rFont val="Microsoft YaHei UI"/>
        <family val="2"/>
        <charset val="134"/>
      </rPr>
      <t>2</t>
    </r>
    <r>
      <rPr>
        <sz val="10"/>
        <rFont val="Microsoft YaHei UI"/>
        <family val="2"/>
        <charset val="134"/>
      </rPr>
      <t xml:space="preserve">: </t>
    </r>
    <r>
      <rPr>
        <sz val="10"/>
        <rFont val="Microsoft YaHei UI"/>
        <family val="2"/>
        <charset val="134"/>
      </rPr>
      <t>SYS_TR_WR</t>
    </r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</si>
  <si>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1</t>
    </r>
  </si>
  <si>
    <t>写入第二个寄存器的idx</t>
  </si>
  <si>
    <r>
      <rPr>
        <sz val="10"/>
        <rFont val="Microsoft YaHei UI"/>
        <family val="2"/>
        <charset val="134"/>
      </rPr>
      <t>des_reg_idx</t>
    </r>
    <r>
      <rPr>
        <sz val="10"/>
        <rFont val="Microsoft YaHei UI"/>
        <family val="2"/>
        <charset val="134"/>
      </rPr>
      <t>2</t>
    </r>
  </si>
  <si>
    <t>写入第三个寄存器的idx</t>
  </si>
  <si>
    <r>
      <rPr>
        <sz val="10"/>
        <rFont val="Microsoft YaHei UI"/>
        <family val="2"/>
        <charset val="134"/>
      </rPr>
      <t>des_imm</t>
    </r>
    <r>
      <rPr>
        <sz val="10"/>
        <rFont val="Microsoft YaHei UI"/>
        <family val="2"/>
        <charset val="134"/>
      </rPr>
      <t>1</t>
    </r>
  </si>
  <si>
    <t xml:space="preserve">
立即数
</t>
  </si>
  <si>
    <r>
      <t>des_</t>
    </r>
    <r>
      <rPr>
        <sz val="10"/>
        <rFont val="Microsoft YaHei UI"/>
        <family val="2"/>
        <charset val="134"/>
      </rPr>
      <t>res0_addr</t>
    </r>
    <phoneticPr fontId="16" type="noConversion"/>
  </si>
  <si>
    <r>
      <t>des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>tsk_eu_typ</t>
    </r>
    <phoneticPr fontId="16" type="noConversion"/>
  </si>
  <si>
    <r>
      <t>0</t>
    </r>
    <r>
      <rPr>
        <sz val="10"/>
        <rFont val="Microsoft YaHei UI"/>
        <family val="2"/>
        <charset val="134"/>
      </rPr>
      <t>: WR_IMM</t>
    </r>
    <phoneticPr fontId="16" type="noConversion"/>
  </si>
  <si>
    <t>des_cur[`SYS_TR_ACC_IMM0]</t>
    <phoneticPr fontId="16" type="noConversion"/>
  </si>
  <si>
    <r>
      <t>des_cur[`SYS_TR_ACC</t>
    </r>
    <r>
      <rPr>
        <sz val="10"/>
        <rFont val="Microsoft YaHei UI"/>
        <family val="2"/>
        <charset val="134"/>
      </rPr>
      <t>_IMM</t>
    </r>
    <r>
      <rPr>
        <sz val="10"/>
        <rFont val="Microsoft YaHei UI"/>
        <family val="2"/>
        <charset val="134"/>
      </rPr>
      <t>1</t>
    </r>
    <r>
      <rPr>
        <sz val="10"/>
        <rFont val="Microsoft YaHei UI"/>
        <family val="2"/>
        <charset val="134"/>
      </rPr>
      <t>]</t>
    </r>
    <phoneticPr fontId="16" type="noConversion"/>
  </si>
  <si>
    <r>
      <t>{8'd0, des_cur[`SYS_TR_ACC_REG_IDX2], des_cur[`SYS_TR_ACC_REG</t>
    </r>
    <r>
      <rPr>
        <sz val="10"/>
        <rFont val="Microsoft YaHei UI"/>
        <family val="2"/>
        <charset val="134"/>
      </rPr>
      <t>_</t>
    </r>
    <r>
      <rPr>
        <sz val="10"/>
        <rFont val="Microsoft YaHei UI"/>
        <family val="2"/>
        <charset val="134"/>
      </rPr>
      <t xml:space="preserve">IDX1], </t>
    </r>
    <r>
      <rPr>
        <sz val="10"/>
        <rFont val="Microsoft YaHei UI"/>
        <family val="2"/>
        <charset val="134"/>
      </rPr>
      <t>des_cur[`SYS_</t>
    </r>
    <r>
      <rPr>
        <sz val="10"/>
        <rFont val="Microsoft YaHei UI"/>
        <family val="2"/>
        <charset val="134"/>
      </rPr>
      <t>TR_ACC</t>
    </r>
    <r>
      <rPr>
        <sz val="10"/>
        <rFont val="Microsoft YaHei UI"/>
        <family val="2"/>
        <charset val="134"/>
      </rPr>
      <t>_REG_IDX</t>
    </r>
    <r>
      <rPr>
        <sz val="10"/>
        <rFont val="Microsoft YaHei UI"/>
        <family val="2"/>
        <charset val="134"/>
      </rPr>
      <t>0</t>
    </r>
    <r>
      <rPr>
        <sz val="10"/>
        <rFont val="Microsoft YaHei UI"/>
        <family val="2"/>
        <charset val="134"/>
      </rPr>
      <t>]}</t>
    </r>
    <phoneticPr fontId="16" type="noConversion"/>
  </si>
  <si>
    <t>reserved</t>
    <phoneticPr fontId="16" type="noConversion"/>
  </si>
  <si>
    <t>T128</t>
    <phoneticPr fontId="16" type="noConversion"/>
  </si>
  <si>
    <t>0：独立模式；1： 组合模式, reset0</t>
    <phoneticPr fontId="16" type="noConversion"/>
  </si>
  <si>
    <t>cfg2_rsvd0</t>
    <phoneticPr fontId="16" type="noConversion"/>
  </si>
  <si>
    <t>cfg6_rsvd0</t>
    <phoneticPr fontId="16" type="noConversion"/>
  </si>
  <si>
    <t>cfg7_rsvd0</t>
    <phoneticPr fontId="16" type="noConversion"/>
  </si>
  <si>
    <t>cfg7_rsvd1</t>
    <phoneticPr fontId="16" type="noConversion"/>
  </si>
  <si>
    <t>cfg8_rsvd0</t>
    <phoneticPr fontId="16" type="noConversion"/>
  </si>
  <si>
    <t>cfg14_rsvd1</t>
    <phoneticPr fontId="16" type="noConversion"/>
  </si>
  <si>
    <t>cfg15_rsvd0</t>
    <phoneticPr fontId="16" type="noConversion"/>
  </si>
  <si>
    <t>cfg15_rsvd1</t>
    <phoneticPr fontId="16" type="noConversion"/>
  </si>
  <si>
    <t>des_rsvd1</t>
    <phoneticPr fontId="16" type="noConversion"/>
  </si>
  <si>
    <t>des_rsvd2</t>
    <phoneticPr fontId="16" type="noConversion"/>
  </si>
  <si>
    <t>des_rsvd3</t>
    <phoneticPr fontId="16" type="noConversion"/>
  </si>
  <si>
    <t>des_rsvd0</t>
    <phoneticPr fontId="16" type="noConversion"/>
  </si>
  <si>
    <t>des_rsvd1</t>
    <phoneticPr fontId="16" type="noConversion"/>
  </si>
  <si>
    <t>des_rsvd2</t>
    <phoneticPr fontId="16" type="noConversion"/>
  </si>
  <si>
    <t>des_rsvd3</t>
    <phoneticPr fontId="16" type="noConversion"/>
  </si>
  <si>
    <t>des_rsvd1</t>
    <phoneticPr fontId="16" type="noConversion"/>
  </si>
  <si>
    <t>des_opt_opd2_sign</t>
    <phoneticPr fontId="16" type="noConversion"/>
  </si>
  <si>
    <t>RW</t>
    <phoneticPr fontId="16" type="noConversion"/>
  </si>
  <si>
    <t>0x0</t>
    <phoneticPr fontId="16" type="noConversion"/>
  </si>
  <si>
    <t>des_rsvd4</t>
    <phoneticPr fontId="16" type="noConversion"/>
  </si>
  <si>
    <t>des_rsvd5</t>
    <phoneticPr fontId="16" type="noConversion"/>
  </si>
  <si>
    <t>des_rsvd6</t>
    <phoneticPr fontId="16" type="noConversion"/>
  </si>
  <si>
    <t>des_rsvd7</t>
    <phoneticPr fontId="16" type="noConversion"/>
  </si>
  <si>
    <t>des_rsvd8</t>
    <phoneticPr fontId="16" type="noConversion"/>
  </si>
  <si>
    <t>des_rsvd9</t>
    <phoneticPr fontId="16" type="noConversion"/>
  </si>
  <si>
    <t>T129</t>
    <phoneticPr fontId="16" type="noConversion"/>
  </si>
  <si>
    <t>((des_short_res0_str_hw == 3'd0) ? {12'd0, macro_res0_000_n_str[17:16], 2'd0, des_res0_w_hw} : (des_short_res0_str_hw == 3'd1) ? 32'd0 :  {12'd0, macro_res0_003_n_str[17:16], macro_res0_003_h_str[17:0]})</t>
  </si>
  <si>
    <t>{12'd0, macro_res0_000_c_str[17:16], 18'd1}</t>
  </si>
  <si>
    <t>{12'd0, macro_res0_003_c_str[17:16], 18'd1}</t>
  </si>
  <si>
    <t>{12'd0, ((des_short_res0_str_hw == 3'd0) ? macro_res0_000_c_str[17:16] : (des_short_res0_str_hw == 3'd1) ? 2'd0 : macro_res0_003_c_str[17:16]), 18'd1}</t>
  </si>
  <si>
    <t>((des_short_opd0_str_reg == 3'd3)? des_opd0_h_str_reg : {12'd0, macro_opd0_000_n_str[17:16], 2'd0, des_opd0_w_hw})</t>
  </si>
  <si>
    <t>{12'd0, macro_opd0_000_n_str[17:16], 2'd0, des_opd0_w_hw}</t>
  </si>
  <si>
    <t>{12'd0, macro_opd0_000_n_str[17:16], 2'd0, des_opd0_w_hw[15:0]}</t>
  </si>
  <si>
    <t>{12'd0, (((des_tsk_eu_typ_reg == `DES_SGPE_M_GD1C) ? 2'd0 : (des_short_opd0_str_hw == 3'd4) ? 2'd0 : macro_opd0_000_n_str[17:16])), 2'd0, des_opd0_w_hw[15:0]}</t>
  </si>
  <si>
    <t>{12'd0, ((des_short_opd0_str_reg == 3'd3) ? macro_opd0_003_n_str[17:16] : 2'd0), macro_opd0_003_h_str[17:0]}</t>
  </si>
  <si>
    <t>((des_short_opd0_str_reg == 3'd3)? des_opd0_w_str_reg : {12'd0, macro_opd0_000_c_str[17:16], 18'd1})</t>
  </si>
  <si>
    <t>{12'd0, macro_opd0_000_c_str[17:16], 18'd1}</t>
  </si>
  <si>
    <t>{12'd0, ((des_short_opd0_str_reg == 3'd5) ? 2'd0 : (des_short_opd0_str_reg == 3'd4) ? 2'd0 : macro_opd0_000_c_str[17:16]), 18'd1}</t>
  </si>
  <si>
    <t>{12'd0, ((des_short_opd0_str_reg == 3'd3) ? macro_opd0_003_c_str[17:16] : 2'd0), 18'd1}</t>
  </si>
  <si>
    <t>{12'd0, macro_opd1_000_n_str[17:16], 2'd0, des_opd1_w_hw}</t>
  </si>
  <si>
    <t>{12'd0, macro_opd1_000_n_str[17:16], 2'd0, des_opd0_w_hw}</t>
  </si>
  <si>
    <t>{12'd0, macro_opd1_000_n_str[17:16], 2'd0, des_opd1_w_hw[15:0]}</t>
  </si>
  <si>
    <t>{12'd0, ((des_short_opd1_str_reg == 3'd1) ? macro_opd1_001_n_str[17:16] : macro_opd1_000_n_str[17:16]), 2'd0, des_opd1_w_hw}</t>
  </si>
  <si>
    <t>{12'd0, macro_opd1_000_n_str[17:16], 18'd1}</t>
  </si>
  <si>
    <t>{12'd0, macro_opd1_000_c_str[17:16], 18'd1}</t>
  </si>
  <si>
    <t>{12'd0, macro_opd1_000_c_str[17:16], 2'd0, 18'd1}</t>
  </si>
  <si>
    <t>{12'd0, ((des_short_opd1_str_reg == 3'd1) ? macro_opd1_001_c_str[17:16] : macro_opd1_000_c_str[17:16]), 18'd1}</t>
  </si>
  <si>
    <t>{12'd0, macro_opd2_000_n_str[17:16], 2'd0, des_res0_w_hw}</t>
  </si>
  <si>
    <t>{12'd0, macro_opd2_000_c_str[17:16], 18'd1 }</t>
  </si>
  <si>
    <t>4'h0</t>
    <phoneticPr fontId="16" type="noConversion"/>
  </si>
  <si>
    <t>DES口ARQoS</t>
    <phoneticPr fontId="16" type="noConversion"/>
  </si>
  <si>
    <t>DES口AWQoS</t>
    <phoneticPr fontId="16" type="noConversion"/>
  </si>
  <si>
    <t>cfg_des_arqos</t>
    <phoneticPr fontId="16" type="noConversion"/>
  </si>
  <si>
    <t>cfg_des_awqos</t>
    <phoneticPr fontId="16" type="noConversion"/>
  </si>
  <si>
    <t>清除des buf里的指令</t>
    <phoneticPr fontId="16" type="noConversion"/>
  </si>
  <si>
    <t>cfg_des_clr_busy</t>
    <phoneticPr fontId="16" type="noConversion"/>
  </si>
  <si>
    <t>cfg_cube_clk_gate_en</t>
    <phoneticPr fontId="16" type="noConversion"/>
  </si>
  <si>
    <t>cfg_lmem_clk_gate_en</t>
    <phoneticPr fontId="16" type="noConversion"/>
  </si>
  <si>
    <t>为高时表示开启cube的clk_gate功能</t>
    <phoneticPr fontId="16" type="noConversion"/>
  </si>
  <si>
    <t>为高时表示开启lmem的clk_gate功能</t>
    <phoneticPr fontId="16" type="noConversion"/>
  </si>
  <si>
    <t>cfg_eu_clk_buf</t>
    <phoneticPr fontId="16" type="noConversion"/>
  </si>
  <si>
    <t>RW</t>
    <phoneticPr fontId="16" type="noConversion"/>
  </si>
  <si>
    <t>1'b0</t>
    <phoneticPr fontId="16" type="noConversion"/>
  </si>
  <si>
    <t>4'd0</t>
    <phoneticPr fontId="16" type="noConversion"/>
  </si>
  <si>
    <t>cfg_cube_clk_buf</t>
    <phoneticPr fontId="16" type="noConversion"/>
  </si>
  <si>
    <t>cfg_lmem_clk_buf</t>
    <phoneticPr fontId="16" type="noConversion"/>
  </si>
  <si>
    <t>eu clk延迟关闭的调整时间</t>
    <phoneticPr fontId="16" type="noConversion"/>
  </si>
  <si>
    <t>cube clk延迟关闭的调整时间</t>
    <phoneticPr fontId="16" type="noConversion"/>
  </si>
  <si>
    <t>lmem clk延迟关闭的调整时间</t>
    <phoneticPr fontId="16" type="noConversion"/>
  </si>
  <si>
    <t>16'h0</t>
    <phoneticPr fontId="16" type="noConversion"/>
  </si>
  <si>
    <t>5'h0</t>
    <phoneticPr fontId="16" type="noConversion"/>
  </si>
  <si>
    <t>des buf剩余空间，cfg_cmdbuf_avail*128Byte, 最多128*128Byte</t>
    <phoneticPr fontId="16" type="noConversion"/>
  </si>
  <si>
    <t>reserved0
0不可用</t>
    <phoneticPr fontId="16" type="noConversion"/>
  </si>
  <si>
    <t>cfg_fb_only_cmm2</t>
    <phoneticPr fontId="16" type="noConversion"/>
  </si>
  <si>
    <t>指令barrier</t>
    <phoneticPr fontId="16" type="noConversion"/>
  </si>
  <si>
    <t>cfg_cmdbuf_intr_en</t>
    <phoneticPr fontId="16" type="noConversion"/>
  </si>
  <si>
    <t xml:space="preserve">dma </t>
    <phoneticPr fontId="16" type="noConversion"/>
  </si>
  <si>
    <t>cfg_dma_ban_overlap</t>
    <phoneticPr fontId="16" type="noConversion"/>
  </si>
  <si>
    <t>dma总线，读出fifo空间控制 降低outstanding数量</t>
    <phoneticPr fontId="16" type="noConversion"/>
  </si>
  <si>
    <t>cfg_dma_space_margin</t>
    <phoneticPr fontId="16" type="noConversion"/>
  </si>
  <si>
    <t>cfg_rst_cmdid</t>
    <phoneticPr fontId="16" type="noConversion"/>
  </si>
  <si>
    <t>cfg_des_clr</t>
    <phoneticPr fontId="16" type="noConversion"/>
  </si>
  <si>
    <t>cfg_des_resp_err</t>
    <phoneticPr fontId="16" type="noConversion"/>
  </si>
  <si>
    <t>cfg_load_mon_clr</t>
    <phoneticPr fontId="16" type="noConversion"/>
  </si>
  <si>
    <t>cfg_load_mon_en</t>
    <phoneticPr fontId="16" type="noConversion"/>
  </si>
  <si>
    <t>cfg3_rsvd0</t>
    <phoneticPr fontId="16" type="noConversion"/>
  </si>
  <si>
    <t>cfg_load_mon_cnt</t>
    <phoneticPr fontId="16" type="noConversion"/>
  </si>
  <si>
    <t>cfg3_rsvd1</t>
    <phoneticPr fontId="16" type="noConversion"/>
  </si>
  <si>
    <t>RW</t>
    <phoneticPr fontId="16" type="noConversion"/>
  </si>
  <si>
    <t>1'b0</t>
    <phoneticPr fontId="16" type="noConversion"/>
  </si>
  <si>
    <t>62'd0</t>
    <phoneticPr fontId="16" type="noConversion"/>
  </si>
  <si>
    <t>reserved</t>
    <phoneticPr fontId="16" type="noConversion"/>
  </si>
  <si>
    <t>8'd0</t>
    <phoneticPr fontId="16" type="noConversion"/>
  </si>
  <si>
    <t>cfg_instr_vld_cnt</t>
    <phoneticPr fontId="16" type="noConversion"/>
  </si>
  <si>
    <t>cfg4_rsvd0</t>
    <phoneticPr fontId="16" type="noConversion"/>
  </si>
  <si>
    <t>cfg4_instr_iss_cnt</t>
    <phoneticPr fontId="16" type="noConversion"/>
  </si>
  <si>
    <t>RO</t>
    <phoneticPr fontId="16" type="noConversion"/>
  </si>
  <si>
    <t>56'd0</t>
    <phoneticPr fontId="16" type="noConversion"/>
  </si>
  <si>
    <t>load mon计数器，当cfg_load_mon_en使能后，对时钟计数</t>
    <phoneticPr fontId="16" type="noConversion"/>
  </si>
  <si>
    <t>指令队列里有待发射的指令时，进行计数</t>
    <phoneticPr fontId="16" type="noConversion"/>
  </si>
  <si>
    <t>指令队列有正在执行的指令时，进行计数</t>
    <phoneticPr fontId="16" type="noConversion"/>
  </si>
  <si>
    <t>使能loading monitor功能</t>
    <phoneticPr fontId="16" type="noConversion"/>
  </si>
  <si>
    <t>cfg4_rsvd1</t>
    <phoneticPr fontId="16" type="noConversion"/>
  </si>
  <si>
    <t>W1C</t>
    <phoneticPr fontId="16" type="noConversion"/>
  </si>
  <si>
    <t>对load_mon_cnt, instr_vld_cnt, instr_iss_cnt同步清0，写1后，硬件自动清0</t>
    <phoneticPr fontId="16" type="noConversion"/>
  </si>
  <si>
    <t>RO</t>
    <phoneticPr fontId="16" type="noConversion"/>
  </si>
  <si>
    <t>performance monitor wr addr</t>
    <phoneticPr fontId="16" type="noConversion"/>
  </si>
  <si>
    <t>perf_aw_addr</t>
    <phoneticPr fontId="16" type="noConversion"/>
  </si>
  <si>
    <t>RO</t>
    <phoneticPr fontId="16" type="noConversion"/>
  </si>
  <si>
    <t>40'b0</t>
    <phoneticPr fontId="16" type="noConversion"/>
  </si>
  <si>
    <t>1'b0</t>
    <phoneticPr fontId="16" type="noConversion"/>
  </si>
  <si>
    <t>cfg_stopper_enable</t>
    <phoneticPr fontId="16" type="noConversion"/>
  </si>
  <si>
    <t>cfg_stopper_bypass</t>
    <phoneticPr fontId="16" type="noConversion"/>
  </si>
  <si>
    <t>cfg5_rsvd2</t>
    <phoneticPr fontId="16" type="noConversion"/>
  </si>
  <si>
    <t>RW</t>
    <phoneticPr fontId="16" type="noConversion"/>
  </si>
  <si>
    <t>mm2_nt指令下不打开pxl/pins buffer</t>
    <phoneticPr fontId="16" type="noConversion"/>
  </si>
  <si>
    <t>cfg_fb_conv_dis</t>
    <phoneticPr fontId="16" type="noConversion"/>
  </si>
  <si>
    <t>cfg_fb_mm2_dis</t>
    <phoneticPr fontId="16" type="noConversion"/>
  </si>
  <si>
    <t>cfg_fb_mm2_nt_dis</t>
    <phoneticPr fontId="16" type="noConversion"/>
  </si>
  <si>
    <t>conv指令下关闭pxl/pins buffer</t>
    <phoneticPr fontId="16" type="noConversion"/>
  </si>
  <si>
    <t>mm2指令下关闭pxl/pins buffer</t>
    <phoneticPr fontId="16" type="noConversion"/>
  </si>
  <si>
    <t>cfg_fb_pord_dis</t>
    <phoneticPr fontId="16" type="noConversion"/>
  </si>
  <si>
    <t>pord指令下不打开pxl/pins buffer</t>
    <phoneticPr fontId="16" type="noConversion"/>
  </si>
  <si>
    <t>只在conv mm2 pord的时候开启pxl/pins buffer</t>
    <phoneticPr fontId="16" type="noConversion"/>
  </si>
  <si>
    <t>1'h0</t>
    <phoneticPr fontId="16" type="noConversion"/>
  </si>
  <si>
    <t>cfg_stopper_pause_done</t>
    <phoneticPr fontId="16" type="noConversion"/>
  </si>
  <si>
    <t>使能stopper</t>
    <phoneticPr fontId="16" type="noConversion"/>
  </si>
  <si>
    <t>stopper为bypass模式</t>
    <phoneticPr fontId="16" type="noConversion"/>
  </si>
  <si>
    <t>所有传输都已经结束，且不会发起新的传输</t>
    <phoneticPr fontId="16" type="noConversion"/>
  </si>
  <si>
    <t>使能cmdbuf中断</t>
    <phoneticPr fontId="16" type="noConversion"/>
  </si>
  <si>
    <t>cmdbuf中断情况</t>
    <phoneticPr fontId="16" type="noConversion"/>
  </si>
  <si>
    <t>RW</t>
    <phoneticPr fontId="16" type="noConversion"/>
  </si>
  <si>
    <t>opd0数据类型是INT8时，opd0是否为有符号数
0: 无符号数
1: 有符号数
opd0数据类型是FP8时，opd0为152格式或143格式
0：152格式
1：143格式</t>
    <phoneticPr fontId="16" type="noConversion"/>
  </si>
  <si>
    <t>res0数据类型
0: INT8
1: FP16
2: FP32
3: INT16
4: INT32
5: BFP16
6: INT4
7：FP8</t>
    <phoneticPr fontId="16" type="noConversion"/>
  </si>
  <si>
    <t>opd0数据类型
0: INT8
1: FP16
2: FP32
3: INT16
4: INT32
5: BFP16
6: INT4
7：FP8</t>
    <phoneticPr fontId="16" type="noConversion"/>
  </si>
  <si>
    <t>opd1数据类型
0: INT8
1: FP16
2: FP32
3: INT16
4: INT32
5: BFP16
6: INT4
7：FP8</t>
    <phoneticPr fontId="16" type="noConversion"/>
  </si>
  <si>
    <t>opd2数据类型
0: INT8
1: FP16
2: FP32
3: INT16
4: INT32
5: BFP16
6: INT4
7：FP8</t>
    <phoneticPr fontId="16" type="noConversion"/>
  </si>
  <si>
    <t>opd2数据类型是INT8时，opd2是否为有符号数
0: 无符号数
1: 有符号数
opd2数据类型是FP8时，opd2为152格式或143格式
0：152格式
1：143格式</t>
    <phoneticPr fontId="16" type="noConversion"/>
  </si>
  <si>
    <t>opd1数据类型是INT8时，opd1是否为有符号数
0: 无符号数
1: 有符号数
opd1数据类型是FP8时，opd1为152格式或143格式
0：152格式
1：143格式</t>
    <phoneticPr fontId="16" type="noConversion"/>
  </si>
  <si>
    <t>结果是INT型时，指明结果是有符号数还是无符号数
0: 无符号
1: 有符号
结果数据类型是FP8时，opd2为152格式或143格式
0：152格式
1：143格式</t>
    <phoneticPr fontId="16" type="noConversion"/>
  </si>
  <si>
    <t>res0是INT型时，指明结果是有符号数还是无符号数
0: 无符号
1: 有符号
结果数据类型是FP8时，opd2为152格式或143格式
0：152格式
1：143格式</t>
    <phoneticPr fontId="16" type="noConversion"/>
  </si>
  <si>
    <t>des_opt_opd2_prec</t>
    <phoneticPr fontId="16" type="noConversion"/>
  </si>
  <si>
    <t>opd2数据类型
0: INT8
1: FP16
2: FP32
3: INT16
4: INT32
5: BFP16
6: INT4
7：FP8</t>
    <phoneticPr fontId="16" type="noConversion"/>
  </si>
  <si>
    <t>res0数据类型：
1: FP16
2: FP32
5: BFP16
7：FP8
others: not support</t>
    <phoneticPr fontId="16" type="noConversion"/>
  </si>
  <si>
    <t>数据类型是FP8时，结果为152格式或143格式
0：152格式
1：143格式</t>
    <phoneticPr fontId="16" type="noConversion"/>
  </si>
  <si>
    <t>des_opd0_sign</t>
    <phoneticPr fontId="16" type="noConversion"/>
  </si>
  <si>
    <t>des_opd1_sign</t>
    <phoneticPr fontId="16" type="noConversion"/>
  </si>
  <si>
    <t>des_opd2_sign</t>
    <phoneticPr fontId="16" type="noConversion"/>
  </si>
  <si>
    <t>des_res0_sign</t>
    <phoneticPr fontId="16" type="noConversion"/>
  </si>
  <si>
    <t>0x0</t>
    <phoneticPr fontId="16" type="noConversion"/>
  </si>
  <si>
    <t>cmp_srch_bin指令时，指定分入的区间
0：left
1：right</t>
    <phoneticPr fontId="16" type="noConversion"/>
  </si>
  <si>
    <t>des_opt_opd2_sign</t>
    <phoneticPr fontId="16" type="noConversion"/>
  </si>
  <si>
    <t>reserved</t>
    <phoneticPr fontId="16" type="noConversion"/>
  </si>
  <si>
    <t>cfg_seed_initial</t>
    <phoneticPr fontId="16" type="noConversion"/>
  </si>
  <si>
    <t>RW</t>
    <phoneticPr fontId="16" type="noConversion"/>
  </si>
  <si>
    <t>64'ha251b061c408d132</t>
    <phoneticPr fontId="16" type="noConversion"/>
  </si>
  <si>
    <t>res0数据类型
0: INT8
3: INT16
4: INT32
others:not supported</t>
    <phoneticPr fontId="16" type="noConversion"/>
  </si>
  <si>
    <t>指令操作类型
0: prng 
1:prng with intial seed
2:prng with  loaded states
others: not supported</t>
    <phoneticPr fontId="16" type="noConversion"/>
  </si>
  <si>
    <t>是否需要将状态寄存器写回至lmem的res1_add处（store操作）
0：不需要
1：需要</t>
    <phoneticPr fontId="16" type="noConversion"/>
  </si>
  <si>
    <t>当是prng with  loaded states时，表示states的地址</t>
    <phoneticPr fontId="16" type="noConversion"/>
  </si>
  <si>
    <t>如果des_opt_add为1， 则表示需要将状态寄存器需要写回的地址</t>
    <phoneticPr fontId="16" type="noConversion"/>
  </si>
  <si>
    <t>((des_tsk_eu_typ_reg == `DES_TA_CP_MB || des_short_res0_str_reg==3'd0) ? macro_res0_000_c_str [15:0]: des_res0_c_str_reg[15:0])</t>
  </si>
  <si>
    <t>指令任务类型
8: rand_gen</t>
    <phoneticPr fontId="16" type="noConversion"/>
  </si>
  <si>
    <t>如果指令操作类型是swr, swr_from_lmem则
指令寄存器index
其他, ignore</t>
    <phoneticPr fontId="16" type="noConversion"/>
  </si>
  <si>
    <t>表示prng jump 次数</t>
    <phoneticPr fontId="16" type="noConversion"/>
  </si>
  <si>
    <t>c_offset</t>
    <phoneticPr fontId="16" type="noConversion"/>
  </si>
  <si>
    <t>0x0</t>
    <phoneticPr fontId="16" type="noConversion"/>
  </si>
  <si>
    <t>cfg10</t>
    <phoneticPr fontId="16" type="noConversion"/>
  </si>
  <si>
    <t>cfg11</t>
    <phoneticPr fontId="16" type="noConversion"/>
  </si>
  <si>
    <t>des_opt_rsv0</t>
    <phoneticPr fontId="16" type="noConversion"/>
  </si>
  <si>
    <t>reserved</t>
    <phoneticPr fontId="16" type="noConversion"/>
  </si>
  <si>
    <t>des_dbg_mode</t>
    <phoneticPr fontId="16" type="noConversion"/>
  </si>
  <si>
    <t>res_sign</t>
    <phoneticPr fontId="16" type="noConversion"/>
  </si>
  <si>
    <t>RW</t>
    <phoneticPr fontId="16" type="noConversion"/>
  </si>
  <si>
    <t>0x0</t>
    <phoneticPr fontId="16" type="noConversion"/>
  </si>
  <si>
    <t>res0_sign</t>
    <phoneticPr fontId="16" type="noConversion"/>
  </si>
  <si>
    <t>cfg_cmm2_i4_opd0_1p</t>
  </si>
  <si>
    <t>1: 384bit</t>
    <phoneticPr fontId="16" type="noConversion"/>
  </si>
  <si>
    <t>debug single_step des_mode</t>
    <phoneticPr fontId="16" type="noConversion"/>
  </si>
  <si>
    <t>cfg_reg</t>
    <phoneticPr fontId="16" type="noConversion"/>
  </si>
  <si>
    <t>cfg_reg1</t>
    <phoneticPr fontId="16" type="noConversion"/>
  </si>
  <si>
    <t>cmm2 opd0 w4 1step</t>
    <phoneticPr fontId="16" type="noConversion"/>
  </si>
  <si>
    <t>cfg_pwr_ctrl_en1</t>
    <phoneticPr fontId="16" type="noConversion"/>
  </si>
  <si>
    <t>cfg_ctrl_step_len1</t>
  </si>
  <si>
    <t>cfg_all_lane_data_weight1</t>
  </si>
  <si>
    <t>cfg_delta_pwr_max</t>
  </si>
  <si>
    <t>cfg_all_inst_weight1</t>
  </si>
  <si>
    <t>cfg11_rsvd0</t>
    <phoneticPr fontId="16" type="noConversion"/>
  </si>
  <si>
    <t>RW</t>
    <phoneticPr fontId="16" type="noConversion"/>
  </si>
  <si>
    <t>1'h0</t>
    <phoneticPr fontId="16" type="noConversion"/>
  </si>
  <si>
    <t>3'h0</t>
    <phoneticPr fontId="16" type="noConversion"/>
  </si>
  <si>
    <t>20'h0</t>
    <phoneticPr fontId="16" type="noConversion"/>
  </si>
  <si>
    <t>8'h0</t>
    <phoneticPr fontId="16" type="noConversion"/>
  </si>
  <si>
    <t>92'h0</t>
    <phoneticPr fontId="16" type="noConversion"/>
  </si>
  <si>
    <t>4'h0</t>
    <phoneticPr fontId="16" type="noConversion"/>
  </si>
  <si>
    <t>cfg_inst_err_cnt</t>
    <phoneticPr fontId="16" type="noConversion"/>
  </si>
  <si>
    <t>cfg_inst_parity_next_err_id</t>
  </si>
  <si>
    <t>RO</t>
    <phoneticPr fontId="16" type="noConversion"/>
  </si>
  <si>
    <t>32‘h0</t>
    <phoneticPr fontId="16" type="noConversion"/>
  </si>
  <si>
    <t>16'h0</t>
    <phoneticPr fontId="16" type="noConversion"/>
  </si>
  <si>
    <t>reserved</t>
    <phoneticPr fontId="16" type="noConversion"/>
  </si>
  <si>
    <t>des_hw_err(des buf err) cnt</t>
    <phoneticPr fontId="16" type="noConversion"/>
  </si>
  <si>
    <t>62'b0</t>
    <phoneticPr fontId="16" type="noConversion"/>
  </si>
  <si>
    <t>cmd_id_cnt if not des_hw_err，记录第一次错的前一个cmdid</t>
    <phoneticPr fontId="16" type="noConversion"/>
  </si>
  <si>
    <t>cfg_cmdbuf_avail</t>
    <phoneticPr fontId="16" type="noConversion"/>
  </si>
  <si>
    <t>cfg_intr_inst_parity_err_en</t>
  </si>
  <si>
    <t>cfg6_rsvd1</t>
    <phoneticPr fontId="16" type="noConversion"/>
  </si>
  <si>
    <t>30'b0</t>
    <phoneticPr fontId="16" type="noConversion"/>
  </si>
  <si>
    <t>cfg_intr_en</t>
    <phoneticPr fontId="16" type="noConversion"/>
  </si>
  <si>
    <t>cfg_intr_stat</t>
    <phoneticPr fontId="16" type="noConversion"/>
  </si>
  <si>
    <t>cfg14_rsvd0</t>
  </si>
  <si>
    <t>intr_tsk_type_err_stat</t>
  </si>
  <si>
    <t>intr_inst_parity_err_stat</t>
  </si>
  <si>
    <t>cfg_intr_tsk_type_err_clr</t>
  </si>
  <si>
    <t>cfg_intr_inst_parity_err_clr</t>
  </si>
  <si>
    <t>cfg_intr_tsk_type_err_en</t>
  </si>
  <si>
    <t>cfg14_rsvd2</t>
    <phoneticPr fontId="16" type="noConversion"/>
  </si>
  <si>
    <t>cfg14_rsvd3</t>
    <phoneticPr fontId="16" type="noConversion"/>
  </si>
  <si>
    <t>1'h0</t>
    <phoneticPr fontId="16" type="noConversion"/>
  </si>
  <si>
    <t>13'h0</t>
    <phoneticPr fontId="16" type="noConversion"/>
  </si>
  <si>
    <t>cfg6_H</t>
    <phoneticPr fontId="16" type="noConversion"/>
  </si>
  <si>
    <t>instruction parity err - imem des_buf_out_err state</t>
    <phoneticPr fontId="16" type="noConversion"/>
  </si>
  <si>
    <t>task type and task eu type inst_chk err state</t>
    <phoneticPr fontId="16" type="noConversion"/>
  </si>
  <si>
    <t>task type and task eu type inst_chk err en</t>
    <phoneticPr fontId="16" type="noConversion"/>
  </si>
  <si>
    <t>task type and task eu type inst_chk err clr</t>
    <phoneticPr fontId="16" type="noConversion"/>
  </si>
  <si>
    <t>instruction parity err - imem des_buf_out_err clr</t>
    <phoneticPr fontId="16" type="noConversion"/>
  </si>
  <si>
    <t>des_opt_res0_sign</t>
    <phoneticPr fontId="16" type="noConversion"/>
  </si>
  <si>
    <t>0x0</t>
    <phoneticPr fontId="16" type="noConversion"/>
  </si>
  <si>
    <t>cfg_intr_depend_id_err_en</t>
    <phoneticPr fontId="16" type="noConversion"/>
  </si>
  <si>
    <t>cmd_id 与depend id差太多(15bit)的中断状态</t>
    <phoneticPr fontId="16" type="noConversion"/>
  </si>
  <si>
    <t>cmd_id 与depend id差太多(15bit)的中断清除</t>
    <phoneticPr fontId="16" type="noConversion"/>
  </si>
  <si>
    <t>cfg_intr_depend_id_err_clr</t>
    <phoneticPr fontId="16" type="noConversion"/>
  </si>
  <si>
    <t>intr_depend_id_err_stat</t>
    <phoneticPr fontId="16" type="noConversion"/>
  </si>
  <si>
    <t>cfg_dbg_exec</t>
    <phoneticPr fontId="16" type="noConversion"/>
  </si>
  <si>
    <t>cfg14_rsvd4</t>
    <phoneticPr fontId="16" type="noConversion"/>
  </si>
  <si>
    <t>reserved</t>
    <phoneticPr fontId="16" type="noConversion"/>
  </si>
  <si>
    <t>清除debug mode(single_step/breakpoint)中断</t>
    <phoneticPr fontId="16" type="noConversion"/>
  </si>
  <si>
    <t>instruction parity err - imem des_buf_out_err en</t>
    <phoneticPr fontId="16" type="noConversion"/>
  </si>
  <si>
    <t>debug single step stat</t>
    <phoneticPr fontId="16" type="noConversion"/>
  </si>
  <si>
    <t>des dbg breakpoint stat</t>
    <phoneticPr fontId="16" type="noConversion"/>
  </si>
  <si>
    <t>cfg_tpu_idle</t>
    <phoneticPr fontId="16" type="noConversion"/>
  </si>
  <si>
    <t>1'b0</t>
    <phoneticPr fontId="16" type="noConversion"/>
  </si>
  <si>
    <t>TPU IDLE状态</t>
    <phoneticPr fontId="16" type="noConversion"/>
  </si>
  <si>
    <t>RO</t>
    <phoneticPr fontId="16" type="noConversion"/>
  </si>
  <si>
    <t>irq_dbg_single_step_stat</t>
    <phoneticPr fontId="16" type="noConversion"/>
  </si>
  <si>
    <t>irq_dbg_breakpoint_stat</t>
    <phoneticPr fontId="16" type="noConversion"/>
  </si>
  <si>
    <t>指令操作类型
22: CMP_gt and CMP_sel_gt
23: CMP_sel_gt
24: CMP_sel_eq
25: CMP_lt and CMP_sel_lt
26: CMP_sel_lt
27：CMP_srch_bin
others: not support</t>
    <phoneticPr fontId="16" type="noConversion"/>
  </si>
  <si>
    <r>
      <t>指令操作类型
0:   mul, 对于整数乘法，结果积数据宽度为操作数两倍，如果res0数据宽度与opd0和opd1宽度最大值相等, 则输出结果积的低半部分；如果res0数据宽度是opd0和opd宽度最大值两倍, 则完整输出结果积, 高半部分乘法器结果舍弃
2:   add, 对于整数加法, 如果结果宽度为源操作数两倍, 则输出完整结果，高半部分结果舍弃; 如果结果宽度与源操作数宽度相等, 输出非饱和结果
3:   sub, 对于整数加法, 如果结果宽度为源操作数两倍, 则输出完整结果，高半部分结果舍弃; 如果结果宽度与源操作数宽度相等，输出非饱和结果
4:   max
5:   min
7:   and
8:   or
9:   xor
10: select_great
11: select_equal
12: div
13: select_less
15: add_satu, 仅支持整数加法, 结果宽度与源操作数宽度较大者相等, 结果作饱和处理
16: sub_satu, 仅支持整数加法, 结果宽度与源操作数宽度较大者相等, 结果作饱和处理
20: mul_satu
23: mulDHR, 对于整数乘法，结果积数据宽度为操作数两倍，如果res0数据宽度与opd0和opd1宽度最大值相等, 则输出结果积的高半部分；如果res0数据宽度是opd0和opd宽度最大值不相等, 则为非法指令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others: not support</t>
    </r>
    <phoneticPr fontId="16" type="noConversion"/>
  </si>
  <si>
    <t>opd0的n, 0无效</t>
    <phoneticPr fontId="16" type="noConversion"/>
  </si>
  <si>
    <t>des_opd0_n</t>
    <phoneticPr fontId="16" type="noConversion"/>
  </si>
  <si>
    <t>opd0的n, 0无效</t>
    <phoneticPr fontId="16" type="noConversion"/>
  </si>
  <si>
    <r>
      <t>0: intr barrier 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1: spb -- software power boot
2: swr
3: swr_from_lmem
4: swr_collect_from_lmem
5: data barrier[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8: send_msg
9: wait_msg
10: sys_fork
11: sys_join
12: sys_exit
13: rand_seed
30: nop
31: end</t>
    </r>
    <phoneticPr fontId="16" type="noConversion"/>
  </si>
  <si>
    <r>
      <t>指令操作类型
0:  PL_gather_d1coor
1:  PL_gather_d2coor
2:  PL_gather_rec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3:  PL_scatter_d1coor
4:  PL_scatter_d2coor
5:  PE_S_gather_d1coor
6:  PE_S_scatter_d1coor</t>
    </r>
    <r>
      <rPr>
        <sz val="10"/>
        <rFont val="Microsoft YaHei UI"/>
        <family val="2"/>
        <charset val="134"/>
      </rPr>
      <t xml:space="preserve">
7:  PE_M_gather_d1coor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8:  PE_S_mask_select
9:  PE_S_nonzero
10: PE_S_scatter_pp_d1coor [</t>
    </r>
    <r>
      <rPr>
        <b/>
        <sz val="10"/>
        <color rgb="FFFF0000"/>
        <rFont val="Microsoft YaHei UI"/>
        <family val="2"/>
        <charset val="134"/>
      </rPr>
      <t>N</t>
    </r>
    <r>
      <rPr>
        <sz val="10"/>
        <rFont val="Microsoft YaHei UI"/>
        <family val="2"/>
        <charset val="134"/>
      </rPr>
      <t>]
13: PE_S_gather_hzd
14: PE_S_scatter_hzd
15: PE_S_mask_selhzd
16: PE_S_nonzero_hzd
others: not support</t>
    </r>
    <phoneticPr fontId="16" type="noConversion"/>
  </si>
  <si>
    <t>cfg_arcache</t>
    <phoneticPr fontId="16" type="noConversion"/>
  </si>
  <si>
    <t>cfg_awcache</t>
    <phoneticPr fontId="16" type="noConversion"/>
  </si>
  <si>
    <t>56'b0</t>
    <phoneticPr fontId="16" type="noConversion"/>
  </si>
  <si>
    <t>arcache to tpu cmd - tpu des arcache rs</t>
    <phoneticPr fontId="16" type="noConversion"/>
  </si>
  <si>
    <t>awcache to tpu perf monitor - awcache</t>
    <phoneticPr fontId="16" type="noConversion"/>
  </si>
  <si>
    <t>cfg_ar_fmt0_lp_en</t>
    <phoneticPr fontId="16" type="noConversion"/>
  </si>
  <si>
    <t>AR指令对齐格式低功耗使能</t>
    <phoneticPr fontId="16" type="noConversion"/>
  </si>
  <si>
    <t>1'b1</t>
    <phoneticPr fontId="16" type="noConversion"/>
  </si>
  <si>
    <t>cfg_tpu_slave</t>
  </si>
  <si>
    <t>cfg5_rsvd0</t>
  </si>
  <si>
    <t>31'b0</t>
  </si>
  <si>
    <t>~cfg_tpu_id</t>
  </si>
  <si>
    <t>descriptor地址{cfg_des_addr, 7'b0}
Descriptor结束通过sys end指令设置中断置位。</t>
    <phoneticPr fontId="16" type="noConversion"/>
  </si>
  <si>
    <t>1'b0</t>
    <phoneticPr fontId="16" type="noConversion"/>
  </si>
  <si>
    <t>128'b0</t>
    <phoneticPr fontId="16" type="noConversion"/>
  </si>
  <si>
    <t>[6:0]     - cfg_redundant_id
[7]        - cfg_redundant_en
[127:8] - reserved</t>
    <phoneticPr fontId="19" type="noConversion"/>
  </si>
  <si>
    <t>cfg_redundant_lane_id</t>
    <phoneticPr fontId="16" type="noConversion"/>
  </si>
  <si>
    <t>RO</t>
    <phoneticPr fontId="16" type="noConversion"/>
  </si>
  <si>
    <t>1'h0</t>
    <phoneticPr fontId="16" type="noConversion"/>
  </si>
  <si>
    <t>cfg_clk_gate_en</t>
    <phoneticPr fontId="16" type="noConversion"/>
  </si>
  <si>
    <t>cfg9_rsvd0</t>
    <phoneticPr fontId="16" type="noConversion"/>
  </si>
  <si>
    <t>reserved</t>
    <phoneticPr fontId="19" type="noConversion"/>
  </si>
  <si>
    <t>W1C</t>
  </si>
  <si>
    <t>21'b0</t>
    <phoneticPr fontId="16" type="noConversion"/>
  </si>
  <si>
    <t>2'b0</t>
    <phoneticPr fontId="16" type="noConversion"/>
  </si>
  <si>
    <t>reserved</t>
    <phoneticPr fontId="16" type="noConversion"/>
  </si>
  <si>
    <t>cfg12_rsvd0</t>
    <phoneticPr fontId="16" type="noConversion"/>
  </si>
  <si>
    <t>64'h0</t>
    <phoneticPr fontId="16" type="noConversion"/>
  </si>
  <si>
    <t>38'h0</t>
    <phoneticPr fontId="16" type="noConversion"/>
  </si>
  <si>
    <t>cfg_lmem_rd_step_up</t>
    <phoneticPr fontId="16" type="noConversion"/>
  </si>
  <si>
    <t>cfg_lmem_rd_step_idle</t>
    <phoneticPr fontId="16" type="noConversion"/>
  </si>
  <si>
    <t>12'h0ff</t>
    <phoneticPr fontId="16" type="noConversion"/>
  </si>
  <si>
    <t>10'h0ff</t>
    <phoneticPr fontId="16" type="noConversion"/>
  </si>
  <si>
    <t>cfgr_curr_cmdid</t>
    <phoneticPr fontId="16" type="noConversion"/>
  </si>
  <si>
    <t>87'b0</t>
    <phoneticPr fontId="16" type="noConversion"/>
  </si>
  <si>
    <t>cfg1_rsvd0</t>
    <phoneticPr fontId="16" type="noConversion"/>
  </si>
  <si>
    <t>cfg_intr_dbg_single_step_en</t>
    <phoneticPr fontId="16" type="noConversion"/>
  </si>
  <si>
    <t>cfg_intr_dbg_breakpoint_en</t>
  </si>
  <si>
    <t>128‘b0</t>
    <phoneticPr fontId="16" type="noConversion"/>
  </si>
  <si>
    <t>2025/2/8</t>
    <phoneticPr fontId="16" type="noConversion"/>
  </si>
  <si>
    <t>cfg9</t>
    <phoneticPr fontId="16" type="noConversion"/>
  </si>
  <si>
    <t>指令任务类型
0:   convolution
1:   depthwise or pooling
2:   matrix multiply &amp;&amp; matrix multiply2
3:   arithmetic &amp;&amp; SEG
4:   RQ &amp;&amp; DQ
5:   TRANS &amp;&amp; BC
6:   scatter_gather &amp;&amp; scatter_gather_line
7:   linear_arithmetic
8:   rand_gen
9:   special_function
10: fused_linear
11: not support
12: SYS_TR_WR
13: fused_cmpare
14: vector correlation
15: system</t>
    <phoneticPr fontId="16" type="noConversion"/>
  </si>
  <si>
    <t>cfg0_rsvd1</t>
    <phoneticPr fontId="16" type="noConversion"/>
  </si>
  <si>
    <t>cfg_base_msgid</t>
    <phoneticPr fontId="16" type="noConversion"/>
  </si>
  <si>
    <t>如果指令操作类型是depthwise则
bias
如果指令操作类型是max pool/min pool, 则
index输出地址,若地址值为0xFFFFFFFF则表示不输出index张量
如果指令操作类型是ROI avg, ROI max, ROI depthwise, 则
opd2常数</t>
  </si>
  <si>
    <t>opd0数据类型
1: FP16
2: FP32
5: BFP16
7: FP8
others: not support</t>
    <phoneticPr fontId="16" type="noConversion"/>
  </si>
  <si>
    <t>MSG tpu base_msgid</t>
    <phoneticPr fontId="16" type="noConversion"/>
  </si>
  <si>
    <t>cfg5_rsvd1</t>
    <phoneticPr fontId="16" type="noConversion"/>
  </si>
  <si>
    <t>2260E init version, 修订
更新SYS指令中msg_id/dst_id/src_id为8/2/8bit; 删除cfg_plane_good配置</t>
    <phoneticPr fontId="16" type="noConversion"/>
  </si>
  <si>
    <t>((des_tsk_eu_typ_reg == `DES_PORD_MAXP || des_tsk_eu_typ_reg == `DES_PORD_MINP || des_tsk_eu_typ_reg == `DES_PORD_RMAXP || des_tsk_eu_typ_reg == `DES_PORD_RMINP ) ? 1'd0 : des_opt_rq_reg)</t>
  </si>
  <si>
    <t>((des_tsk_eu_typ_reg == `DES_MM_NORMAL) &amp;&amp; (des_opt_opd0_prec_reg == `INT32 )) ? 1'b0 : des_opt_rq_reg</t>
  </si>
  <si>
    <t>((des_opt_opd0_prec_reg == `INT8) ? `INT32 : des_opt_opd2_prec_reg)</t>
  </si>
  <si>
    <t>((des_tsk_eu_typ_reg == `DES_PORD_DW) &amp;&amp; (des_opt_opd0_prec_reg == `INT8) ? `INT32 : des_opt_opd0_prec_reg )</t>
  </si>
  <si>
    <t xml:space="preserve">(((des_tsk_eu_typ_reg == `DES_MM_NORMAL) &amp;&amp; (des_opt_opd0_prec_reg == `INT32)) ? `INT8 : ((des_tsk_eu_typ_reg == `DES_MM_NORMAL) &amp;&amp; (des_opt_opd0_prec_reg == `FP32)) ? `FP32 : `INT32) </t>
  </si>
  <si>
    <t>((des_tsk_eu_typ_reg == `DES_MM2_TT) ? 3'd1 : 3'd3)</t>
  </si>
  <si>
    <t>(!des_opt_left_tran_reg ? (des_opd0_w_reg*(des_opd0_c_reg-1)+ des_opd1_w_reg) : des_opd0_n_reg)</t>
  </si>
  <si>
    <t>((des_tsk_eu_typ_reg == `DES_RQ0 || des_tsk_eu_typ_reg == `DES_DQ0  || des_tsk_eu_typ_reg == `DES_RQ1 || des_tsk_eu_typ_reg == `DES_DQ1) ? 16'd2 : 16'd4)</t>
  </si>
  <si>
    <t xml:space="preserve"> (des_short_res0_str_reg == 3'd3) ? des_res0_n_str_reg[15:0] : macro_res0_000_n_str[15:0])</t>
  </si>
  <si>
    <t>((des_short_opd0_str_reg == 3'd3) ? macro_opd0_003_c_str[15:0] : 16'd0)</t>
  </si>
  <si>
    <t>macro_opd1_knl_n_str[15:0]</t>
  </si>
  <si>
    <t>macro_opd1_knl_c_str[15:0]</t>
  </si>
  <si>
    <t>((des_tsk_eu_typ_reg == `DES_MM2_TT) ? 16'd1 : 16'd0)</t>
  </si>
  <si>
    <t>{12'd0, macro_res0_000_n_str[17:16], 2'd0, des_res0_w_hw[15:0]}</t>
  </si>
  <si>
    <t>(des_short_res0_str_reg == 3'd0) ? {macro_res0_000_n_str[17:16], 2'd0, des_res0_w_reg[15:0]} : des_res0_h_str_reg[19:0]}</t>
  </si>
  <si>
    <t>{12'd0, macro_res0_003_n_str[17:16], macro_res0_003_h_str[17:0]}</t>
  </si>
  <si>
    <t>{12'd0, ( des_short_res0_str_reg == 3'd0) ? {macro_res0_000_c_str[17:16], 18'd1} : des_res0_w_str_reg[19:0]}</t>
  </si>
  <si>
    <t>{12'd0, macro_opd1_knl_n_str[17:16], macro_opd1_knl_h_str[17:0]}</t>
  </si>
  <si>
    <t>{16'd0, des_opd1_w_hw}</t>
  </si>
  <si>
    <t>{macro_opd1_knl_c_str[17:16],( ((des_opt_opd1_prec_reg == `INT4) &amp; (des_opt_opd0_prec_reg == `INT4)) ? 18'd128 : ( (des_opt_opd1_prec_reg == `INT8) | (des_opt_opd1_prec_reg == `INT4) )  ? 18'd64 : (des_opt_opd0_prec_reg == `FP32) ? 18'd1 : 18'd32)}</t>
  </si>
  <si>
    <t>{12'd0, macro_opd1_001_c_str[17:16], 2'd0, 18'd1}</t>
  </si>
  <si>
    <t>opd1数据类型
0: INT8
1: FP16
2: FP32
3: INT16
4: INT32
5: BFP16
6: INT4
7：FP8</t>
  </si>
  <si>
    <t>des_tsk_eu_typ[4:0]指令操作类型，
0: CONV_NORMAL
2: CONV_TF32</t>
  </si>
  <si>
    <t>res0数据类型
0: INT8
1: FP16
2: FP32
3: INT16
4: INT32
5: BFP16
6: INT4
7：FP8</t>
  </si>
  <si>
    <t>opd0数据类型
0: INT8
1: FP16
2: FP32
3: INT16
4: INT32
5: BFP16
6: INT4
7：FP8</t>
  </si>
  <si>
    <t>des_tsk_eu_typ[4:0]指令操作类型，
1: CONV_BW
4: CONV_BW_TF32</t>
  </si>
  <si>
    <t>debug single_step des_mode</t>
  </si>
  <si>
    <t>指令操作类型
0: depthwise
1: avg pooling
3: min pooling
4: max pooling
5: ROI depthwise
6: ROI avg pooling
7: ROI max pooling
8: ROI min pooling</t>
  </si>
  <si>
    <t>opd2数据类型
0: INT8
1: FP16
2: FP32
3: INT16
4: INT32
5: BFP16
6: INT4
7：FP8</t>
  </si>
  <si>
    <t>指令操作类型
4: MM2_NN
5: MM2_NT
6: MM2_TT
7: MM2_NN_TF32 （MM2_TF32 - 4）
8: MM2_NT_TF32 （MM2_TF32 - 5）
9: MM2_TT_TF32 （MM2_TF32 - 6）
others: not support</t>
  </si>
  <si>
    <t>指令操作类型
0:   mul
1:   not
2:   add
3:   sub
4:   max
5:   min
6:   logic shift
7:   and
8:   or
9:   xor
10: select great
11: select equal
12: div
13: select less
14: data_convert
15: add_satu
16: sub_satu
18: mac
19: copy
20: MUL_SATU
21: arith shift
22: rotate shift
23: mulDHR [N]
26: ABS
27: FSUBABS
28: copy_mb [N]
29: get_first_one
30: get_first_zero
others: not support</t>
  </si>
  <si>
    <t>res0数据类型是FP8时，res0为152格式或143格式
0：152格式
1：143格式</t>
  </si>
  <si>
    <t>resvd0</t>
  </si>
  <si>
    <t>指令操作类型，
12: tailor_4x
13: tailor
15: normalize
17: rsqrt
其他: not support</t>
  </si>
  <si>
    <t>1: 384bit</t>
    <phoneticPr fontId="16" type="noConversion"/>
  </si>
  <si>
    <t>2025/2/18</t>
    <phoneticPr fontId="16" type="noConversion"/>
  </si>
  <si>
    <t>Project Name</t>
  </si>
  <si>
    <t>Sub system</t>
  </si>
  <si>
    <t>tpu</t>
  </si>
  <si>
    <t>Module Name</t>
  </si>
  <si>
    <t>dpc_des_reg</t>
    <phoneticPr fontId="16" type="noConversion"/>
  </si>
  <si>
    <t>Address Width</t>
  </si>
  <si>
    <t>Main Clock</t>
  </si>
  <si>
    <t>clk</t>
  </si>
  <si>
    <t>Second Clock</t>
  </si>
  <si>
    <t>NA</t>
    <phoneticPr fontId="16" type="noConversion"/>
  </si>
  <si>
    <t>Main Reset</t>
  </si>
  <si>
    <t>rst_n</t>
  </si>
  <si>
    <t>Second Reset</t>
  </si>
  <si>
    <t>File Version</t>
  </si>
  <si>
    <t>Creation Date</t>
  </si>
  <si>
    <t>//</t>
  </si>
  <si>
    <t>// Begin</t>
  </si>
  <si>
    <t>2260E</t>
    <phoneticPr fontId="16" type="noConversion"/>
  </si>
  <si>
    <t>2/8/2025</t>
    <phoneticPr fontId="16" type="noConversion"/>
  </si>
  <si>
    <t>V 0.2</t>
    <phoneticPr fontId="16" type="noConversion"/>
  </si>
  <si>
    <t>Register Name</t>
    <phoneticPr fontId="16" type="noConversion"/>
  </si>
  <si>
    <t>Reg High Address</t>
  </si>
  <si>
    <t>Reg Low Address</t>
  </si>
  <si>
    <t>h04</t>
    <phoneticPr fontId="16" type="noConversion"/>
  </si>
  <si>
    <t>h00</t>
    <phoneticPr fontId="16" type="noConversion"/>
  </si>
  <si>
    <t>h0c</t>
    <phoneticPr fontId="16" type="noConversion"/>
  </si>
  <si>
    <t>h08</t>
    <phoneticPr fontId="16" type="noConversion"/>
  </si>
  <si>
    <t>h1c</t>
    <phoneticPr fontId="16" type="noConversion"/>
  </si>
  <si>
    <t>h10</t>
    <phoneticPr fontId="16" type="noConversion"/>
  </si>
  <si>
    <t>h2c</t>
    <phoneticPr fontId="16" type="noConversion"/>
  </si>
  <si>
    <t>h20</t>
    <phoneticPr fontId="16" type="noConversion"/>
  </si>
  <si>
    <t>h3c</t>
    <phoneticPr fontId="16" type="noConversion"/>
  </si>
  <si>
    <t>h30</t>
    <phoneticPr fontId="16" type="noConversion"/>
  </si>
  <si>
    <t>h4c</t>
    <phoneticPr fontId="16" type="noConversion"/>
  </si>
  <si>
    <t>h40</t>
    <phoneticPr fontId="16" type="noConversion"/>
  </si>
  <si>
    <t>h54</t>
    <phoneticPr fontId="16" type="noConversion"/>
  </si>
  <si>
    <t>h50</t>
    <phoneticPr fontId="16" type="noConversion"/>
  </si>
  <si>
    <t>h5c</t>
    <phoneticPr fontId="16" type="noConversion"/>
  </si>
  <si>
    <t>h58</t>
    <phoneticPr fontId="16" type="noConversion"/>
  </si>
  <si>
    <t>h64</t>
    <phoneticPr fontId="16" type="noConversion"/>
  </si>
  <si>
    <t>h60</t>
    <phoneticPr fontId="16" type="noConversion"/>
  </si>
  <si>
    <t>h6c</t>
    <phoneticPr fontId="16" type="noConversion"/>
  </si>
  <si>
    <t>h68</t>
    <phoneticPr fontId="16" type="noConversion"/>
  </si>
  <si>
    <t>h7c</t>
    <phoneticPr fontId="16" type="noConversion"/>
  </si>
  <si>
    <t>h70</t>
    <phoneticPr fontId="16" type="noConversion"/>
  </si>
  <si>
    <t>h8c</t>
    <phoneticPr fontId="16" type="noConversion"/>
  </si>
  <si>
    <t>h80</t>
    <phoneticPr fontId="16" type="noConversion"/>
  </si>
  <si>
    <t>h9c</t>
    <phoneticPr fontId="16" type="noConversion"/>
  </si>
  <si>
    <t>h90</t>
    <phoneticPr fontId="16" type="noConversion"/>
  </si>
  <si>
    <t>hac</t>
    <phoneticPr fontId="16" type="noConversion"/>
  </si>
  <si>
    <t>ha0</t>
    <phoneticPr fontId="16" type="noConversion"/>
  </si>
  <si>
    <t>hbc</t>
    <phoneticPr fontId="16" type="noConversion"/>
  </si>
  <si>
    <t>hb0</t>
    <phoneticPr fontId="16" type="noConversion"/>
  </si>
  <si>
    <t>hc4</t>
    <phoneticPr fontId="16" type="noConversion"/>
  </si>
  <si>
    <t>hc0</t>
    <phoneticPr fontId="16" type="noConversion"/>
  </si>
  <si>
    <t>hcc</t>
    <phoneticPr fontId="16" type="noConversion"/>
  </si>
  <si>
    <t>hc8</t>
    <phoneticPr fontId="16" type="noConversion"/>
  </si>
  <si>
    <t>hd4</t>
    <phoneticPr fontId="16" type="noConversion"/>
  </si>
  <si>
    <t>hd0</t>
    <phoneticPr fontId="16" type="noConversion"/>
  </si>
  <si>
    <t>hdc</t>
    <phoneticPr fontId="16" type="noConversion"/>
  </si>
  <si>
    <t>hd8</t>
    <phoneticPr fontId="16" type="noConversion"/>
  </si>
  <si>
    <t>he4</t>
    <phoneticPr fontId="16" type="noConversion"/>
  </si>
  <si>
    <t>he0</t>
    <phoneticPr fontId="16" type="noConversion"/>
  </si>
  <si>
    <t>hec</t>
    <phoneticPr fontId="16" type="noConversion"/>
  </si>
  <si>
    <t>he8</t>
    <phoneticPr fontId="16" type="noConversion"/>
  </si>
  <si>
    <t>hf4</t>
    <phoneticPr fontId="16" type="noConversion"/>
  </si>
  <si>
    <t>hf0</t>
    <phoneticPr fontId="16" type="noConversion"/>
  </si>
  <si>
    <t>hfc</t>
    <phoneticPr fontId="16" type="noConversion"/>
  </si>
  <si>
    <t>hf8</t>
    <phoneticPr fontId="16" type="noConversion"/>
  </si>
  <si>
    <t>//End</t>
  </si>
  <si>
    <t>cfg15_H</t>
    <phoneticPr fontId="16" type="noConversion"/>
  </si>
  <si>
    <t>Short Description</t>
  </si>
  <si>
    <t>Register Description</t>
  </si>
  <si>
    <t>Bits</t>
    <phoneticPr fontId="16" type="noConversion"/>
  </si>
  <si>
    <t>MSB</t>
    <phoneticPr fontId="16" type="noConversion"/>
  </si>
  <si>
    <t>LSB</t>
    <phoneticPr fontId="16" type="noConversion"/>
  </si>
  <si>
    <t>Init</t>
    <phoneticPr fontId="16" type="noConversion"/>
  </si>
  <si>
    <t>Field Description</t>
    <phoneticPr fontId="16" type="noConversion"/>
  </si>
  <si>
    <t>Mask</t>
    <phoneticPr fontId="16" type="noConversion"/>
  </si>
  <si>
    <t>check value</t>
    <phoneticPr fontId="16" type="noConversion"/>
  </si>
  <si>
    <t>shadow</t>
    <phoneticPr fontId="16" type="noConversion"/>
  </si>
  <si>
    <t>shadow ctrl</t>
    <phoneticPr fontId="16" type="noConversion"/>
  </si>
  <si>
    <t>shadow read</t>
    <phoneticPr fontId="16" type="noConversion"/>
  </si>
  <si>
    <t>cross clock</t>
    <phoneticPr fontId="16" type="noConversion"/>
  </si>
  <si>
    <t>cross rst</t>
    <phoneticPr fontId="16" type="noConversion"/>
  </si>
  <si>
    <t>group</t>
    <phoneticPr fontId="16" type="noConversion"/>
  </si>
  <si>
    <t>Visibility</t>
    <phoneticPr fontId="16" type="noConversion"/>
  </si>
  <si>
    <t>删除长指令，LIN、VC des_cmd_short修正为384bit,cfg拆解128bit</t>
    <phoneticPr fontId="16" type="noConversion"/>
  </si>
  <si>
    <t>cfg_fbt_roi_pord_dis</t>
    <phoneticPr fontId="16" type="noConversion"/>
  </si>
  <si>
    <t>cfg_fbt_roi_pord_dis</t>
    <phoneticPr fontId="16" type="noConversion"/>
  </si>
  <si>
    <t>cfg_dpc_pulse_clr_buf</t>
    <phoneticPr fontId="16" type="noConversion"/>
  </si>
  <si>
    <t>2025/2/19</t>
    <phoneticPr fontId="16" type="noConversion"/>
  </si>
  <si>
    <t>修复cfg_des_addr为33bit，删除对cfg_des_addr_end的支持
通过当前代码版本对齐配置信息，增加cfg_fbt_roi_pord_dis</t>
    <phoneticPr fontId="16" type="noConversion"/>
  </si>
  <si>
    <t>cfg5_rsvd3</t>
    <phoneticPr fontId="16" type="noConversion"/>
  </si>
  <si>
    <t>cfg6_L</t>
    <phoneticPr fontId="16" type="noConversion"/>
  </si>
  <si>
    <t>cfg6</t>
    <phoneticPr fontId="16" type="noConversion"/>
  </si>
  <si>
    <t>cfg14</t>
    <phoneticPr fontId="16" type="noConversion"/>
  </si>
  <si>
    <t>cfg14_L</t>
    <phoneticPr fontId="16" type="noConversion"/>
  </si>
  <si>
    <t>cfg0</t>
    <phoneticPr fontId="16" type="noConversion"/>
  </si>
  <si>
    <t>cfg0_H</t>
    <phoneticPr fontId="16" type="noConversion"/>
  </si>
  <si>
    <t>cfg1</t>
    <phoneticPr fontId="16" type="noConversion"/>
  </si>
  <si>
    <t>cfg0_L</t>
    <phoneticPr fontId="16" type="noConversion"/>
  </si>
  <si>
    <t>cfg_cmdbuf_intr_stat</t>
    <phoneticPr fontId="16" type="noConversion"/>
  </si>
  <si>
    <t>cfg5_L</t>
    <phoneticPr fontId="16" type="noConversion"/>
  </si>
  <si>
    <t>2025/2/21</t>
    <phoneticPr fontId="16" type="noConversion"/>
  </si>
  <si>
    <t>删除cfg_srd_id寄存器</t>
    <phoneticPr fontId="16" type="noConversion"/>
  </si>
  <si>
    <t>32'b0</t>
    <phoneticPr fontId="16" type="noConversion"/>
  </si>
  <si>
    <t>0.5</t>
    <phoneticPr fontId="16" type="noConversion"/>
  </si>
  <si>
    <t>2025/2/26</t>
    <phoneticPr fontId="16" type="noConversion"/>
  </si>
  <si>
    <t>增加遗漏的cfg1高位32bit的cfgr_curr_cmdid配置信号</t>
    <phoneticPr fontId="16" type="noConversion"/>
  </si>
  <si>
    <t>指令操作类型
1: MM_NORMAL
others: not support</t>
    <phoneticPr fontId="16" type="noConversion"/>
  </si>
  <si>
    <r>
      <t>2</t>
    </r>
    <r>
      <rPr>
        <sz val="11"/>
        <color theme="1"/>
        <rFont val="Microsoft YaHei UI"/>
        <family val="2"/>
        <charset val="134"/>
      </rPr>
      <t>025/2/28</t>
    </r>
    <phoneticPr fontId="16" type="noConversion"/>
  </si>
  <si>
    <r>
      <t xml:space="preserve">如果指令操作类型是send_msg, 则
</t>
    </r>
    <r>
      <rPr>
        <sz val="10"/>
        <color theme="1"/>
        <rFont val="Microsoft YaHei UI"/>
        <family val="2"/>
        <charset val="134"/>
      </rPr>
      <t>des_imm[7:0]: message id  - 8bit
des_imm</t>
    </r>
    <r>
      <rPr>
        <b/>
        <sz val="10"/>
        <color rgb="FFFF0000"/>
        <rFont val="Microsoft YaHei UI"/>
        <family val="2"/>
        <charset val="134"/>
      </rPr>
      <t>[9:8]</t>
    </r>
    <r>
      <rPr>
        <sz val="10"/>
        <color theme="1"/>
        <rFont val="Microsoft YaHei UI"/>
        <family val="2"/>
        <charset val="134"/>
      </rPr>
      <t>: dst_id  - 2bit
des_imm[22:16]: wait_cnt - 7bit
如果指令操作类型是wait_msg, 则
des_imm[7:0]: message id
des_imm</t>
    </r>
    <r>
      <rPr>
        <b/>
        <sz val="10"/>
        <color rgb="FFFF0000"/>
        <rFont val="Microsoft YaHei UI"/>
        <family val="2"/>
        <charset val="134"/>
      </rPr>
      <t>[9:8]</t>
    </r>
    <r>
      <rPr>
        <sz val="10"/>
        <color theme="1"/>
        <rFont val="Microsoft YaHei UI"/>
        <family val="2"/>
        <charset val="134"/>
      </rPr>
      <t>: dst_id  - 2bit
des_imm[22:16]: send_cnt</t>
    </r>
    <r>
      <rPr>
        <sz val="10"/>
        <rFont val="Microsoft YaHei UI"/>
        <family val="2"/>
        <charset val="134"/>
      </rPr>
      <t xml:space="preserve">
如果指令操作类型是swr, 则
立即数
如果指令操作类型是swr_from_lmem, 则
低32位表示opd0地址，opd0 tensor为(1, 1, 1, 64), prec为INT8, 对齐存储
如果指令操作类型是swr_collenct_from_lmem, 则
低32位表示opd0地址, opd0 tensor为(1, 64, 1, 1), prec为INT8, 紧凑存储</t>
    </r>
    <phoneticPr fontId="16" type="noConversion"/>
  </si>
  <si>
    <t>SYS指令中des_imm与rtl功能对齐-msg id取值方式继承2260</t>
    <phoneticPr fontId="16" type="noConversion"/>
  </si>
  <si>
    <t>cmd_id 与depend id差太多(‘h80000)的中断使能</t>
    <phoneticPr fontId="16" type="noConversion"/>
  </si>
  <si>
    <t>800_0100</t>
    <phoneticPr fontId="16" type="noConversion"/>
  </si>
  <si>
    <t>2025/3/5</t>
    <phoneticPr fontId="16" type="noConversion"/>
  </si>
  <si>
    <t>Base Address</t>
    <phoneticPr fontId="16" type="noConversion"/>
  </si>
  <si>
    <t>更新Base Address</t>
    <phoneticPr fontId="16" type="noConversion"/>
  </si>
  <si>
    <t>2025/3/6</t>
    <phoneticPr fontId="16" type="noConversion"/>
  </si>
  <si>
    <t>与代码对齐0x100配置寄存器</t>
    <phoneticPr fontId="16" type="noConversion"/>
  </si>
  <si>
    <t>cfg0_rsvd0</t>
    <phoneticPr fontId="16" type="noConversion"/>
  </si>
  <si>
    <t>cfg_des_addr</t>
    <phoneticPr fontId="16" type="noConversion"/>
  </si>
  <si>
    <t>cfg3_L</t>
    <phoneticPr fontId="16" type="noConversion"/>
  </si>
  <si>
    <t>cfg2_H</t>
    <phoneticPr fontId="16" type="noConversion"/>
  </si>
  <si>
    <t>rand seed</t>
    <phoneticPr fontId="16" type="noConversion"/>
  </si>
  <si>
    <t>cfg3_H</t>
    <phoneticPr fontId="16" type="noConversion"/>
  </si>
  <si>
    <t>cfg4_L</t>
    <phoneticPr fontId="16" type="noConversion"/>
  </si>
  <si>
    <t>cfg4_H</t>
    <phoneticPr fontId="16" type="noConversion"/>
  </si>
  <si>
    <t>tie0</t>
    <phoneticPr fontId="16" type="noConversion"/>
  </si>
  <si>
    <t>上一个执行完的command id，32bit在cfg1可读</t>
    <phoneticPr fontId="16" type="noConversion"/>
  </si>
  <si>
    <t>cfg1_rsvd1</t>
    <phoneticPr fontId="16" type="noConversion"/>
  </si>
  <si>
    <t>initial seed of rand gen，读时读到rand处理后的seed</t>
    <phoneticPr fontId="16" type="noConversion"/>
  </si>
  <si>
    <t>cfg_pwr_cur_step</t>
    <phoneticPr fontId="16" type="noConversion"/>
  </si>
  <si>
    <t>2025/4/21</t>
    <phoneticPr fontId="16" type="noConversion"/>
  </si>
  <si>
    <t>opd1的c stride</t>
    <phoneticPr fontId="16" type="noConversion"/>
  </si>
  <si>
    <r>
      <t xml:space="preserve">opd0的h stride
</t>
    </r>
    <r>
      <rPr>
        <b/>
        <sz val="10"/>
        <color theme="5" tint="-0.499984740745262"/>
        <rFont val="Microsoft YaHei UI"/>
        <family val="2"/>
        <charset val="134"/>
      </rPr>
      <t>res0_h_str</t>
    </r>
    <r>
      <rPr>
        <sz val="10"/>
        <rFont val="Microsoft YaHei UI"/>
        <family val="2"/>
        <charset val="134"/>
      </rPr>
      <t>[19:18] to</t>
    </r>
    <r>
      <rPr>
        <b/>
        <sz val="10"/>
        <color rgb="FF7030A0"/>
        <rFont val="Microsoft YaHei UI"/>
        <family val="2"/>
        <charset val="134"/>
      </rPr>
      <t xml:space="preserve"> res0_n_str</t>
    </r>
    <r>
      <rPr>
        <sz val="10"/>
        <rFont val="Microsoft YaHei UI"/>
        <family val="2"/>
        <charset val="134"/>
      </rPr>
      <t>[17:16]</t>
    </r>
    <phoneticPr fontId="16" type="noConversion"/>
  </si>
  <si>
    <r>
      <t xml:space="preserve">opd0的w stride
</t>
    </r>
    <r>
      <rPr>
        <b/>
        <sz val="10"/>
        <color theme="5" tint="-0.499984740745262"/>
        <rFont val="Microsoft YaHei UI"/>
        <family val="2"/>
        <charset val="134"/>
      </rPr>
      <t>res0_w_str</t>
    </r>
    <r>
      <rPr>
        <sz val="10"/>
        <rFont val="Microsoft YaHei UI"/>
        <family val="2"/>
        <charset val="134"/>
      </rPr>
      <t xml:space="preserve">[19:18] to </t>
    </r>
    <r>
      <rPr>
        <b/>
        <sz val="10"/>
        <color rgb="FF7030A0"/>
        <rFont val="Microsoft YaHei UI"/>
        <family val="2"/>
        <charset val="134"/>
      </rPr>
      <t>res0_c_str</t>
    </r>
    <r>
      <rPr>
        <sz val="10"/>
        <rFont val="Microsoft YaHei UI"/>
        <family val="2"/>
        <charset val="134"/>
      </rPr>
      <t>[17:16]</t>
    </r>
    <phoneticPr fontId="16" type="noConversion"/>
  </si>
  <si>
    <r>
      <t xml:space="preserve">opd0的h stride
</t>
    </r>
    <r>
      <rPr>
        <b/>
        <sz val="10"/>
        <color theme="5" tint="-0.499984740745262"/>
        <rFont val="Microsoft YaHei UI"/>
        <family val="2"/>
        <charset val="134"/>
      </rPr>
      <t>opd0_h_str</t>
    </r>
    <r>
      <rPr>
        <sz val="10"/>
        <rFont val="Microsoft YaHei UI"/>
        <family val="2"/>
        <charset val="134"/>
      </rPr>
      <t xml:space="preserve">[19:18] to </t>
    </r>
    <r>
      <rPr>
        <b/>
        <sz val="10"/>
        <color rgb="FF7030A0"/>
        <rFont val="Microsoft YaHei UI"/>
        <family val="2"/>
        <charset val="134"/>
      </rPr>
      <t>opd0_n_str</t>
    </r>
    <r>
      <rPr>
        <sz val="10"/>
        <rFont val="Microsoft YaHei UI"/>
        <family val="2"/>
        <charset val="134"/>
      </rPr>
      <t>[17:16]</t>
    </r>
    <phoneticPr fontId="16" type="noConversion"/>
  </si>
  <si>
    <r>
      <t xml:space="preserve">opd0的w stride
</t>
    </r>
    <r>
      <rPr>
        <b/>
        <sz val="10"/>
        <color theme="5" tint="-0.499984740745262"/>
        <rFont val="Microsoft YaHei UI"/>
        <family val="2"/>
        <charset val="134"/>
      </rPr>
      <t>opd0_w_str</t>
    </r>
    <r>
      <rPr>
        <sz val="10"/>
        <rFont val="Microsoft YaHei UI"/>
        <family val="2"/>
        <charset val="134"/>
      </rPr>
      <t xml:space="preserve">[19:18] to </t>
    </r>
    <r>
      <rPr>
        <b/>
        <sz val="10"/>
        <color rgb="FF7030A0"/>
        <rFont val="Microsoft YaHei UI"/>
        <family val="2"/>
        <charset val="134"/>
      </rPr>
      <t>opd0_c_str</t>
    </r>
    <r>
      <rPr>
        <sz val="10"/>
        <rFont val="Microsoft YaHei UI"/>
        <family val="2"/>
        <charset val="134"/>
      </rPr>
      <t>[17:16]</t>
    </r>
    <phoneticPr fontId="16" type="noConversion"/>
  </si>
  <si>
    <r>
      <t xml:space="preserve">opd1的h stride
</t>
    </r>
    <r>
      <rPr>
        <b/>
        <sz val="10"/>
        <color theme="5" tint="-0.499984740745262"/>
        <rFont val="Microsoft YaHei UI"/>
        <family val="2"/>
        <charset val="134"/>
      </rPr>
      <t>opd1_h_str</t>
    </r>
    <r>
      <rPr>
        <sz val="10"/>
        <rFont val="Microsoft YaHei UI"/>
        <family val="2"/>
        <charset val="134"/>
      </rPr>
      <t xml:space="preserve">[19:18] to </t>
    </r>
    <r>
      <rPr>
        <b/>
        <sz val="10"/>
        <color rgb="FF7030A0"/>
        <rFont val="Microsoft YaHei UI"/>
        <family val="2"/>
        <charset val="134"/>
      </rPr>
      <t>opd1_n_str</t>
    </r>
    <r>
      <rPr>
        <sz val="10"/>
        <rFont val="Microsoft YaHei UI"/>
        <family val="2"/>
        <charset val="134"/>
      </rPr>
      <t>[17:16]</t>
    </r>
    <phoneticPr fontId="16" type="noConversion"/>
  </si>
  <si>
    <r>
      <t xml:space="preserve">opd1的w stride
</t>
    </r>
    <r>
      <rPr>
        <b/>
        <sz val="10"/>
        <color theme="5" tint="-0.499984740745262"/>
        <rFont val="Microsoft YaHei UI"/>
        <family val="2"/>
        <charset val="134"/>
      </rPr>
      <t>opd1_w_str</t>
    </r>
    <r>
      <rPr>
        <sz val="10"/>
        <rFont val="Microsoft YaHei UI"/>
        <family val="2"/>
        <charset val="134"/>
      </rPr>
      <t xml:space="preserve">[19:18] to </t>
    </r>
    <r>
      <rPr>
        <b/>
        <sz val="10"/>
        <color rgb="FF7030A0"/>
        <rFont val="Microsoft YaHei UI"/>
        <family val="2"/>
        <charset val="134"/>
      </rPr>
      <t>opd1_c_str</t>
    </r>
    <r>
      <rPr>
        <sz val="10"/>
        <rFont val="Microsoft YaHei UI"/>
        <family val="2"/>
        <charset val="134"/>
      </rPr>
      <t>[17:16]</t>
    </r>
    <phoneticPr fontId="16" type="noConversion"/>
  </si>
  <si>
    <t>与tensor_extension_instruction_code_v2.0.14对齐</t>
    <phoneticPr fontId="16" type="noConversion"/>
  </si>
  <si>
    <t>与tensor_extension_instruction_code_v2.0.16对齐</t>
    <phoneticPr fontId="16" type="noConversion"/>
  </si>
  <si>
    <t>2025/5/21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</si>
</sst>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28">
    <font>
      <sz val="11"/>
      <color theme="1"/>
      <name val="宋体"/>
      <charset val="134"/>
      <scheme val="minor"/>
    </font>
    <font>
      <b/>
      <sz val="10"/>
      <name val="Microsoft YaHei UI"/>
      <family val="2"/>
      <charset val="134"/>
    </font>
    <font>
      <sz val="1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sz val="11"/>
      <name val="宋体"/>
      <family val="3"/>
      <charset val="134"/>
      <scheme val="minor"/>
    </font>
    <font>
      <sz val="11"/>
      <color theme="1"/>
      <name val="Microsoft YaHei UI"/>
      <family val="2"/>
      <charset val="134"/>
    </font>
    <font>
      <sz val="11"/>
      <name val="Microsoft YaHei UI"/>
      <family val="2"/>
      <charset val="134"/>
    </font>
    <font>
      <sz val="11"/>
      <color rgb="FFFF0000"/>
      <name val="Microsoft YaHei UI"/>
      <family val="2"/>
      <charset val="134"/>
    </font>
    <font>
      <sz val="10"/>
      <color rgb="FFFF0000"/>
      <name val="Microsoft YaHei UI"/>
      <family val="2"/>
      <charset val="134"/>
    </font>
    <font>
      <b/>
      <sz val="10"/>
      <color rgb="FFFF0000"/>
      <name val="Microsoft YaHei UI"/>
      <family val="2"/>
      <charset val="134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b/>
      <sz val="11"/>
      <color theme="1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Microsoft YaHei UI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等线"/>
      <family val="3"/>
      <charset val="134"/>
    </font>
    <font>
      <sz val="12"/>
      <name val="Arial"/>
      <family val="2"/>
    </font>
    <font>
      <sz val="12"/>
      <color theme="4"/>
      <name val="Arial"/>
      <family val="2"/>
    </font>
    <font>
      <sz val="10"/>
      <name val="Arial"/>
      <family val="2"/>
    </font>
    <font>
      <b/>
      <sz val="10"/>
      <color rgb="FF7030A0"/>
      <name val="Microsoft YaHei UI"/>
      <family val="2"/>
      <charset val="134"/>
    </font>
    <font>
      <b/>
      <sz val="11"/>
      <color rgb="FF7030A0"/>
      <name val="Microsoft YaHei UI"/>
      <family val="2"/>
      <charset val="134"/>
    </font>
    <font>
      <b/>
      <sz val="10"/>
      <color theme="5" tint="-0.499984740745262"/>
      <name val="Microsoft YaHei UI"/>
      <family val="2"/>
      <charset val="134"/>
    </font>
    <font>
      <b/>
      <sz val="11"/>
      <color theme="5" tint="-0.499984740745262"/>
      <name val="Microsoft YaHei UI"/>
      <family val="2"/>
      <charset val="134"/>
    </font>
  </fonts>
  <fills count="18">
    <fill>
      <patternFill patternType="none"/>
    </fill>
    <fill>
      <patternFill patternType="gray125"/>
    </fill>
    <fill>
      <patternFill patternType="solid">
        <fgColor theme="4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1FFE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DCB9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thick">
        <color theme="4" tint="-0.249977111117893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indexed="64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8" fillId="0" borderId="0">
      <alignment vertical="center"/>
    </xf>
  </cellStyleXfs>
  <cellXfs count="243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center" wrapText="1"/>
    </xf>
    <xf numFmtId="49" fontId="2" fillId="4" borderId="1" xfId="0" applyNumberFormat="1" applyFont="1" applyFill="1" applyBorder="1" applyAlignment="1">
      <alignment vertical="center" wrapText="1"/>
    </xf>
    <xf numFmtId="49" fontId="2" fillId="5" borderId="2" xfId="0" applyNumberFormat="1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2" fillId="0" borderId="1" xfId="0" applyNumberFormat="1" applyFont="1" applyBorder="1" applyAlignment="1">
      <alignment horizontal="left"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horizontal="left" vertical="center"/>
    </xf>
    <xf numFmtId="49" fontId="3" fillId="5" borderId="1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  <xf numFmtId="0" fontId="4" fillId="0" borderId="0" xfId="0" applyFont="1">
      <alignment vertical="center"/>
    </xf>
    <xf numFmtId="49" fontId="5" fillId="0" borderId="1" xfId="0" applyNumberFormat="1" applyFont="1" applyBorder="1">
      <alignment vertical="center"/>
    </xf>
    <xf numFmtId="0" fontId="5" fillId="0" borderId="1" xfId="0" applyFont="1" applyBorder="1">
      <alignment vertical="center"/>
    </xf>
    <xf numFmtId="49" fontId="2" fillId="3" borderId="1" xfId="0" applyNumberFormat="1" applyFont="1" applyFill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49" fontId="2" fillId="5" borderId="1" xfId="0" applyNumberFormat="1" applyFont="1" applyFill="1" applyBorder="1" applyAlignment="1">
      <alignment vertical="center" wrapText="1"/>
    </xf>
    <xf numFmtId="49" fontId="0" fillId="0" borderId="0" xfId="0" applyNumberFormat="1">
      <alignment vertical="center"/>
    </xf>
    <xf numFmtId="0" fontId="2" fillId="6" borderId="1" xfId="0" applyFont="1" applyFill="1" applyBorder="1" applyAlignment="1">
      <alignment vertical="center" wrapText="1"/>
    </xf>
    <xf numFmtId="49" fontId="2" fillId="0" borderId="3" xfId="0" applyNumberFormat="1" applyFont="1" applyBorder="1" applyAlignment="1" applyProtection="1">
      <alignment vertical="center" wrapText="1"/>
      <protection locked="0"/>
    </xf>
    <xf numFmtId="0" fontId="2" fillId="0" borderId="0" xfId="0" applyFont="1" applyAlignment="1">
      <alignment vertical="center" wrapText="1"/>
    </xf>
    <xf numFmtId="49" fontId="5" fillId="6" borderId="1" xfId="0" applyNumberFormat="1" applyFont="1" applyFill="1" applyBorder="1">
      <alignment vertical="center"/>
    </xf>
    <xf numFmtId="0" fontId="5" fillId="6" borderId="1" xfId="0" applyFont="1" applyFill="1" applyBorder="1">
      <alignment vertical="center"/>
    </xf>
    <xf numFmtId="49" fontId="2" fillId="6" borderId="1" xfId="0" applyNumberFormat="1" applyFont="1" applyFill="1" applyBorder="1" applyAlignment="1">
      <alignment vertical="center" wrapText="1"/>
    </xf>
    <xf numFmtId="49" fontId="2" fillId="0" borderId="4" xfId="0" applyNumberFormat="1" applyFont="1" applyBorder="1" applyAlignment="1">
      <alignment vertical="center" wrapText="1"/>
    </xf>
    <xf numFmtId="0" fontId="5" fillId="0" borderId="1" xfId="0" applyFont="1" applyBorder="1" applyAlignment="1">
      <alignment horizontal="right" vertical="center"/>
    </xf>
    <xf numFmtId="49" fontId="2" fillId="7" borderId="1" xfId="0" applyNumberFormat="1" applyFont="1" applyFill="1" applyBorder="1" applyAlignment="1">
      <alignment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8" borderId="1" xfId="0" applyNumberFormat="1" applyFont="1" applyFill="1" applyBorder="1" applyAlignment="1">
      <alignment vertical="center" wrapText="1"/>
    </xf>
    <xf numFmtId="0" fontId="7" fillId="0" borderId="0" xfId="0" applyFont="1" applyAlignment="1">
      <alignment vertical="center" wrapText="1"/>
    </xf>
    <xf numFmtId="49" fontId="2" fillId="5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0" xfId="0" applyFont="1" applyAlignment="1">
      <alignment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1" fillId="2" borderId="8" xfId="0" applyNumberFormat="1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49" fontId="1" fillId="2" borderId="10" xfId="0" applyNumberFormat="1" applyFont="1" applyFill="1" applyBorder="1" applyAlignment="1">
      <alignment vertical="top" wrapText="1"/>
    </xf>
    <xf numFmtId="49" fontId="5" fillId="0" borderId="6" xfId="0" applyNumberFormat="1" applyFont="1" applyBorder="1">
      <alignment vertical="center"/>
    </xf>
    <xf numFmtId="49" fontId="5" fillId="6" borderId="6" xfId="0" applyNumberFormat="1" applyFont="1" applyFill="1" applyBorder="1">
      <alignment vertical="center"/>
    </xf>
    <xf numFmtId="0" fontId="5" fillId="6" borderId="6" xfId="0" applyFont="1" applyFill="1" applyBorder="1">
      <alignment vertical="center"/>
    </xf>
    <xf numFmtId="49" fontId="2" fillId="9" borderId="2" xfId="0" applyNumberFormat="1" applyFont="1" applyFill="1" applyBorder="1" applyAlignment="1">
      <alignment vertical="center" wrapText="1"/>
    </xf>
    <xf numFmtId="49" fontId="2" fillId="0" borderId="0" xfId="0" applyNumberFormat="1" applyFont="1" applyAlignment="1">
      <alignment vertical="center" wrapText="1"/>
    </xf>
    <xf numFmtId="49" fontId="1" fillId="2" borderId="9" xfId="0" applyNumberFormat="1" applyFont="1" applyFill="1" applyBorder="1" applyAlignment="1">
      <alignment vertical="center" wrapText="1"/>
    </xf>
    <xf numFmtId="49" fontId="3" fillId="5" borderId="1" xfId="0" applyNumberFormat="1" applyFont="1" applyFill="1" applyBorder="1" applyAlignment="1">
      <alignment horizontal="left" vertical="center" wrapText="1"/>
    </xf>
    <xf numFmtId="0" fontId="5" fillId="3" borderId="1" xfId="0" applyFont="1" applyFill="1" applyBorder="1">
      <alignment vertical="center"/>
    </xf>
    <xf numFmtId="49" fontId="5" fillId="3" borderId="1" xfId="0" applyNumberFormat="1" applyFont="1" applyFill="1" applyBorder="1">
      <alignment vertical="center"/>
    </xf>
    <xf numFmtId="49" fontId="1" fillId="2" borderId="11" xfId="0" applyNumberFormat="1" applyFont="1" applyFill="1" applyBorder="1" applyAlignment="1">
      <alignment vertical="center" wrapText="1"/>
    </xf>
    <xf numFmtId="0" fontId="0" fillId="6" borderId="0" xfId="0" applyFill="1">
      <alignment vertical="center"/>
    </xf>
    <xf numFmtId="49" fontId="1" fillId="2" borderId="12" xfId="0" applyNumberFormat="1" applyFont="1" applyFill="1" applyBorder="1" applyAlignment="1">
      <alignment vertical="top" wrapText="1"/>
    </xf>
    <xf numFmtId="49" fontId="2" fillId="10" borderId="2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2" fillId="0" borderId="1" xfId="0" applyFont="1" applyBorder="1" applyAlignment="1" applyProtection="1">
      <alignment vertical="center" wrapText="1"/>
      <protection locked="0"/>
    </xf>
    <xf numFmtId="49" fontId="2" fillId="0" borderId="2" xfId="0" applyNumberFormat="1" applyFont="1" applyBorder="1" applyAlignment="1">
      <alignment vertical="center" wrapText="1"/>
    </xf>
    <xf numFmtId="49" fontId="2" fillId="0" borderId="14" xfId="0" applyNumberFormat="1" applyFont="1" applyBorder="1" applyAlignment="1">
      <alignment vertical="center" wrapText="1"/>
    </xf>
    <xf numFmtId="0" fontId="2" fillId="0" borderId="14" xfId="0" applyFont="1" applyBorder="1" applyAlignment="1">
      <alignment vertical="center" wrapText="1"/>
    </xf>
    <xf numFmtId="49" fontId="2" fillId="0" borderId="14" xfId="0" applyNumberFormat="1" applyFont="1" applyBorder="1" applyAlignment="1">
      <alignment horizontal="left" vertical="center" wrapText="1"/>
    </xf>
    <xf numFmtId="0" fontId="1" fillId="2" borderId="15" xfId="0" applyFont="1" applyFill="1" applyBorder="1" applyAlignment="1">
      <alignment vertical="top" wrapText="1"/>
    </xf>
    <xf numFmtId="0" fontId="1" fillId="2" borderId="12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49" fontId="2" fillId="0" borderId="0" xfId="0" applyNumberFormat="1" applyFont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49" fontId="1" fillId="4" borderId="16" xfId="0" applyNumberFormat="1" applyFont="1" applyFill="1" applyBorder="1" applyAlignment="1">
      <alignment vertical="center" wrapText="1"/>
    </xf>
    <xf numFmtId="49" fontId="2" fillId="0" borderId="12" xfId="0" applyNumberFormat="1" applyFont="1" applyBorder="1" applyAlignment="1">
      <alignment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7" xfId="0" applyNumberFormat="1" applyFont="1" applyBorder="1" applyAlignment="1">
      <alignment vertical="center" wrapText="1"/>
    </xf>
    <xf numFmtId="49" fontId="1" fillId="5" borderId="18" xfId="0" applyNumberFormat="1" applyFont="1" applyFill="1" applyBorder="1" applyAlignment="1">
      <alignment vertical="center" wrapText="1"/>
    </xf>
    <xf numFmtId="49" fontId="2" fillId="0" borderId="3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vertical="center" wrapText="1"/>
    </xf>
    <xf numFmtId="49" fontId="1" fillId="8" borderId="20" xfId="0" applyNumberFormat="1" applyFont="1" applyFill="1" applyBorder="1" applyAlignment="1">
      <alignment vertical="center" wrapText="1"/>
    </xf>
    <xf numFmtId="49" fontId="2" fillId="0" borderId="21" xfId="0" applyNumberFormat="1" applyFont="1" applyBorder="1" applyAlignment="1">
      <alignment vertical="center" wrapText="1"/>
    </xf>
    <xf numFmtId="49" fontId="2" fillId="0" borderId="21" xfId="0" applyNumberFormat="1" applyFont="1" applyBorder="1" applyAlignment="1">
      <alignment horizontal="left" vertical="center" wrapText="1"/>
    </xf>
    <xf numFmtId="49" fontId="2" fillId="0" borderId="22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3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0" borderId="0" xfId="0" applyFont="1">
      <alignment vertical="center"/>
    </xf>
    <xf numFmtId="0" fontId="10" fillId="0" borderId="0" xfId="0" applyFo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applyFont="1" applyBorder="1">
      <alignment vertical="center"/>
    </xf>
    <xf numFmtId="0" fontId="10" fillId="0" borderId="3" xfId="0" applyFont="1" applyBorder="1" applyAlignment="1">
      <alignment vertical="center" wrapText="1"/>
    </xf>
    <xf numFmtId="0" fontId="10" fillId="0" borderId="3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12" fillId="2" borderId="3" xfId="0" applyFont="1" applyFill="1" applyBorder="1" applyAlignment="1">
      <alignment horizontal="left" vertical="center"/>
    </xf>
    <xf numFmtId="49" fontId="12" fillId="2" borderId="3" xfId="0" applyNumberFormat="1" applyFont="1" applyFill="1" applyBorder="1" applyAlignment="1">
      <alignment horizontal="left" vertical="center"/>
    </xf>
    <xf numFmtId="0" fontId="12" fillId="2" borderId="3" xfId="0" applyFont="1" applyFill="1" applyBorder="1">
      <alignment vertical="center"/>
    </xf>
    <xf numFmtId="176" fontId="5" fillId="0" borderId="3" xfId="0" applyNumberFormat="1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177" fontId="5" fillId="0" borderId="3" xfId="0" applyNumberFormat="1" applyFont="1" applyBorder="1" applyAlignment="1">
      <alignment horizontal="left" vertical="center"/>
    </xf>
    <xf numFmtId="49" fontId="17" fillId="5" borderId="2" xfId="0" applyNumberFormat="1" applyFont="1" applyFill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0" fontId="5" fillId="0" borderId="3" xfId="1" applyFont="1" applyBorder="1">
      <alignment vertical="center"/>
    </xf>
    <xf numFmtId="0" fontId="12" fillId="4" borderId="3" xfId="1" applyFont="1" applyFill="1" applyBorder="1">
      <alignment vertical="center"/>
    </xf>
    <xf numFmtId="0" fontId="18" fillId="0" borderId="0" xfId="1">
      <alignment vertical="center"/>
    </xf>
    <xf numFmtId="0" fontId="5" fillId="0" borderId="3" xfId="1" applyFont="1" applyBorder="1" applyAlignment="1">
      <alignment vertical="center" wrapText="1"/>
    </xf>
    <xf numFmtId="0" fontId="18" fillId="0" borderId="0" xfId="1" applyAlignment="1">
      <alignment vertical="center" wrapText="1"/>
    </xf>
    <xf numFmtId="14" fontId="5" fillId="0" borderId="3" xfId="0" applyNumberFormat="1" applyFont="1" applyBorder="1" applyAlignment="1">
      <alignment horizontal="left" vertical="center"/>
    </xf>
    <xf numFmtId="49" fontId="2" fillId="3" borderId="1" xfId="1" applyNumberFormat="1" applyFont="1" applyFill="1" applyBorder="1" applyAlignment="1">
      <alignment vertical="center" wrapText="1"/>
    </xf>
    <xf numFmtId="49" fontId="2" fillId="5" borderId="0" xfId="0" applyNumberFormat="1" applyFont="1" applyFill="1" applyBorder="1" applyAlignment="1">
      <alignment vertical="center" wrapText="1"/>
    </xf>
    <xf numFmtId="0" fontId="5" fillId="0" borderId="1" xfId="1" applyFont="1" applyBorder="1">
      <alignment vertical="center"/>
    </xf>
    <xf numFmtId="49" fontId="18" fillId="0" borderId="0" xfId="1" applyNumberFormat="1">
      <alignment vertical="center"/>
    </xf>
    <xf numFmtId="0" fontId="5" fillId="0" borderId="0" xfId="1" applyFont="1">
      <alignment vertical="center"/>
    </xf>
    <xf numFmtId="0" fontId="18" fillId="0" borderId="0" xfId="1">
      <alignment vertical="center"/>
    </xf>
    <xf numFmtId="49" fontId="2" fillId="0" borderId="1" xfId="1" applyNumberFormat="1" applyFont="1" applyBorder="1" applyAlignment="1">
      <alignment vertical="center" wrapText="1"/>
    </xf>
    <xf numFmtId="49" fontId="5" fillId="0" borderId="1" xfId="1" applyNumberFormat="1" applyFont="1" applyBorder="1">
      <alignment vertical="center"/>
    </xf>
    <xf numFmtId="49" fontId="2" fillId="4" borderId="1" xfId="1" applyNumberFormat="1" applyFont="1" applyFill="1" applyBorder="1" applyAlignment="1">
      <alignment vertical="center" wrapText="1"/>
    </xf>
    <xf numFmtId="49" fontId="1" fillId="2" borderId="4" xfId="1" applyNumberFormat="1" applyFont="1" applyFill="1" applyBorder="1" applyAlignment="1">
      <alignment vertical="center" wrapText="1"/>
    </xf>
    <xf numFmtId="49" fontId="1" fillId="2" borderId="1" xfId="1" applyNumberFormat="1" applyFont="1" applyFill="1" applyBorder="1" applyAlignment="1">
      <alignment vertical="top" wrapText="1"/>
    </xf>
    <xf numFmtId="49" fontId="1" fillId="2" borderId="1" xfId="1" applyNumberFormat="1" applyFont="1" applyFill="1" applyBorder="1" applyAlignment="1">
      <alignment vertical="center" wrapText="1"/>
    </xf>
    <xf numFmtId="49" fontId="5" fillId="0" borderId="1" xfId="1" applyNumberFormat="1" applyFont="1" applyBorder="1" applyAlignment="1">
      <alignment horizontal="right" vertical="center"/>
    </xf>
    <xf numFmtId="49" fontId="5" fillId="0" borderId="1" xfId="0" applyNumberFormat="1" applyFont="1" applyBorder="1" applyAlignment="1">
      <alignment horizontal="right" vertical="center"/>
    </xf>
    <xf numFmtId="0" fontId="5" fillId="0" borderId="3" xfId="1" applyFont="1" applyFill="1" applyBorder="1">
      <alignment vertical="center"/>
    </xf>
    <xf numFmtId="0" fontId="5" fillId="0" borderId="0" xfId="1" applyFont="1" applyBorder="1">
      <alignment vertical="center"/>
    </xf>
    <xf numFmtId="49" fontId="5" fillId="11" borderId="1" xfId="0" applyNumberFormat="1" applyFont="1" applyFill="1" applyBorder="1">
      <alignment vertical="center"/>
    </xf>
    <xf numFmtId="0" fontId="18" fillId="0" borderId="0" xfId="0" applyFont="1" applyAlignment="1">
      <alignment vertical="center" wrapText="1"/>
    </xf>
    <xf numFmtId="49" fontId="5" fillId="0" borderId="1" xfId="0" applyNumberFormat="1" applyFont="1" applyFill="1" applyBorder="1">
      <alignment vertical="center"/>
    </xf>
    <xf numFmtId="0" fontId="5" fillId="0" borderId="1" xfId="0" applyFont="1" applyFill="1" applyBorder="1">
      <alignment vertical="center"/>
    </xf>
    <xf numFmtId="0" fontId="2" fillId="0" borderId="1" xfId="0" applyFont="1" applyFill="1" applyBorder="1" applyAlignment="1">
      <alignment vertical="center" wrapText="1"/>
    </xf>
    <xf numFmtId="0" fontId="20" fillId="0" borderId="0" xfId="0" applyFont="1" applyFill="1">
      <alignment vertical="center"/>
    </xf>
    <xf numFmtId="0" fontId="5" fillId="0" borderId="0" xfId="1" applyFont="1" applyFill="1" applyBorder="1">
      <alignment vertical="center"/>
    </xf>
    <xf numFmtId="0" fontId="5" fillId="0" borderId="2" xfId="1" applyFont="1" applyBorder="1">
      <alignment vertical="center"/>
    </xf>
    <xf numFmtId="0" fontId="5" fillId="0" borderId="3" xfId="1" applyFont="1" applyBorder="1" applyAlignment="1">
      <alignment horizontal="left" vertical="center"/>
    </xf>
    <xf numFmtId="0" fontId="5" fillId="0" borderId="2" xfId="1" applyFont="1" applyFill="1" applyBorder="1">
      <alignment vertical="center"/>
    </xf>
    <xf numFmtId="0" fontId="5" fillId="0" borderId="3" xfId="1" applyFont="1" applyFill="1" applyBorder="1" applyAlignment="1">
      <alignment horizontal="left" vertical="center"/>
    </xf>
    <xf numFmtId="0" fontId="5" fillId="0" borderId="25" xfId="1" applyFont="1" applyBorder="1">
      <alignment vertical="center"/>
    </xf>
    <xf numFmtId="0" fontId="5" fillId="0" borderId="3" xfId="0" applyFont="1" applyFill="1" applyBorder="1" applyAlignment="1">
      <alignment horizontal="left" vertical="center"/>
    </xf>
    <xf numFmtId="0" fontId="5" fillId="12" borderId="3" xfId="1" applyFont="1" applyFill="1" applyBorder="1">
      <alignment vertical="center"/>
    </xf>
    <xf numFmtId="49" fontId="2" fillId="0" borderId="1" xfId="0" applyNumberFormat="1" applyFont="1" applyFill="1" applyBorder="1" applyAlignment="1">
      <alignment vertical="center" wrapText="1"/>
    </xf>
    <xf numFmtId="49" fontId="2" fillId="0" borderId="1" xfId="0" applyNumberFormat="1" applyFont="1" applyFill="1" applyBorder="1" applyAlignment="1">
      <alignment horizontal="left" vertical="center" wrapText="1"/>
    </xf>
    <xf numFmtId="0" fontId="5" fillId="13" borderId="3" xfId="1" applyFont="1" applyFill="1" applyBorder="1">
      <alignment vertical="center"/>
    </xf>
    <xf numFmtId="0" fontId="5" fillId="13" borderId="3" xfId="1" applyFont="1" applyFill="1" applyBorder="1" applyAlignment="1">
      <alignment horizontal="left" vertical="center"/>
    </xf>
    <xf numFmtId="49" fontId="5" fillId="0" borderId="6" xfId="0" applyNumberFormat="1" applyFont="1" applyFill="1" applyBorder="1">
      <alignment vertical="center"/>
    </xf>
    <xf numFmtId="49" fontId="6" fillId="0" borderId="1" xfId="0" applyNumberFormat="1" applyFont="1" applyFill="1" applyBorder="1">
      <alignment vertical="center"/>
    </xf>
    <xf numFmtId="0" fontId="6" fillId="0" borderId="1" xfId="0" applyFont="1" applyFill="1" applyBorder="1">
      <alignment vertical="center"/>
    </xf>
    <xf numFmtId="49" fontId="2" fillId="14" borderId="1" xfId="0" applyNumberFormat="1" applyFont="1" applyFill="1" applyBorder="1" applyAlignment="1">
      <alignment vertical="center" wrapText="1"/>
    </xf>
    <xf numFmtId="0" fontId="21" fillId="6" borderId="3" xfId="0" applyFont="1" applyFill="1" applyBorder="1" applyAlignment="1"/>
    <xf numFmtId="0" fontId="22" fillId="6" borderId="3" xfId="0" applyFont="1" applyFill="1" applyBorder="1" applyAlignment="1">
      <alignment horizontal="left"/>
    </xf>
    <xf numFmtId="0" fontId="22" fillId="6" borderId="3" xfId="0" applyFont="1" applyFill="1" applyBorder="1" applyAlignment="1"/>
    <xf numFmtId="0" fontId="21" fillId="6" borderId="25" xfId="0" applyFont="1" applyFill="1" applyBorder="1" applyAlignment="1"/>
    <xf numFmtId="0" fontId="21" fillId="6" borderId="2" xfId="0" applyFont="1" applyFill="1" applyBorder="1" applyAlignment="1"/>
    <xf numFmtId="0" fontId="23" fillId="6" borderId="3" xfId="0" applyFont="1" applyFill="1" applyBorder="1" applyAlignment="1"/>
    <xf numFmtId="0" fontId="23" fillId="6" borderId="25" xfId="0" applyFont="1" applyFill="1" applyBorder="1" applyAlignment="1"/>
    <xf numFmtId="0" fontId="21" fillId="0" borderId="3" xfId="0" applyFont="1" applyFill="1" applyBorder="1" applyAlignment="1"/>
    <xf numFmtId="0" fontId="21" fillId="0" borderId="3" xfId="0" applyFont="1" applyFill="1" applyBorder="1" applyAlignment="1">
      <alignment horizontal="left"/>
    </xf>
    <xf numFmtId="0" fontId="21" fillId="0" borderId="25" xfId="0" applyFont="1" applyFill="1" applyBorder="1" applyAlignment="1"/>
    <xf numFmtId="0" fontId="21" fillId="0" borderId="2" xfId="0" applyFont="1" applyFill="1" applyBorder="1" applyAlignment="1"/>
    <xf numFmtId="0" fontId="13" fillId="2" borderId="3" xfId="1" applyFont="1" applyFill="1" applyBorder="1" applyAlignment="1">
      <alignment horizontal="center" vertical="center"/>
    </xf>
    <xf numFmtId="0" fontId="5" fillId="0" borderId="0" xfId="1" applyFont="1" applyBorder="1" applyAlignment="1">
      <alignment vertical="center" wrapText="1"/>
    </xf>
    <xf numFmtId="0" fontId="5" fillId="0" borderId="3" xfId="1" applyFont="1" applyFill="1" applyBorder="1" applyAlignment="1">
      <alignment vertical="center" wrapText="1"/>
    </xf>
    <xf numFmtId="0" fontId="5" fillId="13" borderId="3" xfId="1" applyFont="1" applyFill="1" applyBorder="1" applyAlignment="1">
      <alignment vertical="center" wrapText="1"/>
    </xf>
    <xf numFmtId="0" fontId="5" fillId="0" borderId="3" xfId="0" applyFont="1" applyFill="1" applyBorder="1">
      <alignment vertical="center"/>
    </xf>
    <xf numFmtId="0" fontId="5" fillId="0" borderId="3" xfId="0" applyFont="1" applyFill="1" applyBorder="1" applyAlignment="1">
      <alignment vertical="center" wrapText="1"/>
    </xf>
    <xf numFmtId="0" fontId="5" fillId="12" borderId="3" xfId="1" applyFont="1" applyFill="1" applyBorder="1" applyAlignment="1">
      <alignment vertical="center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5" fillId="0" borderId="29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13" fillId="2" borderId="3" xfId="1" applyFont="1" applyFill="1" applyBorder="1" applyAlignment="1">
      <alignment horizontal="center" vertical="center" wrapText="1"/>
    </xf>
    <xf numFmtId="0" fontId="13" fillId="2" borderId="25" xfId="1" applyFont="1" applyFill="1" applyBorder="1" applyAlignment="1">
      <alignment horizontal="center" vertical="center" wrapText="1"/>
    </xf>
    <xf numFmtId="0" fontId="13" fillId="2" borderId="2" xfId="1" applyFont="1" applyFill="1" applyBorder="1" applyAlignment="1">
      <alignment horizontal="center" vertical="center" wrapText="1"/>
    </xf>
    <xf numFmtId="0" fontId="5" fillId="0" borderId="25" xfId="1" applyFont="1" applyFill="1" applyBorder="1">
      <alignment vertical="center"/>
    </xf>
    <xf numFmtId="0" fontId="5" fillId="0" borderId="25" xfId="1" applyFont="1" applyBorder="1" applyAlignment="1">
      <alignment vertical="center" wrapText="1"/>
    </xf>
    <xf numFmtId="0" fontId="5" fillId="0" borderId="2" xfId="1" applyFont="1" applyBorder="1" applyAlignment="1">
      <alignment vertical="center" wrapText="1"/>
    </xf>
    <xf numFmtId="0" fontId="0" fillId="0" borderId="0" xfId="0" applyFill="1">
      <alignment vertical="center"/>
    </xf>
    <xf numFmtId="0" fontId="12" fillId="0" borderId="3" xfId="1" applyFont="1" applyBorder="1" applyAlignment="1">
      <alignment horizontal="center" vertical="center"/>
    </xf>
    <xf numFmtId="0" fontId="2" fillId="15" borderId="1" xfId="0" applyFont="1" applyFill="1" applyBorder="1" applyAlignment="1">
      <alignment vertical="center" wrapText="1"/>
    </xf>
    <xf numFmtId="0" fontId="5" fillId="16" borderId="3" xfId="1" applyFont="1" applyFill="1" applyBorder="1">
      <alignment vertical="center"/>
    </xf>
    <xf numFmtId="0" fontId="5" fillId="16" borderId="3" xfId="1" applyFont="1" applyFill="1" applyBorder="1" applyAlignment="1">
      <alignment horizontal="left" vertical="center"/>
    </xf>
    <xf numFmtId="0" fontId="5" fillId="16" borderId="30" xfId="1" applyFont="1" applyFill="1" applyBorder="1" applyAlignment="1">
      <alignment vertical="center" wrapText="1"/>
    </xf>
    <xf numFmtId="0" fontId="5" fillId="3" borderId="3" xfId="1" applyFont="1" applyFill="1" applyBorder="1">
      <alignment vertical="center"/>
    </xf>
    <xf numFmtId="0" fontId="5" fillId="3" borderId="3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vertical="center" wrapText="1"/>
    </xf>
    <xf numFmtId="49" fontId="5" fillId="17" borderId="1" xfId="0" applyNumberFormat="1" applyFont="1" applyFill="1" applyBorder="1">
      <alignment vertical="center"/>
    </xf>
    <xf numFmtId="0" fontId="5" fillId="17" borderId="1" xfId="0" applyFont="1" applyFill="1" applyBorder="1">
      <alignment vertical="center"/>
    </xf>
    <xf numFmtId="49" fontId="2" fillId="17" borderId="1" xfId="0" applyNumberFormat="1" applyFont="1" applyFill="1" applyBorder="1" applyAlignment="1">
      <alignment vertical="center" wrapText="1"/>
    </xf>
    <xf numFmtId="49" fontId="25" fillId="0" borderId="1" xfId="0" applyNumberFormat="1" applyFont="1" applyBorder="1">
      <alignment vertical="center"/>
    </xf>
    <xf numFmtId="49" fontId="27" fillId="0" borderId="1" xfId="0" applyNumberFormat="1" applyFont="1" applyBorder="1">
      <alignment vertical="center"/>
    </xf>
    <xf numFmtId="49" fontId="5" fillId="3" borderId="1" xfId="1" applyNumberFormat="1" applyFont="1" applyFill="1" applyBorder="1">
      <alignment vertical="center"/>
    </xf>
    <xf numFmtId="49" fontId="5" fillId="3" borderId="1" xfId="1" applyNumberFormat="1" applyFont="1" applyFill="1" applyBorder="1" applyAlignment="1">
      <alignment horizontal="right" vertical="center"/>
    </xf>
    <xf numFmtId="0" fontId="5" fillId="3" borderId="1" xfId="1" applyFont="1" applyFill="1" applyBorder="1">
      <alignment vertical="center"/>
    </xf>
    <xf numFmtId="0" fontId="5" fillId="0" borderId="29" xfId="1" applyFont="1" applyBorder="1" applyAlignment="1">
      <alignment horizontal="center" vertical="center"/>
    </xf>
    <xf numFmtId="0" fontId="5" fillId="0" borderId="28" xfId="1" applyFont="1" applyBorder="1" applyAlignment="1">
      <alignment horizontal="center" vertical="center"/>
    </xf>
    <xf numFmtId="0" fontId="5" fillId="0" borderId="27" xfId="1" applyFont="1" applyBorder="1" applyAlignment="1">
      <alignment horizontal="center" vertical="center"/>
    </xf>
    <xf numFmtId="0" fontId="5" fillId="0" borderId="29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horizontal="center" vertical="center"/>
    </xf>
    <xf numFmtId="0" fontId="5" fillId="0" borderId="27" xfId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3" xfId="1" applyFont="1" applyFill="1" applyBorder="1" applyAlignment="1">
      <alignment horizontal="center" vertical="center"/>
    </xf>
    <xf numFmtId="0" fontId="12" fillId="0" borderId="29" xfId="1" applyFont="1" applyBorder="1" applyAlignment="1">
      <alignment horizontal="center" vertical="center"/>
    </xf>
    <xf numFmtId="0" fontId="12" fillId="0" borderId="28" xfId="1" applyFont="1" applyBorder="1" applyAlignment="1">
      <alignment horizontal="center" vertical="center"/>
    </xf>
    <xf numFmtId="0" fontId="12" fillId="0" borderId="27" xfId="1" applyFont="1" applyBorder="1" applyAlignment="1">
      <alignment horizontal="center" vertical="center"/>
    </xf>
    <xf numFmtId="0" fontId="5" fillId="7" borderId="29" xfId="1" applyFont="1" applyFill="1" applyBorder="1" applyAlignment="1">
      <alignment horizontal="center" vertical="center"/>
    </xf>
    <xf numFmtId="0" fontId="5" fillId="7" borderId="28" xfId="1" applyFont="1" applyFill="1" applyBorder="1" applyAlignment="1">
      <alignment horizontal="center" vertical="center"/>
    </xf>
    <xf numFmtId="0" fontId="5" fillId="7" borderId="27" xfId="1" applyFont="1" applyFill="1" applyBorder="1" applyAlignment="1">
      <alignment horizontal="center" vertical="center"/>
    </xf>
    <xf numFmtId="0" fontId="12" fillId="0" borderId="2" xfId="1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/>
    </xf>
    <xf numFmtId="0" fontId="5" fillId="12" borderId="3" xfId="1" applyFont="1" applyFill="1" applyBorder="1" applyAlignment="1">
      <alignment horizontal="center" vertical="center"/>
    </xf>
    <xf numFmtId="0" fontId="5" fillId="12" borderId="29" xfId="1" applyFont="1" applyFill="1" applyBorder="1" applyAlignment="1">
      <alignment horizontal="center" vertical="center"/>
    </xf>
    <xf numFmtId="0" fontId="10" fillId="0" borderId="25" xfId="0" applyFont="1" applyBorder="1" applyAlignment="1">
      <alignment horizontal="left" vertical="center"/>
    </xf>
    <xf numFmtId="0" fontId="10" fillId="0" borderId="26" xfId="0" applyFont="1" applyBorder="1" applyAlignment="1">
      <alignment horizontal="left" vertical="center"/>
    </xf>
    <xf numFmtId="0" fontId="10" fillId="0" borderId="25" xfId="0" applyFont="1" applyBorder="1" applyAlignment="1">
      <alignment horizontal="left" vertical="center" wrapText="1"/>
    </xf>
    <xf numFmtId="0" fontId="10" fillId="0" borderId="26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49" fontId="5" fillId="15" borderId="1" xfId="0" applyNumberFormat="1" applyFont="1" applyFill="1" applyBorder="1">
      <alignment vertical="center"/>
    </xf>
    <xf numFmtId="0" fontId="5" fillId="15" borderId="1" xfId="0" applyFont="1" applyFill="1" applyBorder="1" applyAlignment="1">
      <alignment horizontal="right" vertical="center"/>
    </xf>
    <xf numFmtId="0" fontId="5" fillId="15" borderId="1" xfId="0" applyFont="1" applyFill="1" applyBorder="1">
      <alignment vertical="center"/>
    </xf>
    <xf numFmtId="49" fontId="2" fillId="15" borderId="1" xfId="1" applyNumberFormat="1" applyFont="1" applyFill="1" applyBorder="1" applyAlignment="1">
      <alignment vertical="center" wrapText="1"/>
    </xf>
    <xf numFmtId="49" fontId="2" fillId="15" borderId="1" xfId="0" applyNumberFormat="1" applyFont="1" applyFill="1" applyBorder="1" applyAlignment="1">
      <alignment vertical="center" wrapText="1"/>
    </xf>
    <xf numFmtId="0" fontId="0" fillId="15" borderId="0" xfId="0" applyFill="1">
      <alignment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colors>
    <mruColors>
      <color rgb="FFCCFFCC"/>
      <color rgb="FFFFDCB9"/>
      <color rgb="FFCCECFF"/>
      <color rgb="FFCCFFFF"/>
      <color rgb="FFE1FF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itMain\PROJECT\BM1686\TPU\TPU%20SPEC\BM1686_TPU_TIU_Reg4.3%20-%20&#21103;&#2641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"/>
      <sheetName val="Control register base=0x100"/>
      <sheetName val="Lmem bank constrain"/>
      <sheetName val="Descriptor mode"/>
      <sheetName val="Command register base=0x0"/>
      <sheetName val="CONV"/>
      <sheetName val="sCONV"/>
      <sheetName val="MM"/>
      <sheetName val="sMM"/>
      <sheetName val="CMP"/>
      <sheetName val="sCMP"/>
      <sheetName val="SF"/>
      <sheetName val="sSF"/>
      <sheetName val="VC"/>
      <sheetName val="sVC"/>
      <sheetName val="LIN"/>
      <sheetName val="sLIN"/>
      <sheetName val="AR"/>
      <sheetName val="sAR"/>
      <sheetName val="PorD"/>
      <sheetName val="sPorD"/>
      <sheetName val="FAR"/>
      <sheetName val="sFAR"/>
      <sheetName val="SG"/>
      <sheetName val="sSG"/>
      <sheetName val="RS"/>
      <sheetName val="sRS"/>
      <sheetName val="LAR"/>
      <sheetName val="SYS"/>
    </sheetNames>
    <sheetDataSet>
      <sheetData sheetId="0"/>
      <sheetData sheetId="1"/>
      <sheetData sheetId="2"/>
      <sheetData sheetId="3"/>
      <sheetData sheetId="4">
        <row r="13">
          <cell r="E13" t="str">
            <v>RW</v>
          </cell>
          <cell r="F13" t="str">
            <v>0x0</v>
          </cell>
        </row>
        <row r="14">
          <cell r="E14" t="str">
            <v>RW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D48"/>
  <sheetViews>
    <sheetView zoomScale="160" zoomScaleNormal="160" workbookViewId="0">
      <selection activeCell="C15" sqref="C15"/>
    </sheetView>
  </sheetViews>
  <sheetFormatPr defaultColWidth="9" defaultRowHeight="15.65"/>
  <cols>
    <col min="1" max="1" width="9" style="89"/>
    <col min="2" max="2" width="9.125" style="97" customWidth="1"/>
    <col min="3" max="3" width="25.375" style="97" customWidth="1"/>
    <col min="4" max="4" width="111.125" style="89" customWidth="1"/>
    <col min="5" max="13" width="9" style="89"/>
    <col min="14" max="14" width="15.375" style="89" customWidth="1"/>
    <col min="15" max="15" width="62.375" style="89" customWidth="1"/>
    <col min="16" max="16384" width="9" style="89"/>
  </cols>
  <sheetData>
    <row r="2" spans="2:4" ht="16.3">
      <c r="B2" s="98" t="s">
        <v>0</v>
      </c>
      <c r="C2" s="99" t="s">
        <v>1</v>
      </c>
      <c r="D2" s="100" t="s">
        <v>2</v>
      </c>
    </row>
    <row r="3" spans="2:4" ht="31.25">
      <c r="B3" s="103">
        <v>0.1</v>
      </c>
      <c r="C3" s="102" t="s">
        <v>1014</v>
      </c>
      <c r="D3" s="96" t="s">
        <v>1023</v>
      </c>
    </row>
    <row r="4" spans="2:4">
      <c r="B4" s="103">
        <v>0.2</v>
      </c>
      <c r="C4" s="102" t="s">
        <v>1059</v>
      </c>
      <c r="D4" s="95" t="s">
        <v>1147</v>
      </c>
    </row>
    <row r="5" spans="2:4" ht="31.25">
      <c r="B5" s="103">
        <v>0.3</v>
      </c>
      <c r="C5" s="102" t="s">
        <v>1151</v>
      </c>
      <c r="D5" s="96" t="s">
        <v>1152</v>
      </c>
    </row>
    <row r="6" spans="2:4">
      <c r="B6" s="103">
        <v>0.4</v>
      </c>
      <c r="C6" s="102" t="s">
        <v>1164</v>
      </c>
      <c r="D6" s="96" t="s">
        <v>1165</v>
      </c>
    </row>
    <row r="7" spans="2:4">
      <c r="B7" s="102" t="s">
        <v>1167</v>
      </c>
      <c r="C7" s="102" t="s">
        <v>1168</v>
      </c>
      <c r="D7" s="95" t="s">
        <v>1169</v>
      </c>
    </row>
    <row r="8" spans="2:4">
      <c r="B8" s="103">
        <v>0.6</v>
      </c>
      <c r="C8" s="102" t="s">
        <v>1171</v>
      </c>
      <c r="D8" s="95" t="s">
        <v>1173</v>
      </c>
    </row>
    <row r="9" spans="2:4">
      <c r="B9" s="103">
        <v>0.7</v>
      </c>
      <c r="C9" s="102" t="s">
        <v>1176</v>
      </c>
      <c r="D9" s="95" t="s">
        <v>1178</v>
      </c>
    </row>
    <row r="10" spans="2:4">
      <c r="B10" s="103">
        <v>0.8</v>
      </c>
      <c r="C10" s="102" t="s">
        <v>1179</v>
      </c>
      <c r="D10" s="95" t="s">
        <v>1180</v>
      </c>
    </row>
    <row r="11" spans="2:4">
      <c r="B11" s="103">
        <v>0.9</v>
      </c>
      <c r="C11" s="102" t="s">
        <v>1194</v>
      </c>
      <c r="D11" s="95" t="s">
        <v>1202</v>
      </c>
    </row>
    <row r="12" spans="2:4">
      <c r="B12" s="101">
        <v>1</v>
      </c>
      <c r="C12" s="102" t="s">
        <v>1204</v>
      </c>
      <c r="D12" s="95" t="s">
        <v>1203</v>
      </c>
    </row>
    <row r="13" spans="2:4">
      <c r="B13" s="103"/>
      <c r="C13" s="102"/>
      <c r="D13" s="95"/>
    </row>
    <row r="14" spans="2:4">
      <c r="B14" s="103"/>
      <c r="C14" s="102"/>
      <c r="D14" s="95"/>
    </row>
    <row r="15" spans="2:4">
      <c r="B15" s="103"/>
      <c r="C15" s="102"/>
      <c r="D15" s="95"/>
    </row>
    <row r="16" spans="2:4">
      <c r="B16" s="103"/>
      <c r="C16" s="102"/>
      <c r="D16" s="95"/>
    </row>
    <row r="17" spans="2:4">
      <c r="B17" s="104"/>
      <c r="C17" s="102"/>
      <c r="D17" s="95"/>
    </row>
    <row r="18" spans="2:4">
      <c r="B18" s="103"/>
      <c r="C18" s="102"/>
      <c r="D18" s="95"/>
    </row>
    <row r="19" spans="2:4">
      <c r="B19" s="103"/>
      <c r="C19" s="112"/>
      <c r="D19" s="103"/>
    </row>
    <row r="20" spans="2:4">
      <c r="B20" s="103"/>
      <c r="C20" s="112"/>
      <c r="D20" s="103"/>
    </row>
    <row r="21" spans="2:4">
      <c r="B21" s="103"/>
      <c r="C21" s="112"/>
      <c r="D21" s="103"/>
    </row>
    <row r="22" spans="2:4">
      <c r="B22" s="101"/>
      <c r="C22" s="112"/>
      <c r="D22" s="103"/>
    </row>
    <row r="23" spans="2:4">
      <c r="B23" s="103"/>
      <c r="C23" s="112"/>
      <c r="D23" s="103"/>
    </row>
    <row r="24" spans="2:4">
      <c r="B24" s="103"/>
      <c r="C24" s="112"/>
      <c r="D24" s="103"/>
    </row>
    <row r="25" spans="2:4">
      <c r="B25" s="103"/>
      <c r="C25" s="112"/>
      <c r="D25" s="103"/>
    </row>
    <row r="26" spans="2:4">
      <c r="B26" s="103"/>
      <c r="C26" s="112"/>
      <c r="D26" s="103"/>
    </row>
    <row r="27" spans="2:4">
      <c r="B27" s="103"/>
      <c r="C27" s="112"/>
      <c r="D27" s="103"/>
    </row>
    <row r="28" spans="2:4">
      <c r="B28" s="103"/>
      <c r="C28" s="112"/>
      <c r="D28" s="103"/>
    </row>
    <row r="29" spans="2:4">
      <c r="B29" s="103"/>
      <c r="C29" s="112"/>
      <c r="D29" s="103"/>
    </row>
    <row r="30" spans="2:4">
      <c r="B30" s="103"/>
      <c r="C30" s="112"/>
      <c r="D30" s="103"/>
    </row>
    <row r="31" spans="2:4">
      <c r="B31" s="103"/>
      <c r="C31" s="112"/>
      <c r="D31" s="103"/>
    </row>
    <row r="32" spans="2:4">
      <c r="B32" s="101"/>
      <c r="C32" s="112"/>
      <c r="D32" s="103"/>
    </row>
    <row r="33" spans="2:4">
      <c r="B33" s="103"/>
      <c r="C33" s="112"/>
      <c r="D33" s="103"/>
    </row>
    <row r="34" spans="2:4">
      <c r="B34" s="103"/>
      <c r="C34" s="112"/>
      <c r="D34" s="103"/>
    </row>
    <row r="35" spans="2:4">
      <c r="B35" s="103"/>
      <c r="C35" s="103"/>
      <c r="D35" s="103"/>
    </row>
    <row r="36" spans="2:4">
      <c r="B36" s="103"/>
      <c r="C36" s="103"/>
      <c r="D36" s="103"/>
    </row>
    <row r="37" spans="2:4">
      <c r="B37" s="102"/>
      <c r="C37" s="103"/>
      <c r="D37" s="103"/>
    </row>
    <row r="38" spans="2:4">
      <c r="B38" s="103"/>
      <c r="C38" s="103"/>
      <c r="D38" s="103"/>
    </row>
    <row r="39" spans="2:4">
      <c r="B39" s="103"/>
      <c r="C39" s="103"/>
      <c r="D39" s="103"/>
    </row>
    <row r="40" spans="2:4">
      <c r="B40" s="103"/>
      <c r="C40" s="103"/>
      <c r="D40" s="103"/>
    </row>
    <row r="41" spans="2:4">
      <c r="B41" s="103"/>
      <c r="C41" s="103"/>
      <c r="D41" s="103"/>
    </row>
    <row r="42" spans="2:4">
      <c r="B42" s="103"/>
      <c r="C42" s="103"/>
      <c r="D42" s="103"/>
    </row>
    <row r="43" spans="2:4">
      <c r="B43" s="103"/>
      <c r="C43" s="103"/>
      <c r="D43" s="103"/>
    </row>
    <row r="44" spans="2:4">
      <c r="B44" s="103"/>
      <c r="C44" s="103"/>
      <c r="D44" s="103"/>
    </row>
    <row r="45" spans="2:4">
      <c r="B45" s="103"/>
      <c r="C45" s="103"/>
      <c r="D45" s="103"/>
    </row>
    <row r="46" spans="2:4">
      <c r="B46" s="103"/>
      <c r="C46" s="103"/>
      <c r="D46" s="103"/>
    </row>
    <row r="47" spans="2:4">
      <c r="B47" s="103"/>
      <c r="C47" s="103"/>
      <c r="D47" s="103"/>
    </row>
    <row r="48" spans="2:4">
      <c r="B48" s="103"/>
      <c r="C48" s="103"/>
      <c r="D48" s="103"/>
    </row>
  </sheetData>
  <customSheetViews>
    <customSheetView guid="{465993EB-2174-44B8-8988-073286CA386F}" topLeftCell="A3">
      <selection activeCell="D12" sqref="D12"/>
      <pageMargins left="0.7" right="0.7" top="0.75" bottom="0.75" header="0.3" footer="0.3"/>
      <pageSetup paperSize="9" orientation="portrait"/>
    </customSheetView>
    <customSheetView guid="{C03D8012-5FAF-4C48-B7E4-56A55E52A74B}" topLeftCell="A3">
      <selection activeCell="D8" sqref="D8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45"/>
  <sheetViews>
    <sheetView topLeftCell="A67" zoomScale="85" zoomScaleNormal="85" workbookViewId="0">
      <selection activeCell="AD85" sqref="AD85"/>
    </sheetView>
  </sheetViews>
  <sheetFormatPr defaultColWidth="9" defaultRowHeight="15.65"/>
  <cols>
    <col min="1" max="1" width="18.125" style="128" customWidth="1"/>
    <col min="2" max="2" width="18.25" style="128" customWidth="1"/>
    <col min="3" max="4" width="16.875" style="128" customWidth="1"/>
    <col min="5" max="5" width="36.75" style="128" customWidth="1"/>
    <col min="6" max="6" width="26.625" style="128" hidden="1" customWidth="1"/>
    <col min="7" max="7" width="28.125" style="128" hidden="1" customWidth="1"/>
    <col min="8" max="10" width="6.625" style="128" customWidth="1"/>
    <col min="11" max="11" width="6.25" style="128" customWidth="1"/>
    <col min="12" max="12" width="25.625" style="128" customWidth="1"/>
    <col min="13" max="13" width="71.125" style="163" customWidth="1"/>
    <col min="14" max="21" width="0" style="128" hidden="1" customWidth="1"/>
    <col min="22" max="22" width="10.875" style="128" hidden="1" customWidth="1"/>
    <col min="23" max="23" width="10.875" style="128" customWidth="1"/>
    <col min="24" max="24" width="14.25" style="128" customWidth="1"/>
    <col min="25" max="25" width="12" style="128" customWidth="1"/>
    <col min="26" max="26" width="14.25" style="128" customWidth="1"/>
    <col min="27" max="27" width="9" style="128"/>
    <col min="29" max="16384" width="9" style="128"/>
  </cols>
  <sheetData>
    <row r="1" spans="1:27">
      <c r="A1" s="151" t="s">
        <v>1060</v>
      </c>
      <c r="B1" s="152" t="s">
        <v>1077</v>
      </c>
      <c r="C1" s="151"/>
      <c r="D1" s="152"/>
      <c r="E1" s="152"/>
      <c r="F1" s="152"/>
      <c r="G1" s="152"/>
      <c r="H1" s="152"/>
      <c r="I1" s="152"/>
      <c r="J1" s="152"/>
      <c r="K1" s="152"/>
      <c r="L1" s="153"/>
      <c r="M1" s="153"/>
      <c r="N1" s="154"/>
      <c r="O1" s="151"/>
      <c r="P1" s="155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</row>
    <row r="2" spans="1:27">
      <c r="A2" s="151" t="s">
        <v>1061</v>
      </c>
      <c r="B2" s="152" t="s">
        <v>1062</v>
      </c>
      <c r="C2" s="151"/>
      <c r="D2" s="152"/>
      <c r="E2" s="152"/>
      <c r="F2" s="152"/>
      <c r="G2" s="152"/>
      <c r="H2" s="152"/>
      <c r="I2" s="152"/>
      <c r="J2" s="152"/>
      <c r="K2" s="152"/>
      <c r="L2" s="153"/>
      <c r="M2" s="153"/>
      <c r="N2" s="154"/>
      <c r="O2" s="151"/>
      <c r="P2" s="155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>
      <c r="A3" s="151" t="s">
        <v>1063</v>
      </c>
      <c r="B3" s="152" t="s">
        <v>1064</v>
      </c>
      <c r="C3" s="151"/>
      <c r="D3" s="152"/>
      <c r="E3" s="152"/>
      <c r="F3" s="152"/>
      <c r="G3" s="152"/>
      <c r="H3" s="152"/>
      <c r="I3" s="152"/>
      <c r="J3" s="152"/>
      <c r="K3" s="152"/>
      <c r="L3" s="153"/>
      <c r="M3" s="153"/>
      <c r="N3" s="157"/>
      <c r="O3" s="151"/>
      <c r="P3" s="155"/>
      <c r="Q3" s="151"/>
      <c r="R3" s="156"/>
      <c r="S3" s="151"/>
      <c r="T3" s="151"/>
      <c r="U3" s="151"/>
      <c r="V3" s="151"/>
      <c r="W3" s="151"/>
      <c r="X3" s="156"/>
      <c r="Y3" s="156"/>
      <c r="Z3" s="156"/>
      <c r="AA3" s="151"/>
    </row>
    <row r="4" spans="1:27">
      <c r="A4" s="151" t="s">
        <v>1065</v>
      </c>
      <c r="B4" s="152"/>
      <c r="C4" s="151"/>
      <c r="D4" s="152"/>
      <c r="E4" s="152"/>
      <c r="F4" s="152"/>
      <c r="G4" s="152"/>
      <c r="H4" s="152"/>
      <c r="I4" s="152"/>
      <c r="J4" s="152"/>
      <c r="K4" s="152"/>
      <c r="L4" s="153"/>
      <c r="M4" s="153"/>
      <c r="N4" s="157"/>
      <c r="O4" s="151"/>
      <c r="P4" s="155"/>
      <c r="Q4" s="151"/>
      <c r="R4" s="156"/>
      <c r="S4" s="151"/>
      <c r="T4" s="151"/>
      <c r="U4" s="151"/>
      <c r="V4" s="151"/>
      <c r="W4" s="151"/>
      <c r="X4" s="156"/>
      <c r="Y4" s="156"/>
      <c r="Z4" s="156"/>
      <c r="AA4" s="151"/>
    </row>
    <row r="5" spans="1:27">
      <c r="A5" s="151" t="s">
        <v>1066</v>
      </c>
      <c r="B5" s="152" t="s">
        <v>1067</v>
      </c>
      <c r="C5" s="151"/>
      <c r="D5" s="152"/>
      <c r="E5" s="152"/>
      <c r="F5" s="152"/>
      <c r="G5" s="152"/>
      <c r="H5" s="152"/>
      <c r="I5" s="152"/>
      <c r="J5" s="152"/>
      <c r="K5" s="152"/>
      <c r="L5" s="153"/>
      <c r="M5" s="153"/>
      <c r="N5" s="157"/>
      <c r="O5" s="151"/>
      <c r="P5" s="155"/>
      <c r="Q5" s="151"/>
      <c r="R5" s="156"/>
      <c r="S5" s="151"/>
      <c r="T5" s="151"/>
      <c r="U5" s="151"/>
      <c r="V5" s="151"/>
      <c r="W5" s="151"/>
      <c r="X5" s="156"/>
      <c r="Y5" s="156"/>
      <c r="Z5" s="156"/>
      <c r="AA5" s="151"/>
    </row>
    <row r="6" spans="1:27">
      <c r="A6" s="151" t="s">
        <v>1068</v>
      </c>
      <c r="B6" s="152" t="s">
        <v>1069</v>
      </c>
      <c r="C6" s="151"/>
      <c r="D6" s="152"/>
      <c r="E6" s="152"/>
      <c r="F6" s="152"/>
      <c r="G6" s="152"/>
      <c r="H6" s="152"/>
      <c r="I6" s="152"/>
      <c r="J6" s="152"/>
      <c r="K6" s="152"/>
      <c r="L6" s="153"/>
      <c r="M6" s="153"/>
      <c r="N6" s="157"/>
      <c r="O6" s="151"/>
      <c r="P6" s="155"/>
      <c r="Q6" s="151"/>
      <c r="R6" s="156"/>
      <c r="S6" s="151"/>
      <c r="T6" s="151"/>
      <c r="U6" s="151"/>
      <c r="V6" s="151"/>
      <c r="W6" s="151"/>
      <c r="X6" s="156"/>
      <c r="Y6" s="156"/>
      <c r="Z6" s="156"/>
      <c r="AA6" s="151"/>
    </row>
    <row r="7" spans="1:27">
      <c r="A7" s="151" t="s">
        <v>1070</v>
      </c>
      <c r="B7" s="152" t="s">
        <v>1071</v>
      </c>
      <c r="C7" s="151"/>
      <c r="D7" s="152"/>
      <c r="E7" s="152"/>
      <c r="F7" s="152"/>
      <c r="G7" s="152"/>
      <c r="H7" s="152"/>
      <c r="I7" s="152"/>
      <c r="J7" s="152"/>
      <c r="K7" s="152"/>
      <c r="L7" s="153"/>
      <c r="M7" s="153"/>
      <c r="N7" s="157"/>
      <c r="O7" s="151"/>
      <c r="P7" s="155"/>
      <c r="Q7" s="151"/>
      <c r="R7" s="156"/>
      <c r="S7" s="151"/>
      <c r="T7" s="151"/>
      <c r="U7" s="151"/>
      <c r="V7" s="151"/>
      <c r="W7" s="151"/>
      <c r="X7" s="156"/>
      <c r="Y7" s="156"/>
      <c r="Z7" s="156"/>
      <c r="AA7" s="151"/>
    </row>
    <row r="8" spans="1:27">
      <c r="A8" s="151" t="s">
        <v>1072</v>
      </c>
      <c r="B8" s="152" t="s">
        <v>1069</v>
      </c>
      <c r="C8" s="151"/>
      <c r="D8" s="152"/>
      <c r="E8" s="152"/>
      <c r="F8" s="152"/>
      <c r="G8" s="152"/>
      <c r="H8" s="152"/>
      <c r="I8" s="152"/>
      <c r="J8" s="152"/>
      <c r="K8" s="152"/>
      <c r="L8" s="153"/>
      <c r="M8" s="153"/>
      <c r="N8" s="157"/>
      <c r="O8" s="151"/>
      <c r="P8" s="155"/>
      <c r="Q8" s="151"/>
      <c r="R8" s="156"/>
      <c r="S8" s="151"/>
      <c r="T8" s="151"/>
      <c r="U8" s="151"/>
      <c r="V8" s="151"/>
      <c r="W8" s="151"/>
      <c r="X8" s="156"/>
      <c r="Y8" s="156"/>
      <c r="Z8" s="156"/>
      <c r="AA8" s="151"/>
    </row>
    <row r="9" spans="1:27">
      <c r="A9" s="151" t="s">
        <v>1073</v>
      </c>
      <c r="B9" s="152" t="s">
        <v>1079</v>
      </c>
      <c r="C9" s="151"/>
      <c r="D9" s="152"/>
      <c r="E9" s="152"/>
      <c r="F9" s="152"/>
      <c r="G9" s="152"/>
      <c r="H9" s="152"/>
      <c r="I9" s="152"/>
      <c r="J9" s="152"/>
      <c r="K9" s="152"/>
      <c r="L9" s="153"/>
      <c r="M9" s="153"/>
      <c r="N9" s="157"/>
      <c r="O9" s="151"/>
      <c r="P9" s="155"/>
      <c r="Q9" s="151"/>
      <c r="R9" s="156"/>
      <c r="S9" s="151"/>
      <c r="T9" s="151"/>
      <c r="U9" s="151"/>
      <c r="V9" s="151"/>
      <c r="W9" s="151"/>
      <c r="X9" s="156"/>
      <c r="Y9" s="156"/>
      <c r="Z9" s="156"/>
      <c r="AA9" s="151"/>
    </row>
    <row r="10" spans="1:27">
      <c r="A10" s="151" t="s">
        <v>1074</v>
      </c>
      <c r="B10" s="152" t="s">
        <v>1078</v>
      </c>
      <c r="C10" s="151"/>
      <c r="D10" s="152"/>
      <c r="E10" s="152"/>
      <c r="F10" s="152"/>
      <c r="G10" s="152"/>
      <c r="H10" s="152"/>
      <c r="I10" s="152"/>
      <c r="J10" s="152"/>
      <c r="K10" s="152"/>
      <c r="L10" s="153"/>
      <c r="M10" s="153"/>
      <c r="N10" s="157"/>
      <c r="O10" s="151"/>
      <c r="P10" s="155"/>
      <c r="Q10" s="151"/>
      <c r="R10" s="156"/>
      <c r="S10" s="151"/>
      <c r="T10" s="151"/>
      <c r="U10" s="151"/>
      <c r="V10" s="151"/>
      <c r="W10" s="151"/>
      <c r="X10" s="156"/>
      <c r="Y10" s="156"/>
      <c r="Z10" s="156"/>
      <c r="AA10" s="151"/>
    </row>
    <row r="11" spans="1:27">
      <c r="A11" s="151" t="s">
        <v>1177</v>
      </c>
      <c r="B11" s="152" t="s">
        <v>1175</v>
      </c>
      <c r="C11" s="151"/>
      <c r="D11" s="152"/>
      <c r="E11" s="152"/>
      <c r="F11" s="152"/>
      <c r="G11" s="152"/>
      <c r="H11" s="152"/>
      <c r="I11" s="152"/>
      <c r="J11" s="152"/>
      <c r="K11" s="152"/>
      <c r="L11" s="152"/>
      <c r="M11" s="153"/>
      <c r="N11" s="154"/>
      <c r="O11" s="151"/>
      <c r="P11" s="155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 spans="1:27">
      <c r="A12" s="158" t="s">
        <v>1075</v>
      </c>
      <c r="B12" s="158"/>
      <c r="C12" s="158"/>
      <c r="D12" s="158"/>
      <c r="E12" s="159"/>
      <c r="F12" s="159"/>
      <c r="G12" s="159"/>
      <c r="H12" s="159"/>
      <c r="I12" s="159"/>
      <c r="J12" s="159"/>
      <c r="K12" s="159"/>
      <c r="L12" s="158"/>
      <c r="M12" s="158"/>
      <c r="N12" s="160"/>
      <c r="O12" s="158"/>
      <c r="P12" s="161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</row>
    <row r="13" spans="1:27">
      <c r="A13" s="158" t="s">
        <v>1076</v>
      </c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60"/>
      <c r="O13" s="158"/>
      <c r="P13" s="161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</row>
    <row r="14" spans="1:27" s="178" customFormat="1" ht="27.2">
      <c r="A14" s="162" t="s">
        <v>1081</v>
      </c>
      <c r="B14" s="162" t="s">
        <v>1082</v>
      </c>
      <c r="C14" s="162" t="s">
        <v>1080</v>
      </c>
      <c r="D14" s="162"/>
      <c r="E14" s="162" t="s">
        <v>3</v>
      </c>
      <c r="F14" s="162" t="s">
        <v>1131</v>
      </c>
      <c r="G14" s="162" t="s">
        <v>1132</v>
      </c>
      <c r="H14" s="162" t="s">
        <v>1133</v>
      </c>
      <c r="I14" s="162" t="s">
        <v>1134</v>
      </c>
      <c r="J14" s="162" t="s">
        <v>1135</v>
      </c>
      <c r="K14" s="179" t="s">
        <v>7</v>
      </c>
      <c r="L14" s="179" t="s">
        <v>1136</v>
      </c>
      <c r="M14" s="179" t="s">
        <v>1137</v>
      </c>
      <c r="N14" s="180" t="s">
        <v>1138</v>
      </c>
      <c r="O14" s="179" t="s">
        <v>1139</v>
      </c>
      <c r="P14" s="181" t="s">
        <v>1140</v>
      </c>
      <c r="Q14" s="179" t="s">
        <v>1141</v>
      </c>
      <c r="R14" s="179" t="s">
        <v>1142</v>
      </c>
      <c r="S14" s="179" t="s">
        <v>1143</v>
      </c>
      <c r="T14" s="179" t="s">
        <v>1144</v>
      </c>
      <c r="U14" s="179" t="s">
        <v>1145</v>
      </c>
      <c r="V14" s="179" t="s">
        <v>1146</v>
      </c>
      <c r="W14" s="179"/>
      <c r="X14" s="162" t="s">
        <v>1133</v>
      </c>
      <c r="Y14" s="162" t="s">
        <v>1134</v>
      </c>
      <c r="Z14" s="162" t="s">
        <v>1135</v>
      </c>
      <c r="AA14" s="170"/>
    </row>
    <row r="15" spans="1:27" ht="16.149999999999999" customHeight="1">
      <c r="A15" s="202" t="s">
        <v>1083</v>
      </c>
      <c r="B15" s="202" t="s">
        <v>1084</v>
      </c>
      <c r="C15" s="209" t="s">
        <v>1158</v>
      </c>
      <c r="D15" s="209" t="s">
        <v>1161</v>
      </c>
      <c r="E15" s="107" t="s">
        <v>10</v>
      </c>
      <c r="F15" s="107"/>
      <c r="G15" s="107"/>
      <c r="H15" s="107">
        <v>1</v>
      </c>
      <c r="I15" s="127">
        <f>J15+H15-1</f>
        <v>0</v>
      </c>
      <c r="J15" s="127">
        <v>0</v>
      </c>
      <c r="K15" s="137" t="s">
        <v>7</v>
      </c>
      <c r="L15" s="139" t="str">
        <f t="shared" ref="L15:L45" si="0">H15&amp;"'h0"</f>
        <v>1'h0</v>
      </c>
      <c r="M15" s="110" t="s">
        <v>12</v>
      </c>
      <c r="N15" s="140"/>
      <c r="O15" s="107"/>
      <c r="P15" s="136"/>
      <c r="Q15" s="107"/>
      <c r="R15" s="107"/>
      <c r="S15" s="107"/>
      <c r="T15" s="107"/>
      <c r="U15" s="107"/>
      <c r="V15" s="107"/>
      <c r="W15" s="107"/>
      <c r="X15" s="107">
        <v>1</v>
      </c>
      <c r="Y15" s="127">
        <f t="shared" ref="Y15:Y46" si="1">Z15+X15-1</f>
        <v>0</v>
      </c>
      <c r="Z15" s="127">
        <v>0</v>
      </c>
      <c r="AA15" s="214" t="s">
        <v>901</v>
      </c>
    </row>
    <row r="16" spans="1:27" ht="31.25">
      <c r="A16" s="203"/>
      <c r="B16" s="203"/>
      <c r="C16" s="209"/>
      <c r="D16" s="209"/>
      <c r="E16" s="107" t="s">
        <v>931</v>
      </c>
      <c r="F16" s="107"/>
      <c r="G16" s="107"/>
      <c r="H16" s="107">
        <v>1</v>
      </c>
      <c r="I16" s="127">
        <f t="shared" ref="I16:I65" si="2">J16+H16-1</f>
        <v>1</v>
      </c>
      <c r="J16" s="127">
        <f>I15+1</f>
        <v>1</v>
      </c>
      <c r="K16" s="137" t="s">
        <v>997</v>
      </c>
      <c r="L16" s="139" t="str">
        <f t="shared" si="0"/>
        <v>1'h0</v>
      </c>
      <c r="M16" s="110" t="s">
        <v>13</v>
      </c>
      <c r="N16" s="140"/>
      <c r="O16" s="107"/>
      <c r="P16" s="136"/>
      <c r="Q16" s="107"/>
      <c r="R16" s="107"/>
      <c r="S16" s="107"/>
      <c r="T16" s="107"/>
      <c r="U16" s="107"/>
      <c r="V16" s="107"/>
      <c r="W16" s="107"/>
      <c r="X16" s="107">
        <v>1</v>
      </c>
      <c r="Y16" s="127">
        <f t="shared" si="1"/>
        <v>1</v>
      </c>
      <c r="Z16" s="127">
        <f t="shared" ref="Z16:Z47" si="3">Y15+1</f>
        <v>1</v>
      </c>
      <c r="AA16" s="215"/>
    </row>
    <row r="17" spans="1:28" s="135" customFormat="1" ht="16.149999999999999" customHeight="1">
      <c r="A17" s="203"/>
      <c r="B17" s="203"/>
      <c r="C17" s="209"/>
      <c r="D17" s="209"/>
      <c r="E17" s="191" t="s">
        <v>1008</v>
      </c>
      <c r="F17" s="191"/>
      <c r="G17" s="191"/>
      <c r="H17" s="191">
        <v>24</v>
      </c>
      <c r="I17" s="191">
        <f t="shared" si="2"/>
        <v>25</v>
      </c>
      <c r="J17" s="191">
        <f t="shared" ref="J17:J64" si="4">I16+1</f>
        <v>2</v>
      </c>
      <c r="K17" s="192" t="s">
        <v>28</v>
      </c>
      <c r="L17" s="192" t="str">
        <f t="shared" si="0"/>
        <v>24'h0</v>
      </c>
      <c r="M17" s="193" t="s">
        <v>1190</v>
      </c>
      <c r="N17" s="182"/>
      <c r="O17" s="127"/>
      <c r="P17" s="138"/>
      <c r="Q17" s="127"/>
      <c r="R17" s="127"/>
      <c r="S17" s="127"/>
      <c r="T17" s="127"/>
      <c r="U17" s="127"/>
      <c r="V17" s="127"/>
      <c r="W17" s="127"/>
      <c r="X17" s="127">
        <v>24</v>
      </c>
      <c r="Y17" s="127">
        <f t="shared" si="1"/>
        <v>25</v>
      </c>
      <c r="Z17" s="127">
        <f t="shared" si="3"/>
        <v>2</v>
      </c>
      <c r="AA17" s="215"/>
    </row>
    <row r="18" spans="1:28" s="135" customFormat="1">
      <c r="A18" s="203"/>
      <c r="B18" s="203"/>
      <c r="C18" s="209"/>
      <c r="D18" s="209"/>
      <c r="E18" s="127" t="s">
        <v>15</v>
      </c>
      <c r="F18" s="127"/>
      <c r="G18" s="127"/>
      <c r="H18" s="127">
        <v>1</v>
      </c>
      <c r="I18" s="127">
        <f t="shared" si="2"/>
        <v>26</v>
      </c>
      <c r="J18" s="127">
        <f t="shared" si="4"/>
        <v>26</v>
      </c>
      <c r="K18" s="139" t="s">
        <v>7</v>
      </c>
      <c r="L18" s="139" t="str">
        <f>H18&amp;"'h1"</f>
        <v>1'h1</v>
      </c>
      <c r="M18" s="164" t="s">
        <v>796</v>
      </c>
      <c r="N18" s="182"/>
      <c r="O18" s="127"/>
      <c r="P18" s="138"/>
      <c r="Q18" s="127"/>
      <c r="R18" s="127"/>
      <c r="S18" s="127"/>
      <c r="T18" s="127"/>
      <c r="U18" s="127"/>
      <c r="V18" s="127"/>
      <c r="W18" s="127"/>
      <c r="X18" s="127">
        <v>1</v>
      </c>
      <c r="Y18" s="127">
        <f t="shared" si="1"/>
        <v>26</v>
      </c>
      <c r="Z18" s="127">
        <f t="shared" si="3"/>
        <v>26</v>
      </c>
      <c r="AA18" s="215"/>
    </row>
    <row r="19" spans="1:28" s="135" customFormat="1">
      <c r="A19" s="203"/>
      <c r="B19" s="203"/>
      <c r="C19" s="209"/>
      <c r="D19" s="209"/>
      <c r="E19" s="127" t="s">
        <v>16</v>
      </c>
      <c r="F19" s="127"/>
      <c r="G19" s="127"/>
      <c r="H19" s="127">
        <v>1</v>
      </c>
      <c r="I19" s="127">
        <f t="shared" si="2"/>
        <v>27</v>
      </c>
      <c r="J19" s="127">
        <f t="shared" si="4"/>
        <v>27</v>
      </c>
      <c r="K19" s="139" t="s">
        <v>7</v>
      </c>
      <c r="L19" s="139" t="str">
        <f>H19&amp;"'h1"</f>
        <v>1'h1</v>
      </c>
      <c r="M19" s="164" t="s">
        <v>17</v>
      </c>
      <c r="N19" s="182"/>
      <c r="O19" s="127"/>
      <c r="P19" s="138"/>
      <c r="Q19" s="127"/>
      <c r="R19" s="127"/>
      <c r="S19" s="127"/>
      <c r="T19" s="127"/>
      <c r="U19" s="127"/>
      <c r="V19" s="127"/>
      <c r="W19" s="127"/>
      <c r="X19" s="127">
        <v>1</v>
      </c>
      <c r="Y19" s="127">
        <f t="shared" si="1"/>
        <v>27</v>
      </c>
      <c r="Z19" s="127">
        <f t="shared" si="3"/>
        <v>27</v>
      </c>
      <c r="AA19" s="215"/>
    </row>
    <row r="20" spans="1:28" ht="16.149999999999999" customHeight="1">
      <c r="A20" s="203"/>
      <c r="B20" s="203"/>
      <c r="C20" s="209"/>
      <c r="D20" s="209"/>
      <c r="E20" s="107" t="s">
        <v>18</v>
      </c>
      <c r="F20" s="107"/>
      <c r="G20" s="107"/>
      <c r="H20" s="107">
        <v>1</v>
      </c>
      <c r="I20" s="127">
        <f t="shared" si="2"/>
        <v>28</v>
      </c>
      <c r="J20" s="127">
        <f t="shared" si="4"/>
        <v>28</v>
      </c>
      <c r="K20" s="137" t="s">
        <v>7</v>
      </c>
      <c r="L20" s="139" t="str">
        <f t="shared" si="0"/>
        <v>1'h0</v>
      </c>
      <c r="M20" s="110" t="s">
        <v>19</v>
      </c>
      <c r="N20" s="140"/>
      <c r="O20" s="107"/>
      <c r="P20" s="136"/>
      <c r="Q20" s="107"/>
      <c r="R20" s="107"/>
      <c r="S20" s="107"/>
      <c r="T20" s="107"/>
      <c r="U20" s="107"/>
      <c r="V20" s="107"/>
      <c r="W20" s="107"/>
      <c r="X20" s="107">
        <v>1</v>
      </c>
      <c r="Y20" s="127">
        <f t="shared" si="1"/>
        <v>28</v>
      </c>
      <c r="Z20" s="127">
        <f t="shared" si="3"/>
        <v>28</v>
      </c>
      <c r="AA20" s="215"/>
    </row>
    <row r="21" spans="1:28" ht="16.149999999999999" customHeight="1">
      <c r="A21" s="203"/>
      <c r="B21" s="203"/>
      <c r="C21" s="209"/>
      <c r="D21" s="209"/>
      <c r="E21" s="107" t="s">
        <v>20</v>
      </c>
      <c r="F21" s="107"/>
      <c r="G21" s="107"/>
      <c r="H21" s="107">
        <v>1</v>
      </c>
      <c r="I21" s="127">
        <f t="shared" si="2"/>
        <v>29</v>
      </c>
      <c r="J21" s="127">
        <f t="shared" si="4"/>
        <v>29</v>
      </c>
      <c r="K21" s="137" t="s">
        <v>7</v>
      </c>
      <c r="L21" s="139" t="str">
        <f t="shared" si="0"/>
        <v>1'h0</v>
      </c>
      <c r="M21" s="110" t="s">
        <v>21</v>
      </c>
      <c r="N21" s="140"/>
      <c r="O21" s="107"/>
      <c r="P21" s="136"/>
      <c r="Q21" s="107"/>
      <c r="R21" s="107"/>
      <c r="S21" s="107"/>
      <c r="T21" s="107"/>
      <c r="U21" s="107"/>
      <c r="V21" s="107"/>
      <c r="W21" s="107"/>
      <c r="X21" s="107">
        <v>1</v>
      </c>
      <c r="Y21" s="127">
        <f t="shared" si="1"/>
        <v>29</v>
      </c>
      <c r="Z21" s="127">
        <f t="shared" si="3"/>
        <v>29</v>
      </c>
      <c r="AA21" s="215"/>
    </row>
    <row r="22" spans="1:28" ht="16.149999999999999" customHeight="1">
      <c r="A22" s="203"/>
      <c r="B22" s="203"/>
      <c r="C22" s="209"/>
      <c r="D22" s="209"/>
      <c r="E22" s="107" t="s">
        <v>930</v>
      </c>
      <c r="F22" s="107"/>
      <c r="G22" s="107"/>
      <c r="H22" s="107">
        <v>1</v>
      </c>
      <c r="I22" s="127">
        <f t="shared" si="2"/>
        <v>30</v>
      </c>
      <c r="J22" s="127">
        <f t="shared" si="4"/>
        <v>30</v>
      </c>
      <c r="K22" s="137" t="s">
        <v>7</v>
      </c>
      <c r="L22" s="139" t="str">
        <f>H22&amp;"'h1"</f>
        <v>1'h1</v>
      </c>
      <c r="M22" s="110" t="s">
        <v>23</v>
      </c>
      <c r="N22" s="140"/>
      <c r="O22" s="107"/>
      <c r="P22" s="136"/>
      <c r="Q22" s="107"/>
      <c r="R22" s="107"/>
      <c r="S22" s="107"/>
      <c r="T22" s="107"/>
      <c r="U22" s="107"/>
      <c r="V22" s="107"/>
      <c r="W22" s="107"/>
      <c r="X22" s="107">
        <v>1</v>
      </c>
      <c r="Y22" s="127">
        <f t="shared" si="1"/>
        <v>30</v>
      </c>
      <c r="Z22" s="127">
        <f t="shared" si="3"/>
        <v>30</v>
      </c>
      <c r="AA22" s="215"/>
    </row>
    <row r="23" spans="1:28" ht="16.149999999999999" customHeight="1">
      <c r="A23" s="203"/>
      <c r="B23" s="203"/>
      <c r="C23" s="209"/>
      <c r="D23" s="209"/>
      <c r="E23" s="107" t="s">
        <v>797</v>
      </c>
      <c r="F23" s="107"/>
      <c r="G23" s="107"/>
      <c r="H23" s="107">
        <v>1</v>
      </c>
      <c r="I23" s="127">
        <f t="shared" si="2"/>
        <v>31</v>
      </c>
      <c r="J23" s="127">
        <f t="shared" si="4"/>
        <v>31</v>
      </c>
      <c r="K23" s="137" t="s">
        <v>7</v>
      </c>
      <c r="L23" s="139" t="str">
        <f t="shared" si="0"/>
        <v>1'h0</v>
      </c>
      <c r="M23" s="110" t="s">
        <v>24</v>
      </c>
      <c r="N23" s="140"/>
      <c r="O23" s="107"/>
      <c r="P23" s="136"/>
      <c r="Q23" s="107"/>
      <c r="R23" s="107"/>
      <c r="S23" s="107"/>
      <c r="T23" s="107"/>
      <c r="U23" s="107"/>
      <c r="V23" s="107"/>
      <c r="W23" s="107"/>
      <c r="X23" s="107">
        <v>1</v>
      </c>
      <c r="Y23" s="127">
        <f t="shared" si="1"/>
        <v>31</v>
      </c>
      <c r="Z23" s="127">
        <f t="shared" si="3"/>
        <v>31</v>
      </c>
      <c r="AA23" s="215"/>
    </row>
    <row r="24" spans="1:28" ht="16.149999999999999" customHeight="1">
      <c r="A24" s="203"/>
      <c r="B24" s="203"/>
      <c r="C24" s="209"/>
      <c r="D24" s="209"/>
      <c r="E24" s="107" t="s">
        <v>926</v>
      </c>
      <c r="F24" s="107"/>
      <c r="G24" s="107"/>
      <c r="H24" s="107">
        <v>9</v>
      </c>
      <c r="I24" s="127">
        <f t="shared" si="2"/>
        <v>40</v>
      </c>
      <c r="J24" s="127">
        <f t="shared" si="4"/>
        <v>32</v>
      </c>
      <c r="K24" s="137" t="s">
        <v>28</v>
      </c>
      <c r="L24" s="139" t="str">
        <f>H24&amp;"'h80"</f>
        <v>9'h80</v>
      </c>
      <c r="M24" s="110" t="s">
        <v>793</v>
      </c>
      <c r="N24" s="140"/>
      <c r="O24" s="107"/>
      <c r="P24" s="136"/>
      <c r="Q24" s="107"/>
      <c r="R24" s="107"/>
      <c r="S24" s="107"/>
      <c r="T24" s="107"/>
      <c r="U24" s="107"/>
      <c r="V24" s="107"/>
      <c r="W24" s="107"/>
      <c r="X24" s="107">
        <v>9</v>
      </c>
      <c r="Y24" s="127">
        <f t="shared" si="1"/>
        <v>40</v>
      </c>
      <c r="Z24" s="127">
        <f t="shared" si="3"/>
        <v>32</v>
      </c>
      <c r="AA24" s="215"/>
    </row>
    <row r="25" spans="1:28" s="135" customFormat="1" ht="16.149999999999999" customHeight="1">
      <c r="A25" s="203"/>
      <c r="B25" s="203"/>
      <c r="C25" s="209"/>
      <c r="D25" s="209"/>
      <c r="E25" s="127" t="s">
        <v>926</v>
      </c>
      <c r="F25" s="127"/>
      <c r="G25" s="127"/>
      <c r="H25" s="127">
        <v>3</v>
      </c>
      <c r="I25" s="127">
        <f t="shared" ref="I25:I26" si="5">J25+H25-1</f>
        <v>43</v>
      </c>
      <c r="J25" s="127">
        <f t="shared" ref="J25:J26" si="6">I24+1</f>
        <v>41</v>
      </c>
      <c r="K25" s="139" t="s">
        <v>28</v>
      </c>
      <c r="L25" s="139" t="str">
        <f t="shared" si="0"/>
        <v>3'h0</v>
      </c>
      <c r="M25" s="164" t="s">
        <v>1189</v>
      </c>
      <c r="N25" s="182"/>
      <c r="O25" s="127"/>
      <c r="P25" s="138"/>
      <c r="Q25" s="127"/>
      <c r="R25" s="127"/>
      <c r="S25" s="127"/>
      <c r="T25" s="127"/>
      <c r="U25" s="127"/>
      <c r="V25" s="127"/>
      <c r="W25" s="127"/>
      <c r="X25" s="127">
        <v>3</v>
      </c>
      <c r="Y25" s="127">
        <f t="shared" si="1"/>
        <v>43</v>
      </c>
      <c r="Z25" s="127">
        <f t="shared" si="3"/>
        <v>41</v>
      </c>
      <c r="AA25" s="215"/>
      <c r="AB25" s="185"/>
    </row>
    <row r="26" spans="1:28" s="135" customFormat="1" ht="16.149999999999999" customHeight="1">
      <c r="A26" s="203"/>
      <c r="B26" s="203"/>
      <c r="C26" s="209"/>
      <c r="D26" s="209"/>
      <c r="E26" s="127" t="s">
        <v>25</v>
      </c>
      <c r="F26" s="127"/>
      <c r="G26" s="127"/>
      <c r="H26" s="127">
        <v>4</v>
      </c>
      <c r="I26" s="127">
        <f t="shared" si="5"/>
        <v>47</v>
      </c>
      <c r="J26" s="127">
        <f t="shared" si="6"/>
        <v>44</v>
      </c>
      <c r="K26" s="139" t="s">
        <v>7</v>
      </c>
      <c r="L26" s="139" t="str">
        <f t="shared" si="0"/>
        <v>4'h0</v>
      </c>
      <c r="M26" s="164" t="s">
        <v>851</v>
      </c>
      <c r="N26" s="182"/>
      <c r="O26" s="127"/>
      <c r="P26" s="138"/>
      <c r="Q26" s="127"/>
      <c r="R26" s="127"/>
      <c r="S26" s="127"/>
      <c r="T26" s="127"/>
      <c r="U26" s="127"/>
      <c r="V26" s="127"/>
      <c r="W26" s="127"/>
      <c r="X26" s="127">
        <v>4</v>
      </c>
      <c r="Y26" s="127">
        <f t="shared" si="1"/>
        <v>47</v>
      </c>
      <c r="Z26" s="127">
        <f t="shared" si="3"/>
        <v>44</v>
      </c>
      <c r="AA26" s="215"/>
    </row>
    <row r="27" spans="1:28" s="135" customFormat="1" ht="16.149999999999999" customHeight="1">
      <c r="A27" s="203"/>
      <c r="B27" s="203"/>
      <c r="C27" s="209"/>
      <c r="D27" s="209"/>
      <c r="E27" s="127" t="s">
        <v>1162</v>
      </c>
      <c r="F27" s="127"/>
      <c r="G27" s="127"/>
      <c r="H27" s="127">
        <v>4</v>
      </c>
      <c r="I27" s="127">
        <f t="shared" si="2"/>
        <v>51</v>
      </c>
      <c r="J27" s="127">
        <f t="shared" si="4"/>
        <v>48</v>
      </c>
      <c r="K27" s="139" t="s">
        <v>28</v>
      </c>
      <c r="L27" s="139" t="str">
        <f t="shared" si="0"/>
        <v>4'h0</v>
      </c>
      <c r="M27" s="164" t="s">
        <v>852</v>
      </c>
      <c r="N27" s="182"/>
      <c r="O27" s="127"/>
      <c r="P27" s="138"/>
      <c r="Q27" s="127"/>
      <c r="R27" s="127"/>
      <c r="S27" s="127"/>
      <c r="T27" s="127"/>
      <c r="U27" s="127"/>
      <c r="V27" s="127"/>
      <c r="W27" s="127"/>
      <c r="X27" s="127">
        <v>4</v>
      </c>
      <c r="Y27" s="127">
        <f t="shared" si="1"/>
        <v>51</v>
      </c>
      <c r="Z27" s="127">
        <f t="shared" si="3"/>
        <v>48</v>
      </c>
      <c r="AA27" s="215"/>
    </row>
    <row r="28" spans="1:28" ht="16.149999999999999" customHeight="1">
      <c r="A28" s="203"/>
      <c r="B28" s="203"/>
      <c r="C28" s="209"/>
      <c r="D28" s="209"/>
      <c r="E28" s="107" t="s">
        <v>799</v>
      </c>
      <c r="F28" s="107"/>
      <c r="G28" s="107"/>
      <c r="H28" s="107">
        <v>1</v>
      </c>
      <c r="I28" s="127">
        <f t="shared" si="2"/>
        <v>52</v>
      </c>
      <c r="J28" s="127">
        <f t="shared" si="4"/>
        <v>52</v>
      </c>
      <c r="K28" s="137" t="s">
        <v>7</v>
      </c>
      <c r="L28" s="139" t="str">
        <f t="shared" si="0"/>
        <v>1'h0</v>
      </c>
      <c r="M28" s="110" t="s">
        <v>798</v>
      </c>
      <c r="N28" s="140"/>
      <c r="O28" s="107"/>
      <c r="P28" s="136"/>
      <c r="Q28" s="107"/>
      <c r="R28" s="107"/>
      <c r="S28" s="107"/>
      <c r="T28" s="107"/>
      <c r="U28" s="107"/>
      <c r="V28" s="107"/>
      <c r="W28" s="107"/>
      <c r="X28" s="107">
        <v>1</v>
      </c>
      <c r="Y28" s="127">
        <f t="shared" si="1"/>
        <v>52</v>
      </c>
      <c r="Z28" s="127">
        <f t="shared" si="3"/>
        <v>52</v>
      </c>
      <c r="AA28" s="215"/>
    </row>
    <row r="29" spans="1:28" ht="16.149999999999999" customHeight="1">
      <c r="A29" s="203"/>
      <c r="B29" s="203"/>
      <c r="C29" s="209"/>
      <c r="D29" s="209"/>
      <c r="E29" s="107" t="s">
        <v>801</v>
      </c>
      <c r="F29" s="107"/>
      <c r="G29" s="107"/>
      <c r="H29" s="107">
        <v>1</v>
      </c>
      <c r="I29" s="127">
        <f t="shared" si="2"/>
        <v>53</v>
      </c>
      <c r="J29" s="127">
        <f t="shared" si="4"/>
        <v>53</v>
      </c>
      <c r="K29" s="137" t="s">
        <v>7</v>
      </c>
      <c r="L29" s="139" t="str">
        <f t="shared" si="0"/>
        <v>1'h0</v>
      </c>
      <c r="M29" s="110" t="s">
        <v>800</v>
      </c>
      <c r="N29" s="140"/>
      <c r="O29" s="107"/>
      <c r="P29" s="136"/>
      <c r="Q29" s="107"/>
      <c r="R29" s="107"/>
      <c r="S29" s="107"/>
      <c r="T29" s="107"/>
      <c r="U29" s="107"/>
      <c r="V29" s="107"/>
      <c r="W29" s="107"/>
      <c r="X29" s="107">
        <v>1</v>
      </c>
      <c r="Y29" s="127">
        <f t="shared" si="1"/>
        <v>53</v>
      </c>
      <c r="Z29" s="127">
        <f t="shared" si="3"/>
        <v>53</v>
      </c>
      <c r="AA29" s="215"/>
    </row>
    <row r="30" spans="1:28" ht="16.149999999999999" customHeight="1">
      <c r="A30" s="203"/>
      <c r="B30" s="203"/>
      <c r="C30" s="209"/>
      <c r="D30" s="209"/>
      <c r="E30" s="107" t="s">
        <v>27</v>
      </c>
      <c r="F30" s="107"/>
      <c r="G30" s="107"/>
      <c r="H30" s="107">
        <v>1</v>
      </c>
      <c r="I30" s="127">
        <f t="shared" si="2"/>
        <v>54</v>
      </c>
      <c r="J30" s="127">
        <f t="shared" si="4"/>
        <v>54</v>
      </c>
      <c r="K30" s="137" t="s">
        <v>28</v>
      </c>
      <c r="L30" s="139" t="str">
        <f t="shared" si="0"/>
        <v>1'h0</v>
      </c>
      <c r="M30" s="110" t="s">
        <v>29</v>
      </c>
      <c r="N30" s="140"/>
      <c r="O30" s="107"/>
      <c r="P30" s="136"/>
      <c r="Q30" s="107"/>
      <c r="R30" s="107"/>
      <c r="S30" s="107"/>
      <c r="T30" s="107"/>
      <c r="U30" s="107"/>
      <c r="V30" s="107"/>
      <c r="W30" s="107"/>
      <c r="X30" s="107">
        <v>1</v>
      </c>
      <c r="Y30" s="127">
        <f t="shared" si="1"/>
        <v>54</v>
      </c>
      <c r="Z30" s="127">
        <f t="shared" si="3"/>
        <v>54</v>
      </c>
      <c r="AA30" s="215"/>
    </row>
    <row r="31" spans="1:28" ht="16.149999999999999" customHeight="1">
      <c r="A31" s="203"/>
      <c r="B31" s="203"/>
      <c r="C31" s="209"/>
      <c r="D31" s="209"/>
      <c r="E31" s="107" t="s">
        <v>777</v>
      </c>
      <c r="F31" s="107"/>
      <c r="G31" s="107"/>
      <c r="H31" s="107">
        <v>1</v>
      </c>
      <c r="I31" s="127">
        <f t="shared" si="2"/>
        <v>55</v>
      </c>
      <c r="J31" s="127">
        <f t="shared" si="4"/>
        <v>55</v>
      </c>
      <c r="K31" s="137" t="s">
        <v>28</v>
      </c>
      <c r="L31" s="139" t="str">
        <f t="shared" si="0"/>
        <v>1'h0</v>
      </c>
      <c r="M31" s="110" t="s">
        <v>776</v>
      </c>
      <c r="N31" s="140"/>
      <c r="O31" s="107"/>
      <c r="P31" s="136"/>
      <c r="Q31" s="107"/>
      <c r="R31" s="107"/>
      <c r="S31" s="107"/>
      <c r="T31" s="107"/>
      <c r="U31" s="107"/>
      <c r="V31" s="107"/>
      <c r="W31" s="107"/>
      <c r="X31" s="107">
        <v>1</v>
      </c>
      <c r="Y31" s="127">
        <f t="shared" si="1"/>
        <v>55</v>
      </c>
      <c r="Z31" s="127">
        <f t="shared" si="3"/>
        <v>55</v>
      </c>
      <c r="AA31" s="215"/>
    </row>
    <row r="32" spans="1:28" ht="16.149999999999999" customHeight="1">
      <c r="A32" s="203"/>
      <c r="B32" s="203"/>
      <c r="C32" s="209"/>
      <c r="D32" s="209"/>
      <c r="E32" s="107" t="s">
        <v>795</v>
      </c>
      <c r="F32" s="107"/>
      <c r="G32" s="107"/>
      <c r="H32" s="107">
        <v>1</v>
      </c>
      <c r="I32" s="127">
        <f t="shared" ref="I32" si="7">J32+H32-1</f>
        <v>56</v>
      </c>
      <c r="J32" s="127">
        <f t="shared" ref="J32" si="8">I31+1</f>
        <v>56</v>
      </c>
      <c r="K32" s="137" t="s">
        <v>7</v>
      </c>
      <c r="L32" s="139" t="str">
        <f t="shared" si="0"/>
        <v>1'h0</v>
      </c>
      <c r="M32" s="110" t="s">
        <v>845</v>
      </c>
      <c r="N32" s="140"/>
      <c r="O32" s="107"/>
      <c r="P32" s="136"/>
      <c r="Q32" s="107"/>
      <c r="R32" s="107"/>
      <c r="S32" s="107"/>
      <c r="T32" s="107"/>
      <c r="U32" s="107"/>
      <c r="V32" s="107"/>
      <c r="W32" s="107"/>
      <c r="X32" s="107">
        <v>1</v>
      </c>
      <c r="Y32" s="127">
        <f t="shared" si="1"/>
        <v>56</v>
      </c>
      <c r="Z32" s="127">
        <f t="shared" si="3"/>
        <v>56</v>
      </c>
      <c r="AA32" s="215"/>
    </row>
    <row r="33" spans="1:28" ht="16.149999999999999" customHeight="1">
      <c r="A33" s="203"/>
      <c r="B33" s="203"/>
      <c r="C33" s="209"/>
      <c r="D33" s="209"/>
      <c r="E33" s="107" t="s">
        <v>838</v>
      </c>
      <c r="F33" s="107"/>
      <c r="G33" s="107"/>
      <c r="H33" s="107">
        <v>1</v>
      </c>
      <c r="I33" s="127">
        <f t="shared" ref="I33:I34" si="9">J33+H33-1</f>
        <v>57</v>
      </c>
      <c r="J33" s="127">
        <f t="shared" ref="J33:J34" si="10">I32+1</f>
        <v>57</v>
      </c>
      <c r="K33" s="137" t="s">
        <v>7</v>
      </c>
      <c r="L33" s="139" t="str">
        <f t="shared" si="0"/>
        <v>1'h0</v>
      </c>
      <c r="M33" s="110" t="s">
        <v>841</v>
      </c>
      <c r="N33" s="140"/>
      <c r="O33" s="107"/>
      <c r="P33" s="136"/>
      <c r="Q33" s="107"/>
      <c r="R33" s="107"/>
      <c r="S33" s="107"/>
      <c r="T33" s="107"/>
      <c r="U33" s="107"/>
      <c r="V33" s="107"/>
      <c r="W33" s="107"/>
      <c r="X33" s="107">
        <v>1</v>
      </c>
      <c r="Y33" s="127">
        <f t="shared" si="1"/>
        <v>57</v>
      </c>
      <c r="Z33" s="127">
        <f t="shared" si="3"/>
        <v>57</v>
      </c>
      <c r="AA33" s="215"/>
    </row>
    <row r="34" spans="1:28" ht="16.149999999999999" customHeight="1">
      <c r="A34" s="203"/>
      <c r="B34" s="203"/>
      <c r="C34" s="209"/>
      <c r="D34" s="209"/>
      <c r="E34" s="107" t="s">
        <v>839</v>
      </c>
      <c r="F34" s="107"/>
      <c r="G34" s="107"/>
      <c r="H34" s="107">
        <v>1</v>
      </c>
      <c r="I34" s="127">
        <f t="shared" si="9"/>
        <v>58</v>
      </c>
      <c r="J34" s="127">
        <f t="shared" si="10"/>
        <v>58</v>
      </c>
      <c r="K34" s="137" t="s">
        <v>7</v>
      </c>
      <c r="L34" s="139" t="str">
        <f t="shared" si="0"/>
        <v>1'h0</v>
      </c>
      <c r="M34" s="110" t="s">
        <v>842</v>
      </c>
      <c r="N34" s="140"/>
      <c r="O34" s="107"/>
      <c r="P34" s="136"/>
      <c r="Q34" s="107"/>
      <c r="R34" s="107"/>
      <c r="S34" s="107"/>
      <c r="T34" s="107"/>
      <c r="U34" s="107"/>
      <c r="V34" s="107"/>
      <c r="W34" s="107"/>
      <c r="X34" s="107">
        <v>1</v>
      </c>
      <c r="Y34" s="127">
        <f t="shared" si="1"/>
        <v>58</v>
      </c>
      <c r="Z34" s="127">
        <f t="shared" si="3"/>
        <v>58</v>
      </c>
      <c r="AA34" s="215"/>
    </row>
    <row r="35" spans="1:28" ht="16.149999999999999" customHeight="1">
      <c r="A35" s="203"/>
      <c r="B35" s="203"/>
      <c r="C35" s="209"/>
      <c r="D35" s="209"/>
      <c r="E35" s="107" t="s">
        <v>840</v>
      </c>
      <c r="F35" s="107"/>
      <c r="G35" s="107"/>
      <c r="H35" s="107">
        <v>1</v>
      </c>
      <c r="I35" s="127">
        <f t="shared" ref="I35:I39" si="11">J35+H35-1</f>
        <v>59</v>
      </c>
      <c r="J35" s="127">
        <f t="shared" ref="J35:J39" si="12">I34+1</f>
        <v>59</v>
      </c>
      <c r="K35" s="137" t="s">
        <v>7</v>
      </c>
      <c r="L35" s="139" t="str">
        <f t="shared" si="0"/>
        <v>1'h0</v>
      </c>
      <c r="M35" s="110" t="s">
        <v>837</v>
      </c>
      <c r="N35" s="140"/>
      <c r="O35" s="107"/>
      <c r="P35" s="136"/>
      <c r="Q35" s="107"/>
      <c r="R35" s="107"/>
      <c r="S35" s="107"/>
      <c r="T35" s="107"/>
      <c r="U35" s="107"/>
      <c r="V35" s="107"/>
      <c r="W35" s="107"/>
      <c r="X35" s="107">
        <v>1</v>
      </c>
      <c r="Y35" s="127">
        <f t="shared" si="1"/>
        <v>59</v>
      </c>
      <c r="Z35" s="127">
        <f t="shared" si="3"/>
        <v>59</v>
      </c>
      <c r="AA35" s="215"/>
    </row>
    <row r="36" spans="1:28" ht="16.149999999999999" customHeight="1">
      <c r="A36" s="203"/>
      <c r="B36" s="203"/>
      <c r="C36" s="209"/>
      <c r="D36" s="209"/>
      <c r="E36" s="107" t="s">
        <v>843</v>
      </c>
      <c r="F36" s="107"/>
      <c r="G36" s="107"/>
      <c r="H36" s="107">
        <v>1</v>
      </c>
      <c r="I36" s="127">
        <f t="shared" si="11"/>
        <v>60</v>
      </c>
      <c r="J36" s="127">
        <f t="shared" si="12"/>
        <v>60</v>
      </c>
      <c r="K36" s="137" t="s">
        <v>7</v>
      </c>
      <c r="L36" s="139" t="str">
        <f t="shared" si="0"/>
        <v>1'h0</v>
      </c>
      <c r="M36" s="110" t="s">
        <v>844</v>
      </c>
      <c r="N36" s="140"/>
      <c r="O36" s="107"/>
      <c r="P36" s="136"/>
      <c r="Q36" s="107"/>
      <c r="R36" s="107"/>
      <c r="S36" s="107"/>
      <c r="T36" s="107"/>
      <c r="U36" s="107"/>
      <c r="V36" s="107"/>
      <c r="W36" s="107"/>
      <c r="X36" s="107">
        <v>1</v>
      </c>
      <c r="Y36" s="127">
        <f t="shared" si="1"/>
        <v>60</v>
      </c>
      <c r="Z36" s="127">
        <f t="shared" si="3"/>
        <v>60</v>
      </c>
      <c r="AA36" s="215"/>
    </row>
    <row r="37" spans="1:28" ht="16.149999999999999" customHeight="1">
      <c r="A37" s="203"/>
      <c r="B37" s="203"/>
      <c r="C37" s="209"/>
      <c r="D37" s="209"/>
      <c r="E37" s="107" t="s">
        <v>898</v>
      </c>
      <c r="F37" s="107"/>
      <c r="G37" s="107"/>
      <c r="H37" s="107">
        <v>1</v>
      </c>
      <c r="I37" s="127">
        <f t="shared" si="11"/>
        <v>61</v>
      </c>
      <c r="J37" s="127">
        <f t="shared" si="12"/>
        <v>61</v>
      </c>
      <c r="K37" s="137" t="s">
        <v>7</v>
      </c>
      <c r="L37" s="139" t="str">
        <f t="shared" si="0"/>
        <v>1'h0</v>
      </c>
      <c r="M37" s="110" t="s">
        <v>903</v>
      </c>
      <c r="N37" s="140"/>
      <c r="O37" s="107"/>
      <c r="P37" s="136"/>
      <c r="Q37" s="107"/>
      <c r="R37" s="107"/>
      <c r="S37" s="107"/>
      <c r="T37" s="107"/>
      <c r="U37" s="107"/>
      <c r="V37" s="107"/>
      <c r="W37" s="107"/>
      <c r="X37" s="107">
        <v>1</v>
      </c>
      <c r="Y37" s="127">
        <f t="shared" si="1"/>
        <v>61</v>
      </c>
      <c r="Z37" s="127">
        <f t="shared" si="3"/>
        <v>61</v>
      </c>
      <c r="AA37" s="215"/>
    </row>
    <row r="38" spans="1:28" ht="16.149999999999999" customHeight="1">
      <c r="A38" s="203"/>
      <c r="B38" s="203"/>
      <c r="C38" s="209"/>
      <c r="D38" s="209"/>
      <c r="E38" s="145" t="s">
        <v>1149</v>
      </c>
      <c r="F38" s="145"/>
      <c r="G38" s="145"/>
      <c r="H38" s="145">
        <v>1</v>
      </c>
      <c r="I38" s="145">
        <f t="shared" si="11"/>
        <v>62</v>
      </c>
      <c r="J38" s="145">
        <f t="shared" si="12"/>
        <v>62</v>
      </c>
      <c r="K38" s="146" t="s">
        <v>7</v>
      </c>
      <c r="L38" s="146" t="str">
        <f t="shared" si="0"/>
        <v>1'h0</v>
      </c>
      <c r="M38" s="165" t="s">
        <v>1148</v>
      </c>
      <c r="N38" s="140"/>
      <c r="O38" s="107"/>
      <c r="P38" s="136"/>
      <c r="Q38" s="107"/>
      <c r="R38" s="107"/>
      <c r="S38" s="107"/>
      <c r="T38" s="107"/>
      <c r="U38" s="107"/>
      <c r="V38" s="107"/>
      <c r="W38" s="107"/>
      <c r="X38" s="145">
        <v>1</v>
      </c>
      <c r="Y38" s="145">
        <f t="shared" si="1"/>
        <v>62</v>
      </c>
      <c r="Z38" s="145">
        <f t="shared" si="3"/>
        <v>62</v>
      </c>
      <c r="AA38" s="215"/>
    </row>
    <row r="39" spans="1:28" ht="17" customHeight="1">
      <c r="A39" s="204"/>
      <c r="B39" s="204"/>
      <c r="C39" s="209"/>
      <c r="D39" s="209"/>
      <c r="E39" s="107" t="s">
        <v>802</v>
      </c>
      <c r="F39" s="107"/>
      <c r="G39" s="107"/>
      <c r="H39" s="107">
        <v>1</v>
      </c>
      <c r="I39" s="127">
        <f t="shared" si="11"/>
        <v>63</v>
      </c>
      <c r="J39" s="127">
        <f t="shared" si="12"/>
        <v>63</v>
      </c>
      <c r="K39" s="137" t="s">
        <v>7</v>
      </c>
      <c r="L39" s="139" t="str">
        <f t="shared" si="0"/>
        <v>1'h0</v>
      </c>
      <c r="M39" s="110" t="s">
        <v>30</v>
      </c>
      <c r="N39" s="140"/>
      <c r="O39" s="107"/>
      <c r="P39" s="136"/>
      <c r="Q39" s="107"/>
      <c r="R39" s="107"/>
      <c r="S39" s="107"/>
      <c r="T39" s="107"/>
      <c r="U39" s="107"/>
      <c r="V39" s="107"/>
      <c r="W39" s="107"/>
      <c r="X39" s="107">
        <v>1</v>
      </c>
      <c r="Y39" s="127">
        <f t="shared" si="1"/>
        <v>63</v>
      </c>
      <c r="Z39" s="127">
        <f t="shared" si="3"/>
        <v>63</v>
      </c>
      <c r="AA39" s="215"/>
    </row>
    <row r="40" spans="1:28" ht="46.9">
      <c r="A40" s="202" t="s">
        <v>1085</v>
      </c>
      <c r="B40" s="202" t="s">
        <v>1086</v>
      </c>
      <c r="C40" s="209"/>
      <c r="D40" s="209" t="s">
        <v>1159</v>
      </c>
      <c r="E40" s="107" t="s">
        <v>31</v>
      </c>
      <c r="F40" s="107"/>
      <c r="G40" s="107"/>
      <c r="H40" s="107">
        <v>1</v>
      </c>
      <c r="I40" s="127">
        <f t="shared" si="2"/>
        <v>64</v>
      </c>
      <c r="J40" s="127">
        <f t="shared" si="4"/>
        <v>64</v>
      </c>
      <c r="K40" s="137" t="s">
        <v>7</v>
      </c>
      <c r="L40" s="139" t="str">
        <f t="shared" si="0"/>
        <v>1'h0</v>
      </c>
      <c r="M40" s="110" t="s">
        <v>32</v>
      </c>
      <c r="N40" s="140"/>
      <c r="O40" s="107"/>
      <c r="P40" s="136"/>
      <c r="Q40" s="107"/>
      <c r="R40" s="107"/>
      <c r="S40" s="107"/>
      <c r="T40" s="107"/>
      <c r="U40" s="107"/>
      <c r="V40" s="107"/>
      <c r="W40" s="107"/>
      <c r="X40" s="107">
        <v>1</v>
      </c>
      <c r="Y40" s="127">
        <f t="shared" si="1"/>
        <v>64</v>
      </c>
      <c r="Z40" s="127">
        <f t="shared" si="3"/>
        <v>64</v>
      </c>
      <c r="AA40" s="215"/>
    </row>
    <row r="41" spans="1:28">
      <c r="A41" s="203"/>
      <c r="B41" s="203"/>
      <c r="C41" s="209"/>
      <c r="D41" s="209"/>
      <c r="E41" s="107" t="s">
        <v>803</v>
      </c>
      <c r="F41" s="107"/>
      <c r="G41" s="107"/>
      <c r="H41" s="107">
        <v>1</v>
      </c>
      <c r="I41" s="127">
        <f t="shared" si="2"/>
        <v>65</v>
      </c>
      <c r="J41" s="127">
        <f t="shared" si="4"/>
        <v>65</v>
      </c>
      <c r="K41" s="137" t="s">
        <v>997</v>
      </c>
      <c r="L41" s="139" t="str">
        <f t="shared" si="0"/>
        <v>1'h0</v>
      </c>
      <c r="M41" s="110" t="s">
        <v>33</v>
      </c>
      <c r="N41" s="140"/>
      <c r="O41" s="107"/>
      <c r="P41" s="136"/>
      <c r="Q41" s="107"/>
      <c r="R41" s="107"/>
      <c r="S41" s="107"/>
      <c r="T41" s="107"/>
      <c r="U41" s="107"/>
      <c r="V41" s="107"/>
      <c r="W41" s="107"/>
      <c r="X41" s="107">
        <v>1</v>
      </c>
      <c r="Y41" s="127">
        <f t="shared" si="1"/>
        <v>65</v>
      </c>
      <c r="Z41" s="127">
        <f t="shared" si="3"/>
        <v>65</v>
      </c>
      <c r="AA41" s="215"/>
    </row>
    <row r="42" spans="1:28" s="135" customFormat="1" ht="33.799999999999997" customHeight="1">
      <c r="A42" s="203"/>
      <c r="B42" s="203"/>
      <c r="C42" s="209"/>
      <c r="D42" s="209"/>
      <c r="E42" s="145" t="s">
        <v>1182</v>
      </c>
      <c r="F42" s="145"/>
      <c r="G42" s="145"/>
      <c r="H42" s="145">
        <v>33</v>
      </c>
      <c r="I42" s="145">
        <f t="shared" si="2"/>
        <v>98</v>
      </c>
      <c r="J42" s="145">
        <f t="shared" si="4"/>
        <v>66</v>
      </c>
      <c r="K42" s="146" t="s">
        <v>7</v>
      </c>
      <c r="L42" s="146" t="str">
        <f t="shared" si="0"/>
        <v>33'h0</v>
      </c>
      <c r="M42" s="165" t="s">
        <v>987</v>
      </c>
      <c r="N42" s="182"/>
      <c r="O42" s="127"/>
      <c r="P42" s="138"/>
      <c r="Q42" s="127"/>
      <c r="R42" s="127"/>
      <c r="S42" s="127"/>
      <c r="T42" s="127"/>
      <c r="U42" s="127"/>
      <c r="V42" s="127"/>
      <c r="W42" s="127"/>
      <c r="X42" s="145">
        <v>33</v>
      </c>
      <c r="Y42" s="145">
        <f t="shared" si="1"/>
        <v>98</v>
      </c>
      <c r="Z42" s="145">
        <f t="shared" si="3"/>
        <v>66</v>
      </c>
      <c r="AA42" s="215"/>
      <c r="AB42" s="185"/>
    </row>
    <row r="43" spans="1:28" s="135" customFormat="1" ht="33.799999999999997" customHeight="1">
      <c r="A43" s="203"/>
      <c r="B43" s="203"/>
      <c r="C43" s="209"/>
      <c r="D43" s="209"/>
      <c r="E43" s="145" t="s">
        <v>1181</v>
      </c>
      <c r="F43" s="145"/>
      <c r="G43" s="145"/>
      <c r="H43" s="145">
        <v>27</v>
      </c>
      <c r="I43" s="145">
        <f t="shared" si="2"/>
        <v>125</v>
      </c>
      <c r="J43" s="145">
        <f t="shared" si="4"/>
        <v>99</v>
      </c>
      <c r="K43" s="146" t="s">
        <v>28</v>
      </c>
      <c r="L43" s="146" t="str">
        <f t="shared" si="0"/>
        <v>27'h0</v>
      </c>
      <c r="M43" s="165" t="s">
        <v>719</v>
      </c>
      <c r="N43" s="182"/>
      <c r="O43" s="127"/>
      <c r="P43" s="138"/>
      <c r="Q43" s="127"/>
      <c r="R43" s="127"/>
      <c r="S43" s="127"/>
      <c r="T43" s="127"/>
      <c r="U43" s="127"/>
      <c r="V43" s="127"/>
      <c r="W43" s="127"/>
      <c r="X43" s="145">
        <v>27</v>
      </c>
      <c r="Y43" s="145">
        <f t="shared" si="1"/>
        <v>125</v>
      </c>
      <c r="Z43" s="145">
        <f t="shared" si="3"/>
        <v>99</v>
      </c>
      <c r="AA43" s="215"/>
    </row>
    <row r="44" spans="1:28" ht="14.95" customHeight="1">
      <c r="A44" s="203"/>
      <c r="B44" s="203"/>
      <c r="C44" s="209"/>
      <c r="D44" s="209"/>
      <c r="E44" s="107" t="s">
        <v>804</v>
      </c>
      <c r="F44" s="107"/>
      <c r="G44" s="107"/>
      <c r="H44" s="107">
        <v>1</v>
      </c>
      <c r="I44" s="127">
        <f t="shared" si="2"/>
        <v>126</v>
      </c>
      <c r="J44" s="127">
        <f t="shared" si="4"/>
        <v>126</v>
      </c>
      <c r="K44" s="137" t="s">
        <v>28</v>
      </c>
      <c r="L44" s="139" t="str">
        <f t="shared" si="0"/>
        <v>1'h0</v>
      </c>
      <c r="M44" s="110" t="s">
        <v>34</v>
      </c>
      <c r="N44" s="140"/>
      <c r="O44" s="107"/>
      <c r="P44" s="136"/>
      <c r="Q44" s="107"/>
      <c r="R44" s="107"/>
      <c r="S44" s="107"/>
      <c r="T44" s="107"/>
      <c r="U44" s="107"/>
      <c r="V44" s="107"/>
      <c r="W44" s="107"/>
      <c r="X44" s="107">
        <v>1</v>
      </c>
      <c r="Y44" s="127">
        <f t="shared" si="1"/>
        <v>126</v>
      </c>
      <c r="Z44" s="127">
        <f t="shared" si="3"/>
        <v>126</v>
      </c>
      <c r="AA44" s="215"/>
    </row>
    <row r="45" spans="1:28" s="135" customFormat="1" ht="17" customHeight="1">
      <c r="A45" s="204"/>
      <c r="B45" s="204"/>
      <c r="C45" s="209"/>
      <c r="D45" s="209"/>
      <c r="E45" s="107" t="s">
        <v>1017</v>
      </c>
      <c r="F45" s="107"/>
      <c r="G45" s="107"/>
      <c r="H45" s="107">
        <v>1</v>
      </c>
      <c r="I45" s="127">
        <f t="shared" si="2"/>
        <v>127</v>
      </c>
      <c r="J45" s="127">
        <f t="shared" si="4"/>
        <v>127</v>
      </c>
      <c r="K45" s="139" t="s">
        <v>28</v>
      </c>
      <c r="L45" s="139" t="str">
        <f t="shared" si="0"/>
        <v>1'h0</v>
      </c>
      <c r="M45" s="164" t="s">
        <v>719</v>
      </c>
      <c r="N45" s="182"/>
      <c r="O45" s="127"/>
      <c r="P45" s="138"/>
      <c r="Q45" s="127"/>
      <c r="R45" s="127"/>
      <c r="S45" s="127"/>
      <c r="T45" s="127"/>
      <c r="U45" s="127"/>
      <c r="V45" s="127"/>
      <c r="W45" s="127"/>
      <c r="X45" s="107">
        <v>1</v>
      </c>
      <c r="Y45" s="127">
        <f t="shared" si="1"/>
        <v>127</v>
      </c>
      <c r="Z45" s="127">
        <f t="shared" si="3"/>
        <v>127</v>
      </c>
      <c r="AA45" s="215"/>
    </row>
    <row r="46" spans="1:28" ht="17.5" customHeight="1">
      <c r="A46" s="202" t="s">
        <v>1087</v>
      </c>
      <c r="B46" s="202" t="s">
        <v>1088</v>
      </c>
      <c r="C46" s="209" t="s">
        <v>1160</v>
      </c>
      <c r="D46" s="209"/>
      <c r="E46" s="107" t="s">
        <v>774</v>
      </c>
      <c r="F46" s="107"/>
      <c r="G46" s="107"/>
      <c r="H46" s="107">
        <v>4</v>
      </c>
      <c r="I46" s="127">
        <f t="shared" si="2"/>
        <v>3</v>
      </c>
      <c r="J46" s="127">
        <v>0</v>
      </c>
      <c r="K46" s="137" t="s">
        <v>7</v>
      </c>
      <c r="L46" s="137" t="s">
        <v>771</v>
      </c>
      <c r="M46" s="110" t="s">
        <v>772</v>
      </c>
      <c r="N46" s="140"/>
      <c r="O46" s="107"/>
      <c r="P46" s="136"/>
      <c r="Q46" s="107"/>
      <c r="R46" s="107"/>
      <c r="S46" s="107"/>
      <c r="T46" s="107"/>
      <c r="U46" s="107"/>
      <c r="V46" s="107"/>
      <c r="W46" s="107"/>
      <c r="X46" s="107">
        <v>4</v>
      </c>
      <c r="Y46" s="127">
        <f t="shared" si="1"/>
        <v>131</v>
      </c>
      <c r="Z46" s="127">
        <f t="shared" si="3"/>
        <v>128</v>
      </c>
      <c r="AA46" s="215"/>
    </row>
    <row r="47" spans="1:28" ht="17.5" customHeight="1">
      <c r="A47" s="203"/>
      <c r="B47" s="203"/>
      <c r="C47" s="209"/>
      <c r="D47" s="209"/>
      <c r="E47" s="107" t="s">
        <v>775</v>
      </c>
      <c r="F47" s="107"/>
      <c r="G47" s="107"/>
      <c r="H47" s="107">
        <v>4</v>
      </c>
      <c r="I47" s="127">
        <f t="shared" si="2"/>
        <v>7</v>
      </c>
      <c r="J47" s="127">
        <f t="shared" si="4"/>
        <v>4</v>
      </c>
      <c r="K47" s="137" t="s">
        <v>7</v>
      </c>
      <c r="L47" s="137" t="s">
        <v>771</v>
      </c>
      <c r="M47" s="110" t="s">
        <v>773</v>
      </c>
      <c r="N47" s="140"/>
      <c r="O47" s="107"/>
      <c r="P47" s="136"/>
      <c r="Q47" s="107"/>
      <c r="R47" s="107"/>
      <c r="S47" s="107"/>
      <c r="T47" s="107"/>
      <c r="U47" s="107"/>
      <c r="V47" s="107"/>
      <c r="W47" s="107"/>
      <c r="X47" s="107">
        <v>4</v>
      </c>
      <c r="Y47" s="127">
        <f t="shared" ref="Y47:Y79" si="13">Z47+X47-1</f>
        <v>135</v>
      </c>
      <c r="Z47" s="127">
        <f t="shared" si="3"/>
        <v>132</v>
      </c>
      <c r="AA47" s="215"/>
    </row>
    <row r="48" spans="1:28" ht="17.5" customHeight="1">
      <c r="A48" s="203"/>
      <c r="B48" s="203"/>
      <c r="C48" s="209"/>
      <c r="D48" s="209"/>
      <c r="E48" s="107" t="s">
        <v>962</v>
      </c>
      <c r="F48" s="107"/>
      <c r="G48" s="107"/>
      <c r="H48" s="107">
        <v>1</v>
      </c>
      <c r="I48" s="127">
        <f t="shared" ref="I48" si="14">J48+H48-1</f>
        <v>8</v>
      </c>
      <c r="J48" s="127">
        <f t="shared" ref="J48" si="15">I47+1</f>
        <v>8</v>
      </c>
      <c r="K48" s="137" t="s">
        <v>965</v>
      </c>
      <c r="L48" s="137" t="s">
        <v>963</v>
      </c>
      <c r="M48" s="110" t="s">
        <v>964</v>
      </c>
      <c r="N48" s="140"/>
      <c r="O48" s="107"/>
      <c r="P48" s="136"/>
      <c r="Q48" s="107"/>
      <c r="R48" s="107"/>
      <c r="S48" s="107"/>
      <c r="T48" s="107"/>
      <c r="U48" s="107"/>
      <c r="V48" s="107"/>
      <c r="W48" s="107"/>
      <c r="X48" s="107">
        <v>1</v>
      </c>
      <c r="Y48" s="127">
        <f t="shared" si="13"/>
        <v>136</v>
      </c>
      <c r="Z48" s="127">
        <f t="shared" ref="Z48:Z80" si="16">Y47+1</f>
        <v>136</v>
      </c>
      <c r="AA48" s="215"/>
    </row>
    <row r="49" spans="1:27" s="128" customFormat="1" ht="17.5" customHeight="1">
      <c r="A49" s="203"/>
      <c r="B49" s="203"/>
      <c r="C49" s="209"/>
      <c r="D49" s="209"/>
      <c r="E49" s="107" t="s">
        <v>1010</v>
      </c>
      <c r="F49" s="107"/>
      <c r="G49" s="107"/>
      <c r="H49" s="107">
        <v>55</v>
      </c>
      <c r="I49" s="127">
        <f t="shared" ref="I49:I50" si="17">J49+H49-1</f>
        <v>63</v>
      </c>
      <c r="J49" s="127">
        <f t="shared" ref="J49:J50" si="18">I48+1</f>
        <v>9</v>
      </c>
      <c r="K49" s="139" t="s">
        <v>28</v>
      </c>
      <c r="L49" s="137" t="s">
        <v>1009</v>
      </c>
      <c r="M49" s="110" t="s">
        <v>719</v>
      </c>
      <c r="N49" s="140"/>
      <c r="O49" s="107"/>
      <c r="P49" s="136"/>
      <c r="Q49" s="107"/>
      <c r="R49" s="107"/>
      <c r="S49" s="107"/>
      <c r="T49" s="107"/>
      <c r="U49" s="107"/>
      <c r="V49" s="107"/>
      <c r="W49" s="107"/>
      <c r="X49" s="107">
        <v>55</v>
      </c>
      <c r="Y49" s="127">
        <f t="shared" ref="Y49:Y50" si="19">Z49+X49-1</f>
        <v>191</v>
      </c>
      <c r="Z49" s="127">
        <f t="shared" ref="Z49:Z50" si="20">Y48+1</f>
        <v>137</v>
      </c>
      <c r="AA49" s="215"/>
    </row>
    <row r="50" spans="1:27" s="128" customFormat="1" ht="17.5" customHeight="1">
      <c r="A50" s="203"/>
      <c r="B50" s="203"/>
      <c r="C50" s="209"/>
      <c r="D50" s="209"/>
      <c r="E50" s="107" t="s">
        <v>1191</v>
      </c>
      <c r="F50" s="107"/>
      <c r="G50" s="107"/>
      <c r="H50" s="107">
        <v>32</v>
      </c>
      <c r="I50" s="127">
        <f t="shared" si="17"/>
        <v>95</v>
      </c>
      <c r="J50" s="127">
        <f t="shared" si="18"/>
        <v>64</v>
      </c>
      <c r="K50" s="139" t="s">
        <v>818</v>
      </c>
      <c r="L50" s="137" t="s">
        <v>1009</v>
      </c>
      <c r="M50" s="110" t="s">
        <v>719</v>
      </c>
      <c r="N50" s="140"/>
      <c r="O50" s="107"/>
      <c r="P50" s="136"/>
      <c r="Q50" s="107"/>
      <c r="R50" s="107"/>
      <c r="S50" s="107"/>
      <c r="T50" s="107"/>
      <c r="U50" s="107"/>
      <c r="V50" s="107"/>
      <c r="W50" s="107"/>
      <c r="X50" s="107">
        <v>32</v>
      </c>
      <c r="Y50" s="127">
        <f t="shared" si="19"/>
        <v>223</v>
      </c>
      <c r="Z50" s="127">
        <f t="shared" si="20"/>
        <v>192</v>
      </c>
      <c r="AA50" s="215"/>
    </row>
    <row r="51" spans="1:27" s="128" customFormat="1" ht="17.5" customHeight="1">
      <c r="A51" s="204"/>
      <c r="B51" s="204"/>
      <c r="C51" s="209"/>
      <c r="D51" s="209"/>
      <c r="E51" s="188" t="s">
        <v>1008</v>
      </c>
      <c r="F51" s="188"/>
      <c r="G51" s="188"/>
      <c r="H51" s="188">
        <v>32</v>
      </c>
      <c r="I51" s="188">
        <f t="shared" ref="I51" si="21">J51+H51-1</f>
        <v>127</v>
      </c>
      <c r="J51" s="188">
        <f t="shared" ref="J51" si="22">I50+1</f>
        <v>96</v>
      </c>
      <c r="K51" s="189" t="s">
        <v>28</v>
      </c>
      <c r="L51" s="189" t="s">
        <v>1166</v>
      </c>
      <c r="M51" s="190" t="s">
        <v>14</v>
      </c>
      <c r="N51" s="140"/>
      <c r="O51" s="107"/>
      <c r="P51" s="136"/>
      <c r="Q51" s="107"/>
      <c r="R51" s="107"/>
      <c r="S51" s="107"/>
      <c r="T51" s="107"/>
      <c r="U51" s="107"/>
      <c r="V51" s="107"/>
      <c r="W51" s="107"/>
      <c r="X51" s="188">
        <v>32</v>
      </c>
      <c r="Y51" s="188">
        <f t="shared" ref="Y51" si="23">Z51+X51-1</f>
        <v>255</v>
      </c>
      <c r="Z51" s="188">
        <f t="shared" ref="Z51" si="24">Y50+1</f>
        <v>224</v>
      </c>
      <c r="AA51" s="215"/>
    </row>
    <row r="52" spans="1:27" s="128" customFormat="1" ht="15.65" customHeight="1">
      <c r="A52" s="202" t="s">
        <v>1089</v>
      </c>
      <c r="B52" s="202" t="s">
        <v>1090</v>
      </c>
      <c r="C52" s="209" t="s">
        <v>35</v>
      </c>
      <c r="D52" s="186" t="s">
        <v>1185</v>
      </c>
      <c r="E52" s="107" t="s">
        <v>875</v>
      </c>
      <c r="F52" s="107"/>
      <c r="G52" s="107"/>
      <c r="H52" s="107">
        <v>64</v>
      </c>
      <c r="I52" s="127">
        <f t="shared" ref="I52" si="25">J52+H52-1</f>
        <v>63</v>
      </c>
      <c r="J52" s="127">
        <v>0</v>
      </c>
      <c r="K52" s="137" t="s">
        <v>876</v>
      </c>
      <c r="L52" s="137" t="s">
        <v>877</v>
      </c>
      <c r="M52" s="110" t="s">
        <v>1192</v>
      </c>
      <c r="N52" s="140"/>
      <c r="O52" s="107"/>
      <c r="P52" s="136"/>
      <c r="Q52" s="107"/>
      <c r="R52" s="107"/>
      <c r="S52" s="107"/>
      <c r="T52" s="107"/>
      <c r="U52" s="107"/>
      <c r="V52" s="107"/>
      <c r="W52" s="107"/>
      <c r="X52" s="107">
        <v>64</v>
      </c>
      <c r="Y52" s="127">
        <f t="shared" si="13"/>
        <v>319</v>
      </c>
      <c r="Z52" s="127">
        <f t="shared" si="16"/>
        <v>256</v>
      </c>
      <c r="AA52" s="215"/>
    </row>
    <row r="53" spans="1:27" s="128" customFormat="1" ht="15.65" customHeight="1">
      <c r="A53" s="203"/>
      <c r="B53" s="203"/>
      <c r="C53" s="209"/>
      <c r="D53" s="211" t="s">
        <v>1184</v>
      </c>
      <c r="E53" s="107" t="s">
        <v>975</v>
      </c>
      <c r="F53" s="107"/>
      <c r="G53" s="107"/>
      <c r="H53" s="107">
        <v>4</v>
      </c>
      <c r="I53" s="127">
        <f t="shared" ref="I53:I54" si="26">J53+H53-1</f>
        <v>67</v>
      </c>
      <c r="J53" s="127">
        <f t="shared" ref="J53:J55" si="27">I52+1</f>
        <v>64</v>
      </c>
      <c r="K53" s="137" t="s">
        <v>7</v>
      </c>
      <c r="L53" s="137" t="s">
        <v>771</v>
      </c>
      <c r="M53" s="110" t="s">
        <v>978</v>
      </c>
      <c r="N53" s="140"/>
      <c r="O53" s="107"/>
      <c r="P53" s="136"/>
      <c r="Q53" s="107"/>
      <c r="R53" s="107"/>
      <c r="S53" s="107"/>
      <c r="T53" s="107"/>
      <c r="U53" s="107"/>
      <c r="V53" s="107"/>
      <c r="W53" s="107"/>
      <c r="X53" s="107">
        <v>4</v>
      </c>
      <c r="Y53" s="127">
        <f t="shared" si="13"/>
        <v>323</v>
      </c>
      <c r="Z53" s="127">
        <f t="shared" si="16"/>
        <v>320</v>
      </c>
      <c r="AA53" s="215"/>
    </row>
    <row r="54" spans="1:27" s="128" customFormat="1" ht="15.65" customHeight="1">
      <c r="A54" s="203"/>
      <c r="B54" s="203"/>
      <c r="C54" s="209"/>
      <c r="D54" s="212"/>
      <c r="E54" s="107" t="s">
        <v>976</v>
      </c>
      <c r="F54" s="107"/>
      <c r="G54" s="107"/>
      <c r="H54" s="107">
        <v>4</v>
      </c>
      <c r="I54" s="127">
        <f t="shared" si="26"/>
        <v>71</v>
      </c>
      <c r="J54" s="127">
        <f t="shared" si="27"/>
        <v>68</v>
      </c>
      <c r="K54" s="137" t="s">
        <v>7</v>
      </c>
      <c r="L54" s="137" t="s">
        <v>771</v>
      </c>
      <c r="M54" s="110" t="s">
        <v>979</v>
      </c>
      <c r="N54" s="140"/>
      <c r="O54" s="107"/>
      <c r="P54" s="136"/>
      <c r="Q54" s="107"/>
      <c r="R54" s="107"/>
      <c r="S54" s="107"/>
      <c r="T54" s="107"/>
      <c r="U54" s="107"/>
      <c r="V54" s="107"/>
      <c r="W54" s="107"/>
      <c r="X54" s="107">
        <v>4</v>
      </c>
      <c r="Y54" s="127">
        <f t="shared" si="13"/>
        <v>327</v>
      </c>
      <c r="Z54" s="127">
        <f t="shared" si="16"/>
        <v>324</v>
      </c>
      <c r="AA54" s="215"/>
    </row>
    <row r="55" spans="1:27" s="128" customFormat="1" ht="15.65" customHeight="1">
      <c r="A55" s="204"/>
      <c r="B55" s="204"/>
      <c r="C55" s="209"/>
      <c r="D55" s="213"/>
      <c r="E55" s="107" t="s">
        <v>722</v>
      </c>
      <c r="F55" s="107"/>
      <c r="G55" s="107"/>
      <c r="H55" s="107">
        <v>56</v>
      </c>
      <c r="I55" s="127">
        <f t="shared" ref="I55" si="28">J55+H55-1</f>
        <v>127</v>
      </c>
      <c r="J55" s="127">
        <f t="shared" si="27"/>
        <v>72</v>
      </c>
      <c r="K55" s="137" t="s">
        <v>818</v>
      </c>
      <c r="L55" s="137" t="s">
        <v>977</v>
      </c>
      <c r="M55" s="110" t="s">
        <v>874</v>
      </c>
      <c r="N55" s="140"/>
      <c r="O55" s="107"/>
      <c r="P55" s="136"/>
      <c r="Q55" s="107"/>
      <c r="R55" s="107"/>
      <c r="S55" s="107"/>
      <c r="T55" s="107"/>
      <c r="U55" s="107"/>
      <c r="V55" s="107"/>
      <c r="W55" s="107"/>
      <c r="X55" s="107">
        <v>56</v>
      </c>
      <c r="Y55" s="127">
        <f t="shared" si="13"/>
        <v>383</v>
      </c>
      <c r="Z55" s="127">
        <f t="shared" si="16"/>
        <v>328</v>
      </c>
      <c r="AA55" s="215"/>
    </row>
    <row r="56" spans="1:27" s="128" customFormat="1" ht="16.3" customHeight="1">
      <c r="A56" s="202" t="s">
        <v>1091</v>
      </c>
      <c r="B56" s="202" t="s">
        <v>1092</v>
      </c>
      <c r="C56" s="209" t="s">
        <v>36</v>
      </c>
      <c r="D56" s="211" t="s">
        <v>1183</v>
      </c>
      <c r="E56" s="107" t="s">
        <v>806</v>
      </c>
      <c r="F56" s="107"/>
      <c r="G56" s="107"/>
      <c r="H56" s="107">
        <v>1</v>
      </c>
      <c r="I56" s="127">
        <f>J56+H56-1</f>
        <v>0</v>
      </c>
      <c r="J56" s="127">
        <v>0</v>
      </c>
      <c r="K56" s="137" t="s">
        <v>810</v>
      </c>
      <c r="L56" s="137" t="s">
        <v>811</v>
      </c>
      <c r="M56" s="110" t="s">
        <v>823</v>
      </c>
      <c r="N56" s="140"/>
      <c r="O56" s="107"/>
      <c r="P56" s="136"/>
      <c r="Q56" s="107"/>
      <c r="R56" s="107"/>
      <c r="S56" s="107"/>
      <c r="T56" s="107"/>
      <c r="U56" s="107"/>
      <c r="V56" s="107"/>
      <c r="W56" s="107"/>
      <c r="X56" s="107">
        <v>1</v>
      </c>
      <c r="Y56" s="127">
        <f t="shared" si="13"/>
        <v>384</v>
      </c>
      <c r="Z56" s="127">
        <f t="shared" si="16"/>
        <v>384</v>
      </c>
      <c r="AA56" s="215"/>
    </row>
    <row r="57" spans="1:27" s="128" customFormat="1" ht="16.3" customHeight="1">
      <c r="A57" s="203"/>
      <c r="B57" s="203"/>
      <c r="C57" s="209"/>
      <c r="D57" s="212"/>
      <c r="E57" s="107" t="s">
        <v>805</v>
      </c>
      <c r="F57" s="107"/>
      <c r="G57" s="107"/>
      <c r="H57" s="107">
        <v>1</v>
      </c>
      <c r="I57" s="127">
        <f t="shared" si="2"/>
        <v>1</v>
      </c>
      <c r="J57" s="127">
        <f t="shared" si="4"/>
        <v>1</v>
      </c>
      <c r="K57" s="137" t="s">
        <v>825</v>
      </c>
      <c r="L57" s="137" t="s">
        <v>811</v>
      </c>
      <c r="M57" s="110" t="s">
        <v>826</v>
      </c>
      <c r="N57" s="140"/>
      <c r="O57" s="107"/>
      <c r="P57" s="136"/>
      <c r="Q57" s="107"/>
      <c r="R57" s="107"/>
      <c r="S57" s="107"/>
      <c r="T57" s="107"/>
      <c r="U57" s="107"/>
      <c r="V57" s="107"/>
      <c r="W57" s="107"/>
      <c r="X57" s="107">
        <v>1</v>
      </c>
      <c r="Y57" s="127">
        <f t="shared" si="13"/>
        <v>385</v>
      </c>
      <c r="Z57" s="127">
        <f t="shared" si="16"/>
        <v>385</v>
      </c>
      <c r="AA57" s="215"/>
    </row>
    <row r="58" spans="1:27" s="128" customFormat="1" ht="16.3" customHeight="1">
      <c r="A58" s="203"/>
      <c r="B58" s="203"/>
      <c r="C58" s="209"/>
      <c r="D58" s="213"/>
      <c r="E58" s="107" t="s">
        <v>807</v>
      </c>
      <c r="F58" s="107"/>
      <c r="G58" s="107"/>
      <c r="H58" s="107">
        <v>62</v>
      </c>
      <c r="I58" s="127">
        <f t="shared" si="2"/>
        <v>63</v>
      </c>
      <c r="J58" s="127">
        <f t="shared" si="4"/>
        <v>2</v>
      </c>
      <c r="K58" s="137" t="s">
        <v>818</v>
      </c>
      <c r="L58" s="137" t="s">
        <v>812</v>
      </c>
      <c r="M58" s="110" t="s">
        <v>813</v>
      </c>
      <c r="N58" s="140"/>
      <c r="O58" s="107"/>
      <c r="P58" s="136"/>
      <c r="Q58" s="107"/>
      <c r="R58" s="107"/>
      <c r="S58" s="107"/>
      <c r="T58" s="107"/>
      <c r="U58" s="107"/>
      <c r="V58" s="107"/>
      <c r="W58" s="107"/>
      <c r="X58" s="107">
        <v>62</v>
      </c>
      <c r="Y58" s="127">
        <f t="shared" si="13"/>
        <v>447</v>
      </c>
      <c r="Z58" s="127">
        <f t="shared" si="16"/>
        <v>386</v>
      </c>
      <c r="AA58" s="215"/>
    </row>
    <row r="59" spans="1:27" s="128" customFormat="1" ht="16.3" customHeight="1">
      <c r="A59" s="203"/>
      <c r="B59" s="203"/>
      <c r="C59" s="209"/>
      <c r="D59" s="211" t="s">
        <v>1186</v>
      </c>
      <c r="E59" s="107" t="s">
        <v>808</v>
      </c>
      <c r="F59" s="107"/>
      <c r="G59" s="107"/>
      <c r="H59" s="107">
        <v>56</v>
      </c>
      <c r="I59" s="127">
        <f t="shared" si="2"/>
        <v>119</v>
      </c>
      <c r="J59" s="127">
        <f t="shared" si="4"/>
        <v>64</v>
      </c>
      <c r="K59" s="137" t="s">
        <v>827</v>
      </c>
      <c r="L59" s="137" t="s">
        <v>819</v>
      </c>
      <c r="M59" s="110" t="s">
        <v>820</v>
      </c>
      <c r="N59" s="140"/>
      <c r="O59" s="107"/>
      <c r="P59" s="136"/>
      <c r="Q59" s="107"/>
      <c r="R59" s="107"/>
      <c r="S59" s="107"/>
      <c r="T59" s="107"/>
      <c r="U59" s="107"/>
      <c r="V59" s="107"/>
      <c r="W59" s="107"/>
      <c r="X59" s="107">
        <v>56</v>
      </c>
      <c r="Y59" s="127">
        <f t="shared" si="13"/>
        <v>503</v>
      </c>
      <c r="Z59" s="127">
        <f t="shared" si="16"/>
        <v>448</v>
      </c>
      <c r="AA59" s="215"/>
    </row>
    <row r="60" spans="1:27" s="128" customFormat="1" ht="16.3" customHeight="1">
      <c r="A60" s="204"/>
      <c r="B60" s="204"/>
      <c r="C60" s="209"/>
      <c r="D60" s="213"/>
      <c r="E60" s="107" t="s">
        <v>809</v>
      </c>
      <c r="F60" s="107"/>
      <c r="G60" s="107"/>
      <c r="H60" s="107">
        <v>8</v>
      </c>
      <c r="I60" s="127">
        <f t="shared" si="2"/>
        <v>127</v>
      </c>
      <c r="J60" s="127">
        <f t="shared" si="4"/>
        <v>120</v>
      </c>
      <c r="K60" s="137" t="s">
        <v>818</v>
      </c>
      <c r="L60" s="137" t="s">
        <v>814</v>
      </c>
      <c r="M60" s="110" t="s">
        <v>813</v>
      </c>
      <c r="N60" s="140"/>
      <c r="O60" s="107"/>
      <c r="P60" s="136"/>
      <c r="Q60" s="107"/>
      <c r="R60" s="107"/>
      <c r="S60" s="107"/>
      <c r="T60" s="107"/>
      <c r="U60" s="107"/>
      <c r="V60" s="107"/>
      <c r="W60" s="107"/>
      <c r="X60" s="107">
        <v>8</v>
      </c>
      <c r="Y60" s="127">
        <f t="shared" si="13"/>
        <v>511</v>
      </c>
      <c r="Z60" s="127">
        <f t="shared" si="16"/>
        <v>504</v>
      </c>
      <c r="AA60" s="215"/>
    </row>
    <row r="61" spans="1:27" s="128" customFormat="1">
      <c r="A61" s="202" t="s">
        <v>1093</v>
      </c>
      <c r="B61" s="202" t="s">
        <v>1094</v>
      </c>
      <c r="C61" s="209" t="s">
        <v>37</v>
      </c>
      <c r="D61" s="211" t="s">
        <v>1187</v>
      </c>
      <c r="E61" s="107" t="s">
        <v>815</v>
      </c>
      <c r="F61" s="107"/>
      <c r="G61" s="107"/>
      <c r="H61" s="107">
        <v>56</v>
      </c>
      <c r="I61" s="127">
        <f t="shared" si="2"/>
        <v>55</v>
      </c>
      <c r="J61" s="127">
        <v>0</v>
      </c>
      <c r="K61" s="137" t="s">
        <v>818</v>
      </c>
      <c r="L61" s="137" t="s">
        <v>819</v>
      </c>
      <c r="M61" s="110" t="s">
        <v>821</v>
      </c>
      <c r="N61" s="140"/>
      <c r="O61" s="107"/>
      <c r="P61" s="136"/>
      <c r="Q61" s="107"/>
      <c r="R61" s="107"/>
      <c r="S61" s="107"/>
      <c r="T61" s="107"/>
      <c r="U61" s="107"/>
      <c r="V61" s="107"/>
      <c r="W61" s="107"/>
      <c r="X61" s="107">
        <v>56</v>
      </c>
      <c r="Y61" s="127">
        <f t="shared" si="13"/>
        <v>567</v>
      </c>
      <c r="Z61" s="127">
        <f t="shared" si="16"/>
        <v>512</v>
      </c>
      <c r="AA61" s="215"/>
    </row>
    <row r="62" spans="1:27" s="128" customFormat="1">
      <c r="A62" s="203"/>
      <c r="B62" s="203"/>
      <c r="C62" s="209"/>
      <c r="D62" s="213"/>
      <c r="E62" s="107" t="s">
        <v>816</v>
      </c>
      <c r="F62" s="107"/>
      <c r="G62" s="107"/>
      <c r="H62" s="107">
        <v>8</v>
      </c>
      <c r="I62" s="127">
        <f t="shared" si="2"/>
        <v>63</v>
      </c>
      <c r="J62" s="127">
        <f t="shared" si="4"/>
        <v>56</v>
      </c>
      <c r="K62" s="137" t="s">
        <v>818</v>
      </c>
      <c r="L62" s="137" t="s">
        <v>814</v>
      </c>
      <c r="M62" s="110" t="s">
        <v>22</v>
      </c>
      <c r="N62" s="140"/>
      <c r="O62" s="107"/>
      <c r="P62" s="136"/>
      <c r="Q62" s="107"/>
      <c r="R62" s="107"/>
      <c r="S62" s="107"/>
      <c r="T62" s="107"/>
      <c r="U62" s="107"/>
      <c r="V62" s="107"/>
      <c r="W62" s="107"/>
      <c r="X62" s="107">
        <v>8</v>
      </c>
      <c r="Y62" s="127">
        <f t="shared" si="13"/>
        <v>575</v>
      </c>
      <c r="Z62" s="127">
        <f t="shared" si="16"/>
        <v>568</v>
      </c>
      <c r="AA62" s="215"/>
    </row>
    <row r="63" spans="1:27" s="128" customFormat="1">
      <c r="A63" s="203"/>
      <c r="B63" s="203"/>
      <c r="C63" s="209"/>
      <c r="D63" s="211" t="s">
        <v>1188</v>
      </c>
      <c r="E63" s="107" t="s">
        <v>817</v>
      </c>
      <c r="F63" s="107"/>
      <c r="G63" s="107"/>
      <c r="H63" s="107">
        <v>56</v>
      </c>
      <c r="I63" s="127">
        <f t="shared" si="2"/>
        <v>119</v>
      </c>
      <c r="J63" s="127">
        <f t="shared" si="4"/>
        <v>64</v>
      </c>
      <c r="K63" s="137" t="s">
        <v>818</v>
      </c>
      <c r="L63" s="137" t="s">
        <v>819</v>
      </c>
      <c r="M63" s="110" t="s">
        <v>822</v>
      </c>
      <c r="N63" s="140"/>
      <c r="O63" s="107"/>
      <c r="P63" s="136"/>
      <c r="Q63" s="107"/>
      <c r="R63" s="107"/>
      <c r="S63" s="107"/>
      <c r="T63" s="107"/>
      <c r="U63" s="107"/>
      <c r="V63" s="107"/>
      <c r="W63" s="107"/>
      <c r="X63" s="107">
        <v>56</v>
      </c>
      <c r="Y63" s="127">
        <f t="shared" si="13"/>
        <v>631</v>
      </c>
      <c r="Z63" s="127">
        <f t="shared" si="16"/>
        <v>576</v>
      </c>
      <c r="AA63" s="215"/>
    </row>
    <row r="64" spans="1:27" s="128" customFormat="1">
      <c r="A64" s="204"/>
      <c r="B64" s="204"/>
      <c r="C64" s="209"/>
      <c r="D64" s="213"/>
      <c r="E64" s="107" t="s">
        <v>824</v>
      </c>
      <c r="F64" s="107"/>
      <c r="G64" s="107"/>
      <c r="H64" s="107">
        <v>8</v>
      </c>
      <c r="I64" s="127">
        <f t="shared" si="2"/>
        <v>127</v>
      </c>
      <c r="J64" s="127">
        <f t="shared" si="4"/>
        <v>120</v>
      </c>
      <c r="K64" s="137" t="s">
        <v>818</v>
      </c>
      <c r="L64" s="137" t="s">
        <v>814</v>
      </c>
      <c r="M64" s="110" t="s">
        <v>22</v>
      </c>
      <c r="N64" s="140"/>
      <c r="O64" s="107"/>
      <c r="P64" s="136"/>
      <c r="Q64" s="107"/>
      <c r="R64" s="107"/>
      <c r="S64" s="107"/>
      <c r="T64" s="107"/>
      <c r="U64" s="107"/>
      <c r="V64" s="107"/>
      <c r="W64" s="107"/>
      <c r="X64" s="107">
        <v>8</v>
      </c>
      <c r="Y64" s="127">
        <f t="shared" si="13"/>
        <v>639</v>
      </c>
      <c r="Z64" s="127">
        <f t="shared" si="16"/>
        <v>632</v>
      </c>
      <c r="AA64" s="215"/>
    </row>
    <row r="65" spans="1:27" s="135" customFormat="1" ht="17" customHeight="1">
      <c r="A65" s="205" t="s">
        <v>1095</v>
      </c>
      <c r="B65" s="205" t="s">
        <v>1096</v>
      </c>
      <c r="C65" s="209" t="s">
        <v>38</v>
      </c>
      <c r="D65" s="210" t="s">
        <v>1163</v>
      </c>
      <c r="E65" s="127" t="s">
        <v>983</v>
      </c>
      <c r="F65" s="127"/>
      <c r="G65" s="127"/>
      <c r="H65" s="127">
        <v>1</v>
      </c>
      <c r="I65" s="127">
        <f t="shared" si="2"/>
        <v>0</v>
      </c>
      <c r="J65" s="127">
        <v>0</v>
      </c>
      <c r="K65" s="139" t="s">
        <v>7</v>
      </c>
      <c r="L65" s="139" t="s">
        <v>988</v>
      </c>
      <c r="M65" s="164" t="s">
        <v>986</v>
      </c>
      <c r="N65" s="182"/>
      <c r="O65" s="127"/>
      <c r="P65" s="138"/>
      <c r="Q65" s="127"/>
      <c r="R65" s="127"/>
      <c r="S65" s="127"/>
      <c r="T65" s="127"/>
      <c r="U65" s="127"/>
      <c r="V65" s="127"/>
      <c r="W65" s="127"/>
      <c r="X65" s="127">
        <v>1</v>
      </c>
      <c r="Y65" s="127">
        <f t="shared" si="13"/>
        <v>640</v>
      </c>
      <c r="Z65" s="127">
        <f t="shared" si="16"/>
        <v>640</v>
      </c>
      <c r="AA65" s="215"/>
    </row>
    <row r="66" spans="1:27" s="135" customFormat="1" ht="17" customHeight="1">
      <c r="A66" s="206"/>
      <c r="B66" s="206"/>
      <c r="C66" s="209"/>
      <c r="D66" s="210"/>
      <c r="E66" s="127" t="s">
        <v>984</v>
      </c>
      <c r="F66" s="127"/>
      <c r="G66" s="127"/>
      <c r="H66" s="127">
        <v>31</v>
      </c>
      <c r="I66" s="127">
        <f t="shared" ref="I66:I67" si="29">J66+H66-1</f>
        <v>31</v>
      </c>
      <c r="J66" s="127">
        <f t="shared" ref="J66:J67" si="30">I65+1</f>
        <v>1</v>
      </c>
      <c r="K66" s="139" t="s">
        <v>28</v>
      </c>
      <c r="L66" s="139" t="s">
        <v>985</v>
      </c>
      <c r="M66" s="164" t="s">
        <v>22</v>
      </c>
      <c r="N66" s="182"/>
      <c r="O66" s="127"/>
      <c r="P66" s="138"/>
      <c r="Q66" s="127"/>
      <c r="R66" s="127"/>
      <c r="S66" s="127"/>
      <c r="T66" s="127"/>
      <c r="U66" s="127"/>
      <c r="V66" s="127"/>
      <c r="W66" s="127"/>
      <c r="X66" s="127">
        <v>31</v>
      </c>
      <c r="Y66" s="127">
        <f t="shared" si="13"/>
        <v>671</v>
      </c>
      <c r="Z66" s="127">
        <f t="shared" si="16"/>
        <v>641</v>
      </c>
      <c r="AA66" s="215"/>
    </row>
    <row r="67" spans="1:27" s="135" customFormat="1" ht="17" customHeight="1">
      <c r="A67" s="206"/>
      <c r="B67" s="206"/>
      <c r="C67" s="209"/>
      <c r="D67" s="210"/>
      <c r="E67" s="145" t="s">
        <v>1018</v>
      </c>
      <c r="F67" s="145"/>
      <c r="G67" s="145"/>
      <c r="H67" s="145">
        <v>10</v>
      </c>
      <c r="I67" s="145">
        <f t="shared" si="29"/>
        <v>41</v>
      </c>
      <c r="J67" s="145">
        <f t="shared" si="30"/>
        <v>32</v>
      </c>
      <c r="K67" s="146" t="s">
        <v>7</v>
      </c>
      <c r="L67" s="146" t="str">
        <f t="shared" ref="L67" si="31">H67&amp;"'h0"</f>
        <v>10'h0</v>
      </c>
      <c r="M67" s="165" t="s">
        <v>1021</v>
      </c>
      <c r="N67" s="182"/>
      <c r="O67" s="127"/>
      <c r="P67" s="138"/>
      <c r="Q67" s="127"/>
      <c r="R67" s="127"/>
      <c r="S67" s="127"/>
      <c r="T67" s="127"/>
      <c r="U67" s="127"/>
      <c r="V67" s="127"/>
      <c r="W67" s="127"/>
      <c r="X67" s="145">
        <v>10</v>
      </c>
      <c r="Y67" s="145">
        <f t="shared" si="13"/>
        <v>681</v>
      </c>
      <c r="Z67" s="145">
        <f t="shared" si="16"/>
        <v>672</v>
      </c>
      <c r="AA67" s="215"/>
    </row>
    <row r="68" spans="1:27" s="135" customFormat="1" ht="17" customHeight="1">
      <c r="A68" s="206"/>
      <c r="B68" s="206"/>
      <c r="C68" s="209"/>
      <c r="D68" s="210"/>
      <c r="E68" s="127" t="s">
        <v>1022</v>
      </c>
      <c r="F68" s="127"/>
      <c r="G68" s="127"/>
      <c r="H68" s="127">
        <v>12</v>
      </c>
      <c r="I68" s="127">
        <f t="shared" ref="I68" si="32">J68+H68-1</f>
        <v>53</v>
      </c>
      <c r="J68" s="127">
        <f t="shared" ref="J68" si="33">I67+1</f>
        <v>42</v>
      </c>
      <c r="K68" s="139" t="s">
        <v>818</v>
      </c>
      <c r="L68" s="139" t="str">
        <f t="shared" ref="L68" si="34">H68&amp;"'h0"</f>
        <v>12'h0</v>
      </c>
      <c r="M68" s="164" t="s">
        <v>719</v>
      </c>
      <c r="N68" s="182"/>
      <c r="O68" s="127"/>
      <c r="P68" s="138"/>
      <c r="Q68" s="127"/>
      <c r="R68" s="127"/>
      <c r="S68" s="127"/>
      <c r="T68" s="127"/>
      <c r="U68" s="127"/>
      <c r="V68" s="127"/>
      <c r="W68" s="127"/>
      <c r="X68" s="127">
        <v>12</v>
      </c>
      <c r="Y68" s="127">
        <f t="shared" ref="Y68" si="35">Z68+X68-1</f>
        <v>693</v>
      </c>
      <c r="Z68" s="127">
        <f t="shared" ref="Z68" si="36">Y67+1</f>
        <v>682</v>
      </c>
      <c r="AA68" s="215"/>
    </row>
    <row r="69" spans="1:27" s="135" customFormat="1" ht="17" customHeight="1">
      <c r="A69" s="207"/>
      <c r="B69" s="207"/>
      <c r="C69" s="209"/>
      <c r="D69" s="210"/>
      <c r="E69" s="127" t="s">
        <v>835</v>
      </c>
      <c r="F69" s="127"/>
      <c r="G69" s="127"/>
      <c r="H69" s="127">
        <v>10</v>
      </c>
      <c r="I69" s="127">
        <f t="shared" ref="I69" si="37">J69+H69-1</f>
        <v>63</v>
      </c>
      <c r="J69" s="127">
        <f t="shared" ref="J69" si="38">I68+1</f>
        <v>54</v>
      </c>
      <c r="K69" s="139" t="s">
        <v>818</v>
      </c>
      <c r="L69" s="139" t="s">
        <v>999</v>
      </c>
      <c r="M69" s="164" t="s">
        <v>719</v>
      </c>
      <c r="N69" s="182"/>
      <c r="O69" s="127"/>
      <c r="P69" s="138"/>
      <c r="Q69" s="127"/>
      <c r="R69" s="127"/>
      <c r="S69" s="127"/>
      <c r="T69" s="127"/>
      <c r="U69" s="127"/>
      <c r="V69" s="127"/>
      <c r="W69" s="127"/>
      <c r="X69" s="127">
        <v>10</v>
      </c>
      <c r="Y69" s="127">
        <f t="shared" si="13"/>
        <v>703</v>
      </c>
      <c r="Z69" s="127">
        <f t="shared" si="16"/>
        <v>694</v>
      </c>
      <c r="AA69" s="215"/>
    </row>
    <row r="70" spans="1:27" s="128" customFormat="1" ht="17" customHeight="1">
      <c r="A70" s="202" t="s">
        <v>1097</v>
      </c>
      <c r="B70" s="202" t="s">
        <v>1098</v>
      </c>
      <c r="C70" s="209"/>
      <c r="D70" s="209" t="s">
        <v>39</v>
      </c>
      <c r="E70" s="127" t="s">
        <v>829</v>
      </c>
      <c r="F70" s="127"/>
      <c r="G70" s="127"/>
      <c r="H70" s="127">
        <v>40</v>
      </c>
      <c r="I70" s="127">
        <f t="shared" ref="I70" si="39">J70+H70-1</f>
        <v>103</v>
      </c>
      <c r="J70" s="127">
        <f t="shared" ref="J70" si="40">I69+1</f>
        <v>64</v>
      </c>
      <c r="K70" s="139" t="s">
        <v>818</v>
      </c>
      <c r="L70" s="139" t="s">
        <v>831</v>
      </c>
      <c r="M70" s="164" t="s">
        <v>828</v>
      </c>
      <c r="N70" s="140"/>
      <c r="O70" s="107"/>
      <c r="P70" s="136"/>
      <c r="Q70" s="107"/>
      <c r="R70" s="107"/>
      <c r="S70" s="107"/>
      <c r="T70" s="107"/>
      <c r="U70" s="107"/>
      <c r="V70" s="107"/>
      <c r="W70" s="107"/>
      <c r="X70" s="127">
        <v>40</v>
      </c>
      <c r="Y70" s="127">
        <f t="shared" si="13"/>
        <v>743</v>
      </c>
      <c r="Z70" s="127">
        <f t="shared" si="16"/>
        <v>704</v>
      </c>
      <c r="AA70" s="215"/>
    </row>
    <row r="71" spans="1:27" s="128" customFormat="1" ht="17" customHeight="1">
      <c r="A71" s="203"/>
      <c r="B71" s="203"/>
      <c r="C71" s="209"/>
      <c r="D71" s="209"/>
      <c r="E71" s="107" t="s">
        <v>847</v>
      </c>
      <c r="F71" s="107"/>
      <c r="G71" s="107"/>
      <c r="H71" s="107">
        <v>1</v>
      </c>
      <c r="I71" s="127">
        <f t="shared" ref="I71:I123" si="41">J71+H71-1</f>
        <v>104</v>
      </c>
      <c r="J71" s="127">
        <f t="shared" ref="J71:J123" si="42">I70+1</f>
        <v>104</v>
      </c>
      <c r="K71" s="137" t="s">
        <v>818</v>
      </c>
      <c r="L71" s="137" t="s">
        <v>832</v>
      </c>
      <c r="M71" s="110" t="s">
        <v>850</v>
      </c>
      <c r="N71" s="140"/>
      <c r="O71" s="107"/>
      <c r="P71" s="136"/>
      <c r="Q71" s="107"/>
      <c r="R71" s="107"/>
      <c r="S71" s="107"/>
      <c r="T71" s="107"/>
      <c r="U71" s="107"/>
      <c r="V71" s="107"/>
      <c r="W71" s="107"/>
      <c r="X71" s="107">
        <v>1</v>
      </c>
      <c r="Y71" s="127">
        <f t="shared" si="13"/>
        <v>744</v>
      </c>
      <c r="Z71" s="127">
        <f t="shared" si="16"/>
        <v>744</v>
      </c>
      <c r="AA71" s="215"/>
    </row>
    <row r="72" spans="1:27" s="128" customFormat="1" ht="17" customHeight="1">
      <c r="A72" s="203"/>
      <c r="B72" s="203"/>
      <c r="C72" s="209"/>
      <c r="D72" s="209"/>
      <c r="E72" s="107" t="s">
        <v>833</v>
      </c>
      <c r="F72" s="107"/>
      <c r="G72" s="107"/>
      <c r="H72" s="107">
        <v>1</v>
      </c>
      <c r="I72" s="127">
        <f t="shared" si="41"/>
        <v>105</v>
      </c>
      <c r="J72" s="127">
        <f t="shared" si="42"/>
        <v>105</v>
      </c>
      <c r="K72" s="137" t="s">
        <v>836</v>
      </c>
      <c r="L72" s="137" t="s">
        <v>832</v>
      </c>
      <c r="M72" s="110" t="s">
        <v>848</v>
      </c>
      <c r="N72" s="140"/>
      <c r="O72" s="107"/>
      <c r="P72" s="136"/>
      <c r="Q72" s="107"/>
      <c r="R72" s="107"/>
      <c r="S72" s="107"/>
      <c r="T72" s="107"/>
      <c r="U72" s="107"/>
      <c r="V72" s="107"/>
      <c r="W72" s="107"/>
      <c r="X72" s="107">
        <v>1</v>
      </c>
      <c r="Y72" s="127">
        <f t="shared" si="13"/>
        <v>745</v>
      </c>
      <c r="Z72" s="127">
        <f t="shared" si="16"/>
        <v>745</v>
      </c>
      <c r="AA72" s="215"/>
    </row>
    <row r="73" spans="1:27" s="128" customFormat="1" ht="17" customHeight="1">
      <c r="A73" s="203"/>
      <c r="B73" s="203"/>
      <c r="C73" s="209"/>
      <c r="D73" s="209"/>
      <c r="E73" s="107" t="s">
        <v>834</v>
      </c>
      <c r="F73" s="107"/>
      <c r="G73" s="107"/>
      <c r="H73" s="107">
        <v>1</v>
      </c>
      <c r="I73" s="127">
        <f t="shared" si="41"/>
        <v>106</v>
      </c>
      <c r="J73" s="127">
        <f t="shared" si="42"/>
        <v>106</v>
      </c>
      <c r="K73" s="137" t="s">
        <v>836</v>
      </c>
      <c r="L73" s="137" t="s">
        <v>832</v>
      </c>
      <c r="M73" s="110" t="s">
        <v>849</v>
      </c>
      <c r="N73" s="140"/>
      <c r="O73" s="107"/>
      <c r="P73" s="136"/>
      <c r="Q73" s="107"/>
      <c r="R73" s="107"/>
      <c r="S73" s="107"/>
      <c r="T73" s="107"/>
      <c r="U73" s="107"/>
      <c r="V73" s="107"/>
      <c r="W73" s="107"/>
      <c r="X73" s="107">
        <v>1</v>
      </c>
      <c r="Y73" s="127">
        <f t="shared" si="13"/>
        <v>746</v>
      </c>
      <c r="Z73" s="127">
        <f t="shared" si="16"/>
        <v>746</v>
      </c>
      <c r="AA73" s="215"/>
    </row>
    <row r="74" spans="1:27" s="128" customFormat="1" ht="17" customHeight="1">
      <c r="A74" s="204"/>
      <c r="B74" s="204"/>
      <c r="C74" s="209"/>
      <c r="D74" s="209"/>
      <c r="E74" s="107" t="s">
        <v>1153</v>
      </c>
      <c r="F74" s="107"/>
      <c r="G74" s="107"/>
      <c r="H74" s="107">
        <v>21</v>
      </c>
      <c r="I74" s="127">
        <f t="shared" si="41"/>
        <v>127</v>
      </c>
      <c r="J74" s="127">
        <f t="shared" si="42"/>
        <v>107</v>
      </c>
      <c r="K74" s="137" t="s">
        <v>830</v>
      </c>
      <c r="L74" s="137" t="s">
        <v>998</v>
      </c>
      <c r="M74" s="110" t="s">
        <v>719</v>
      </c>
      <c r="N74" s="140"/>
      <c r="O74" s="107"/>
      <c r="P74" s="136"/>
      <c r="Q74" s="107"/>
      <c r="R74" s="107"/>
      <c r="S74" s="107"/>
      <c r="T74" s="107"/>
      <c r="U74" s="107"/>
      <c r="V74" s="107"/>
      <c r="W74" s="107"/>
      <c r="X74" s="107">
        <v>21</v>
      </c>
      <c r="Y74" s="127">
        <f t="shared" si="13"/>
        <v>767</v>
      </c>
      <c r="Z74" s="127">
        <f t="shared" si="16"/>
        <v>747</v>
      </c>
      <c r="AA74" s="215"/>
    </row>
    <row r="75" spans="1:27" s="128" customFormat="1">
      <c r="A75" s="202" t="s">
        <v>1099</v>
      </c>
      <c r="B75" s="202" t="s">
        <v>1100</v>
      </c>
      <c r="C75" s="209" t="s">
        <v>1155</v>
      </c>
      <c r="D75" s="209" t="s">
        <v>1154</v>
      </c>
      <c r="E75" s="107" t="s">
        <v>917</v>
      </c>
      <c r="F75" s="107"/>
      <c r="G75" s="107"/>
      <c r="H75" s="107">
        <v>16</v>
      </c>
      <c r="I75" s="127">
        <f t="shared" si="41"/>
        <v>15</v>
      </c>
      <c r="J75" s="127">
        <v>0</v>
      </c>
      <c r="K75" s="137" t="s">
        <v>919</v>
      </c>
      <c r="L75" s="137" t="s">
        <v>921</v>
      </c>
      <c r="M75" s="110" t="s">
        <v>923</v>
      </c>
      <c r="N75" s="140"/>
      <c r="O75" s="107"/>
      <c r="P75" s="136"/>
      <c r="Q75" s="107"/>
      <c r="R75" s="107"/>
      <c r="S75" s="107"/>
      <c r="T75" s="107"/>
      <c r="U75" s="107"/>
      <c r="V75" s="107"/>
      <c r="W75" s="107"/>
      <c r="X75" s="107">
        <v>16</v>
      </c>
      <c r="Y75" s="127">
        <f t="shared" si="13"/>
        <v>783</v>
      </c>
      <c r="Z75" s="127">
        <f t="shared" si="16"/>
        <v>768</v>
      </c>
      <c r="AA75" s="215"/>
    </row>
    <row r="76" spans="1:27" s="128" customFormat="1">
      <c r="A76" s="203"/>
      <c r="B76" s="203"/>
      <c r="C76" s="209"/>
      <c r="D76" s="209"/>
      <c r="E76" s="107" t="s">
        <v>918</v>
      </c>
      <c r="F76" s="107"/>
      <c r="G76" s="107"/>
      <c r="H76" s="107">
        <v>32</v>
      </c>
      <c r="I76" s="127">
        <f t="shared" ref="I76:I77" si="43">J76+H76-1</f>
        <v>47</v>
      </c>
      <c r="J76" s="127">
        <f t="shared" ref="J76:J78" si="44">I75+1</f>
        <v>16</v>
      </c>
      <c r="K76" s="137" t="s">
        <v>919</v>
      </c>
      <c r="L76" s="137" t="s">
        <v>920</v>
      </c>
      <c r="M76" s="110" t="s">
        <v>925</v>
      </c>
      <c r="N76" s="140"/>
      <c r="O76" s="107"/>
      <c r="P76" s="136"/>
      <c r="Q76" s="107"/>
      <c r="R76" s="107"/>
      <c r="S76" s="107"/>
      <c r="T76" s="107"/>
      <c r="U76" s="107"/>
      <c r="V76" s="107"/>
      <c r="W76" s="107"/>
      <c r="X76" s="107">
        <v>32</v>
      </c>
      <c r="Y76" s="127">
        <f t="shared" si="13"/>
        <v>815</v>
      </c>
      <c r="Z76" s="127">
        <f t="shared" si="16"/>
        <v>784</v>
      </c>
      <c r="AA76" s="215"/>
    </row>
    <row r="77" spans="1:27" s="128" customFormat="1">
      <c r="A77" s="204"/>
      <c r="B77" s="204"/>
      <c r="C77" s="209"/>
      <c r="D77" s="209"/>
      <c r="E77" s="107" t="s">
        <v>723</v>
      </c>
      <c r="F77" s="107"/>
      <c r="G77" s="107"/>
      <c r="H77" s="107">
        <v>16</v>
      </c>
      <c r="I77" s="127">
        <f t="shared" si="43"/>
        <v>63</v>
      </c>
      <c r="J77" s="127">
        <f t="shared" si="44"/>
        <v>48</v>
      </c>
      <c r="K77" s="137" t="s">
        <v>919</v>
      </c>
      <c r="L77" s="137" t="s">
        <v>924</v>
      </c>
      <c r="M77" s="110" t="s">
        <v>922</v>
      </c>
      <c r="N77" s="140"/>
      <c r="O77" s="107"/>
      <c r="P77" s="136"/>
      <c r="Q77" s="107"/>
      <c r="R77" s="107"/>
      <c r="S77" s="107"/>
      <c r="T77" s="107"/>
      <c r="U77" s="107"/>
      <c r="V77" s="107"/>
      <c r="W77" s="107"/>
      <c r="X77" s="107">
        <v>16</v>
      </c>
      <c r="Y77" s="127">
        <f t="shared" si="13"/>
        <v>831</v>
      </c>
      <c r="Z77" s="127">
        <f t="shared" si="16"/>
        <v>816</v>
      </c>
      <c r="AA77" s="215"/>
    </row>
    <row r="78" spans="1:27" s="128" customFormat="1" ht="16.3">
      <c r="A78" s="170" t="s">
        <v>1101</v>
      </c>
      <c r="B78" s="170" t="s">
        <v>1102</v>
      </c>
      <c r="C78" s="209"/>
      <c r="D78" s="172" t="s">
        <v>942</v>
      </c>
      <c r="E78" s="107" t="s">
        <v>928</v>
      </c>
      <c r="F78" s="107"/>
      <c r="G78" s="107"/>
      <c r="H78" s="107">
        <v>64</v>
      </c>
      <c r="I78" s="127">
        <f t="shared" ref="I78" si="45">J78+H78-1</f>
        <v>127</v>
      </c>
      <c r="J78" s="127">
        <f t="shared" si="44"/>
        <v>64</v>
      </c>
      <c r="K78" s="137" t="s">
        <v>919</v>
      </c>
      <c r="L78" s="137" t="s">
        <v>929</v>
      </c>
      <c r="M78" s="110" t="s">
        <v>22</v>
      </c>
      <c r="N78" s="140"/>
      <c r="O78" s="107"/>
      <c r="P78" s="136"/>
      <c r="Q78" s="107"/>
      <c r="R78" s="107"/>
      <c r="S78" s="107"/>
      <c r="T78" s="107"/>
      <c r="U78" s="107"/>
      <c r="V78" s="107"/>
      <c r="W78" s="107"/>
      <c r="X78" s="107">
        <v>64</v>
      </c>
      <c r="Y78" s="127">
        <f t="shared" si="13"/>
        <v>895</v>
      </c>
      <c r="Z78" s="127">
        <f t="shared" si="16"/>
        <v>832</v>
      </c>
      <c r="AA78" s="215"/>
    </row>
    <row r="79" spans="1:27" s="128" customFormat="1" ht="17" customHeight="1">
      <c r="A79" s="202" t="s">
        <v>1103</v>
      </c>
      <c r="B79" s="202" t="s">
        <v>1104</v>
      </c>
      <c r="C79" s="209" t="s">
        <v>40</v>
      </c>
      <c r="D79" s="209"/>
      <c r="E79" s="107" t="s">
        <v>724</v>
      </c>
      <c r="F79" s="107"/>
      <c r="G79" s="107"/>
      <c r="H79" s="107">
        <v>6</v>
      </c>
      <c r="I79" s="127">
        <f t="shared" ref="I79" si="46">J79+H79-1</f>
        <v>5</v>
      </c>
      <c r="J79" s="127">
        <v>0</v>
      </c>
      <c r="K79" s="137" t="s">
        <v>28</v>
      </c>
      <c r="L79" s="137" t="s">
        <v>791</v>
      </c>
      <c r="M79" s="110" t="s">
        <v>22</v>
      </c>
      <c r="N79" s="140"/>
      <c r="O79" s="107"/>
      <c r="P79" s="136"/>
      <c r="Q79" s="107"/>
      <c r="R79" s="107"/>
      <c r="S79" s="107"/>
      <c r="T79" s="107"/>
      <c r="U79" s="107"/>
      <c r="V79" s="107"/>
      <c r="W79" s="107"/>
      <c r="X79" s="107">
        <v>6</v>
      </c>
      <c r="Y79" s="127">
        <f t="shared" si="13"/>
        <v>901</v>
      </c>
      <c r="Z79" s="127">
        <f t="shared" si="16"/>
        <v>896</v>
      </c>
      <c r="AA79" s="215"/>
    </row>
    <row r="80" spans="1:27" s="128" customFormat="1">
      <c r="A80" s="203"/>
      <c r="B80" s="203"/>
      <c r="C80" s="209"/>
      <c r="D80" s="209"/>
      <c r="E80" s="107" t="str">
        <f ca="1">'Control register base=0x100'!E80</f>
        <v>cfg_monitor_en</v>
      </c>
      <c r="F80" s="107"/>
      <c r="G80" s="107"/>
      <c r="H80" s="107">
        <v>1</v>
      </c>
      <c r="I80" s="127">
        <f t="shared" si="41"/>
        <v>6</v>
      </c>
      <c r="J80" s="127">
        <f t="shared" si="42"/>
        <v>6</v>
      </c>
      <c r="K80" s="137" t="s">
        <v>7</v>
      </c>
      <c r="L80" s="137" t="s">
        <v>11</v>
      </c>
      <c r="M80" s="110" t="s">
        <v>41</v>
      </c>
      <c r="N80" s="140"/>
      <c r="O80" s="107"/>
      <c r="P80" s="136"/>
      <c r="Q80" s="107"/>
      <c r="R80" s="107"/>
      <c r="S80" s="107"/>
      <c r="T80" s="107"/>
      <c r="U80" s="107"/>
      <c r="V80" s="107"/>
      <c r="W80" s="107"/>
      <c r="X80" s="107">
        <v>1</v>
      </c>
      <c r="Y80" s="127">
        <f t="shared" ref="Y80:Y112" si="47">Z80+X80-1</f>
        <v>902</v>
      </c>
      <c r="Z80" s="127">
        <f t="shared" si="16"/>
        <v>902</v>
      </c>
      <c r="AA80" s="215"/>
    </row>
    <row r="81" spans="1:27" s="128" customFormat="1" ht="31.25">
      <c r="A81" s="203"/>
      <c r="B81" s="203"/>
      <c r="C81" s="209"/>
      <c r="D81" s="209"/>
      <c r="E81" s="107" t="str">
        <f ca="1">'Control register base=0x100'!E81</f>
        <v>cfg_result_start_addr</v>
      </c>
      <c r="F81" s="107"/>
      <c r="G81" s="107"/>
      <c r="H81" s="107">
        <v>40</v>
      </c>
      <c r="I81" s="127">
        <f t="shared" si="41"/>
        <v>46</v>
      </c>
      <c r="J81" s="127">
        <f t="shared" si="42"/>
        <v>7</v>
      </c>
      <c r="K81" s="137" t="s">
        <v>7</v>
      </c>
      <c r="L81" s="137" t="s">
        <v>42</v>
      </c>
      <c r="M81" s="110" t="s">
        <v>43</v>
      </c>
      <c r="N81" s="140"/>
      <c r="O81" s="107"/>
      <c r="P81" s="136"/>
      <c r="Q81" s="107"/>
      <c r="R81" s="107"/>
      <c r="S81" s="107"/>
      <c r="T81" s="107"/>
      <c r="U81" s="107"/>
      <c r="V81" s="107"/>
      <c r="W81" s="107"/>
      <c r="X81" s="107">
        <v>40</v>
      </c>
      <c r="Y81" s="127">
        <f t="shared" si="47"/>
        <v>942</v>
      </c>
      <c r="Z81" s="127">
        <f t="shared" ref="Z81:Z97" si="48">Y80+1</f>
        <v>903</v>
      </c>
      <c r="AA81" s="215"/>
    </row>
    <row r="82" spans="1:27" s="128" customFormat="1" ht="15.8" customHeight="1">
      <c r="A82" s="203"/>
      <c r="B82" s="203"/>
      <c r="C82" s="209"/>
      <c r="D82" s="209"/>
      <c r="E82" s="107" t="str">
        <f ca="1">'Control register base=0x100'!E82</f>
        <v>cfg_result_end_addr</v>
      </c>
      <c r="F82" s="107"/>
      <c r="G82" s="107"/>
      <c r="H82" s="107">
        <v>40</v>
      </c>
      <c r="I82" s="127">
        <f t="shared" si="41"/>
        <v>86</v>
      </c>
      <c r="J82" s="127">
        <f t="shared" si="42"/>
        <v>47</v>
      </c>
      <c r="K82" s="137" t="s">
        <v>7</v>
      </c>
      <c r="L82" s="137" t="s">
        <v>42</v>
      </c>
      <c r="M82" s="110" t="s">
        <v>44</v>
      </c>
      <c r="N82" s="140"/>
      <c r="O82" s="107"/>
      <c r="P82" s="136"/>
      <c r="Q82" s="107"/>
      <c r="R82" s="107"/>
      <c r="S82" s="107"/>
      <c r="T82" s="107"/>
      <c r="U82" s="107"/>
      <c r="V82" s="107"/>
      <c r="W82" s="107"/>
      <c r="X82" s="107">
        <v>40</v>
      </c>
      <c r="Y82" s="127">
        <f t="shared" si="47"/>
        <v>982</v>
      </c>
      <c r="Z82" s="127">
        <f t="shared" si="48"/>
        <v>943</v>
      </c>
      <c r="AA82" s="215"/>
    </row>
    <row r="83" spans="1:27" s="128" customFormat="1">
      <c r="A83" s="203"/>
      <c r="B83" s="203"/>
      <c r="C83" s="209"/>
      <c r="D83" s="209"/>
      <c r="E83" s="107" t="str">
        <f ca="1">'Control register base=0x100'!E83</f>
        <v>cfg_cmpt_en</v>
      </c>
      <c r="F83" s="107"/>
      <c r="G83" s="107"/>
      <c r="H83" s="107">
        <v>1</v>
      </c>
      <c r="I83" s="127">
        <f t="shared" si="41"/>
        <v>87</v>
      </c>
      <c r="J83" s="127">
        <f t="shared" si="42"/>
        <v>87</v>
      </c>
      <c r="K83" s="137" t="s">
        <v>7</v>
      </c>
      <c r="L83" s="137" t="s">
        <v>11</v>
      </c>
      <c r="M83" s="110" t="s">
        <v>45</v>
      </c>
      <c r="N83" s="140"/>
      <c r="O83" s="107"/>
      <c r="P83" s="136"/>
      <c r="Q83" s="107"/>
      <c r="R83" s="107"/>
      <c r="S83" s="107"/>
      <c r="T83" s="107"/>
      <c r="U83" s="107"/>
      <c r="V83" s="107"/>
      <c r="W83" s="107"/>
      <c r="X83" s="107">
        <v>1</v>
      </c>
      <c r="Y83" s="127">
        <f t="shared" si="47"/>
        <v>983</v>
      </c>
      <c r="Z83" s="127">
        <f t="shared" si="48"/>
        <v>983</v>
      </c>
      <c r="AA83" s="215"/>
    </row>
    <row r="84" spans="1:27" s="128" customFormat="1">
      <c r="A84" s="203"/>
      <c r="B84" s="203"/>
      <c r="C84" s="209"/>
      <c r="D84" s="209"/>
      <c r="E84" s="107" t="str">
        <f ca="1">'Control register base=0x100'!E84</f>
        <v>cfg_cmpt_val</v>
      </c>
      <c r="F84" s="107"/>
      <c r="G84" s="107"/>
      <c r="H84" s="107">
        <v>16</v>
      </c>
      <c r="I84" s="127">
        <f t="shared" si="41"/>
        <v>103</v>
      </c>
      <c r="J84" s="127">
        <f t="shared" si="42"/>
        <v>88</v>
      </c>
      <c r="K84" s="137" t="s">
        <v>7</v>
      </c>
      <c r="L84" s="137" t="s">
        <v>46</v>
      </c>
      <c r="M84" s="110" t="s">
        <v>47</v>
      </c>
      <c r="N84" s="140"/>
      <c r="O84" s="107"/>
      <c r="P84" s="136"/>
      <c r="Q84" s="107"/>
      <c r="R84" s="107"/>
      <c r="S84" s="107"/>
      <c r="T84" s="107"/>
      <c r="U84" s="107"/>
      <c r="V84" s="107"/>
      <c r="W84" s="107"/>
      <c r="X84" s="107">
        <v>16</v>
      </c>
      <c r="Y84" s="127">
        <f t="shared" si="47"/>
        <v>999</v>
      </c>
      <c r="Z84" s="127">
        <f t="shared" si="48"/>
        <v>984</v>
      </c>
      <c r="AA84" s="215"/>
    </row>
    <row r="85" spans="1:27" s="128" customFormat="1">
      <c r="A85" s="203"/>
      <c r="B85" s="203"/>
      <c r="C85" s="209"/>
      <c r="D85" s="209"/>
      <c r="E85" s="107" t="str">
        <f ca="1">'Control register base=0x100'!E85</f>
        <v>cfg_rd_instr_en</v>
      </c>
      <c r="F85" s="107"/>
      <c r="G85" s="107"/>
      <c r="H85" s="107">
        <v>1</v>
      </c>
      <c r="I85" s="127">
        <f t="shared" si="41"/>
        <v>104</v>
      </c>
      <c r="J85" s="127">
        <f t="shared" si="42"/>
        <v>104</v>
      </c>
      <c r="K85" s="137" t="s">
        <v>7</v>
      </c>
      <c r="L85" s="137" t="s">
        <v>11</v>
      </c>
      <c r="M85" s="110" t="s">
        <v>48</v>
      </c>
      <c r="N85" s="140"/>
      <c r="O85" s="107"/>
      <c r="P85" s="136"/>
      <c r="Q85" s="107"/>
      <c r="R85" s="107"/>
      <c r="S85" s="107"/>
      <c r="T85" s="107"/>
      <c r="U85" s="107"/>
      <c r="V85" s="107"/>
      <c r="W85" s="107"/>
      <c r="X85" s="107">
        <v>1</v>
      </c>
      <c r="Y85" s="127">
        <f t="shared" si="47"/>
        <v>1000</v>
      </c>
      <c r="Z85" s="127">
        <f t="shared" si="48"/>
        <v>1000</v>
      </c>
      <c r="AA85" s="215"/>
    </row>
    <row r="86" spans="1:27" s="128" customFormat="1">
      <c r="A86" s="203"/>
      <c r="B86" s="203"/>
      <c r="C86" s="209"/>
      <c r="D86" s="209"/>
      <c r="E86" s="107" t="str">
        <f ca="1">'Control register base=0x100'!E86</f>
        <v>cfg_rd_instr_stall_en</v>
      </c>
      <c r="F86" s="107"/>
      <c r="G86" s="107"/>
      <c r="H86" s="107">
        <v>1</v>
      </c>
      <c r="I86" s="127">
        <f t="shared" si="41"/>
        <v>105</v>
      </c>
      <c r="J86" s="127">
        <f t="shared" si="42"/>
        <v>105</v>
      </c>
      <c r="K86" s="137" t="s">
        <v>7</v>
      </c>
      <c r="L86" s="137" t="s">
        <v>11</v>
      </c>
      <c r="M86" s="110" t="s">
        <v>49</v>
      </c>
      <c r="N86" s="140"/>
      <c r="O86" s="107"/>
      <c r="P86" s="136"/>
      <c r="Q86" s="107"/>
      <c r="R86" s="107"/>
      <c r="S86" s="107"/>
      <c r="T86" s="107"/>
      <c r="U86" s="107"/>
      <c r="V86" s="107"/>
      <c r="W86" s="107"/>
      <c r="X86" s="107">
        <v>1</v>
      </c>
      <c r="Y86" s="127">
        <f t="shared" si="47"/>
        <v>1001</v>
      </c>
      <c r="Z86" s="127">
        <f t="shared" si="48"/>
        <v>1001</v>
      </c>
      <c r="AA86" s="215"/>
    </row>
    <row r="87" spans="1:27" s="128" customFormat="1">
      <c r="A87" s="203"/>
      <c r="B87" s="203"/>
      <c r="C87" s="209"/>
      <c r="D87" s="209"/>
      <c r="E87" s="107" t="str">
        <f ca="1">'Control register base=0x100'!E87</f>
        <v>cfg_wr_instr_en</v>
      </c>
      <c r="F87" s="107"/>
      <c r="G87" s="107"/>
      <c r="H87" s="107">
        <v>1</v>
      </c>
      <c r="I87" s="127">
        <f t="shared" si="41"/>
        <v>106</v>
      </c>
      <c r="J87" s="127">
        <f t="shared" si="42"/>
        <v>106</v>
      </c>
      <c r="K87" s="137" t="s">
        <v>7</v>
      </c>
      <c r="L87" s="137" t="s">
        <v>11</v>
      </c>
      <c r="M87" s="110" t="s">
        <v>50</v>
      </c>
      <c r="N87" s="140"/>
      <c r="O87" s="107"/>
      <c r="P87" s="136"/>
      <c r="Q87" s="107"/>
      <c r="R87" s="107"/>
      <c r="S87" s="107"/>
      <c r="T87" s="107"/>
      <c r="U87" s="107"/>
      <c r="V87" s="107"/>
      <c r="W87" s="107"/>
      <c r="X87" s="107">
        <v>1</v>
      </c>
      <c r="Y87" s="127">
        <f t="shared" si="47"/>
        <v>1002</v>
      </c>
      <c r="Z87" s="127">
        <f t="shared" si="48"/>
        <v>1002</v>
      </c>
      <c r="AA87" s="215"/>
    </row>
    <row r="88" spans="1:27" s="135" customFormat="1">
      <c r="A88" s="203"/>
      <c r="B88" s="203"/>
      <c r="C88" s="209"/>
      <c r="D88" s="209"/>
      <c r="E88" s="127" t="s">
        <v>994</v>
      </c>
      <c r="F88" s="127"/>
      <c r="G88" s="127"/>
      <c r="H88" s="127">
        <v>1</v>
      </c>
      <c r="I88" s="127">
        <f t="shared" si="41"/>
        <v>107</v>
      </c>
      <c r="J88" s="127">
        <f t="shared" si="42"/>
        <v>107</v>
      </c>
      <c r="K88" s="139" t="s">
        <v>7</v>
      </c>
      <c r="L88" s="139" t="s">
        <v>11</v>
      </c>
      <c r="M88" s="164" t="s">
        <v>51</v>
      </c>
      <c r="N88" s="182"/>
      <c r="O88" s="127"/>
      <c r="P88" s="138"/>
      <c r="Q88" s="127"/>
      <c r="R88" s="127"/>
      <c r="S88" s="127"/>
      <c r="T88" s="127"/>
      <c r="U88" s="127"/>
      <c r="V88" s="127"/>
      <c r="W88" s="127"/>
      <c r="X88" s="127">
        <v>1</v>
      </c>
      <c r="Y88" s="127">
        <f t="shared" si="47"/>
        <v>1003</v>
      </c>
      <c r="Z88" s="127">
        <f t="shared" si="48"/>
        <v>1003</v>
      </c>
      <c r="AA88" s="215"/>
    </row>
    <row r="89" spans="1:27" s="128" customFormat="1">
      <c r="A89" s="203"/>
      <c r="B89" s="203"/>
      <c r="C89" s="209"/>
      <c r="D89" s="209"/>
      <c r="E89" s="107" t="s">
        <v>52</v>
      </c>
      <c r="F89" s="107"/>
      <c r="G89" s="107"/>
      <c r="H89" s="107">
        <v>1</v>
      </c>
      <c r="I89" s="127">
        <f t="shared" si="41"/>
        <v>108</v>
      </c>
      <c r="J89" s="127">
        <f t="shared" si="42"/>
        <v>108</v>
      </c>
      <c r="K89" s="137" t="s">
        <v>7</v>
      </c>
      <c r="L89" s="137" t="s">
        <v>11</v>
      </c>
      <c r="M89" s="110" t="s">
        <v>53</v>
      </c>
      <c r="N89" s="140"/>
      <c r="O89" s="107"/>
      <c r="P89" s="136"/>
      <c r="Q89" s="107"/>
      <c r="R89" s="107"/>
      <c r="S89" s="107"/>
      <c r="T89" s="107"/>
      <c r="U89" s="107"/>
      <c r="V89" s="107"/>
      <c r="W89" s="107"/>
      <c r="X89" s="107">
        <v>1</v>
      </c>
      <c r="Y89" s="127">
        <f t="shared" si="47"/>
        <v>1004</v>
      </c>
      <c r="Z89" s="127">
        <f t="shared" si="48"/>
        <v>1004</v>
      </c>
      <c r="AA89" s="215"/>
    </row>
    <row r="90" spans="1:27" s="128" customFormat="1">
      <c r="A90" s="203"/>
      <c r="B90" s="203"/>
      <c r="C90" s="209"/>
      <c r="D90" s="209"/>
      <c r="E90" s="107" t="s">
        <v>778</v>
      </c>
      <c r="F90" s="107"/>
      <c r="G90" s="107"/>
      <c r="H90" s="107">
        <v>1</v>
      </c>
      <c r="I90" s="127">
        <f t="shared" si="41"/>
        <v>109</v>
      </c>
      <c r="J90" s="127">
        <f t="shared" si="42"/>
        <v>109</v>
      </c>
      <c r="K90" s="137" t="s">
        <v>7</v>
      </c>
      <c r="L90" s="137" t="s">
        <v>784</v>
      </c>
      <c r="M90" s="110" t="s">
        <v>780</v>
      </c>
      <c r="N90" s="140"/>
      <c r="O90" s="107"/>
      <c r="P90" s="136"/>
      <c r="Q90" s="107"/>
      <c r="R90" s="107"/>
      <c r="S90" s="107"/>
      <c r="T90" s="107"/>
      <c r="U90" s="107"/>
      <c r="V90" s="107"/>
      <c r="W90" s="107"/>
      <c r="X90" s="107">
        <v>1</v>
      </c>
      <c r="Y90" s="127">
        <f t="shared" si="47"/>
        <v>1005</v>
      </c>
      <c r="Z90" s="127">
        <f t="shared" si="48"/>
        <v>1005</v>
      </c>
      <c r="AA90" s="215"/>
    </row>
    <row r="91" spans="1:27" s="128" customFormat="1">
      <c r="A91" s="203"/>
      <c r="B91" s="203"/>
      <c r="C91" s="209"/>
      <c r="D91" s="209"/>
      <c r="E91" s="107" t="s">
        <v>779</v>
      </c>
      <c r="F91" s="107"/>
      <c r="G91" s="107"/>
      <c r="H91" s="107">
        <v>1</v>
      </c>
      <c r="I91" s="127">
        <f t="shared" si="41"/>
        <v>110</v>
      </c>
      <c r="J91" s="127">
        <f t="shared" si="42"/>
        <v>110</v>
      </c>
      <c r="K91" s="137" t="s">
        <v>7</v>
      </c>
      <c r="L91" s="137" t="s">
        <v>784</v>
      </c>
      <c r="M91" s="110" t="s">
        <v>781</v>
      </c>
      <c r="N91" s="140"/>
      <c r="O91" s="107"/>
      <c r="P91" s="136"/>
      <c r="Q91" s="107"/>
      <c r="R91" s="107"/>
      <c r="S91" s="107"/>
      <c r="T91" s="107"/>
      <c r="U91" s="107"/>
      <c r="V91" s="107"/>
      <c r="W91" s="107"/>
      <c r="X91" s="107">
        <v>1</v>
      </c>
      <c r="Y91" s="127">
        <f t="shared" si="47"/>
        <v>1006</v>
      </c>
      <c r="Z91" s="127">
        <f t="shared" si="48"/>
        <v>1006</v>
      </c>
      <c r="AA91" s="215"/>
    </row>
    <row r="92" spans="1:27" s="128" customFormat="1">
      <c r="A92" s="203"/>
      <c r="B92" s="203"/>
      <c r="C92" s="209"/>
      <c r="D92" s="209"/>
      <c r="E92" s="107" t="s">
        <v>782</v>
      </c>
      <c r="F92" s="107"/>
      <c r="G92" s="107"/>
      <c r="H92" s="107">
        <v>4</v>
      </c>
      <c r="I92" s="127">
        <f t="shared" si="41"/>
        <v>114</v>
      </c>
      <c r="J92" s="127">
        <f t="shared" si="42"/>
        <v>111</v>
      </c>
      <c r="K92" s="137" t="s">
        <v>783</v>
      </c>
      <c r="L92" s="137" t="s">
        <v>785</v>
      </c>
      <c r="M92" s="110" t="s">
        <v>788</v>
      </c>
      <c r="N92" s="140"/>
      <c r="O92" s="107"/>
      <c r="P92" s="136"/>
      <c r="Q92" s="107"/>
      <c r="R92" s="107"/>
      <c r="S92" s="107"/>
      <c r="T92" s="107"/>
      <c r="U92" s="107"/>
      <c r="V92" s="107"/>
      <c r="W92" s="107"/>
      <c r="X92" s="107">
        <v>4</v>
      </c>
      <c r="Y92" s="127">
        <f t="shared" si="47"/>
        <v>1010</v>
      </c>
      <c r="Z92" s="127">
        <f t="shared" si="48"/>
        <v>1007</v>
      </c>
      <c r="AA92" s="215"/>
    </row>
    <row r="93" spans="1:27" s="128" customFormat="1">
      <c r="A93" s="203"/>
      <c r="B93" s="203"/>
      <c r="C93" s="209"/>
      <c r="D93" s="209"/>
      <c r="E93" s="107" t="s">
        <v>786</v>
      </c>
      <c r="F93" s="107"/>
      <c r="G93" s="107"/>
      <c r="H93" s="107">
        <v>4</v>
      </c>
      <c r="I93" s="127">
        <f t="shared" si="41"/>
        <v>118</v>
      </c>
      <c r="J93" s="127">
        <f t="shared" si="42"/>
        <v>115</v>
      </c>
      <c r="K93" s="137" t="s">
        <v>783</v>
      </c>
      <c r="L93" s="137" t="s">
        <v>785</v>
      </c>
      <c r="M93" s="110" t="s">
        <v>789</v>
      </c>
      <c r="N93" s="140"/>
      <c r="O93" s="107"/>
      <c r="P93" s="136"/>
      <c r="Q93" s="107"/>
      <c r="R93" s="107"/>
      <c r="S93" s="107"/>
      <c r="T93" s="107"/>
      <c r="U93" s="107"/>
      <c r="V93" s="107"/>
      <c r="W93" s="107"/>
      <c r="X93" s="107">
        <v>4</v>
      </c>
      <c r="Y93" s="127">
        <f t="shared" si="47"/>
        <v>1014</v>
      </c>
      <c r="Z93" s="127">
        <f t="shared" si="48"/>
        <v>1011</v>
      </c>
      <c r="AA93" s="215"/>
    </row>
    <row r="94" spans="1:27" s="128" customFormat="1">
      <c r="A94" s="203"/>
      <c r="B94" s="203"/>
      <c r="C94" s="209"/>
      <c r="D94" s="209"/>
      <c r="E94" s="107" t="s">
        <v>787</v>
      </c>
      <c r="F94" s="107"/>
      <c r="G94" s="107"/>
      <c r="H94" s="107">
        <v>4</v>
      </c>
      <c r="I94" s="127">
        <f t="shared" si="41"/>
        <v>122</v>
      </c>
      <c r="J94" s="127">
        <f t="shared" si="42"/>
        <v>119</v>
      </c>
      <c r="K94" s="137" t="s">
        <v>783</v>
      </c>
      <c r="L94" s="137" t="s">
        <v>785</v>
      </c>
      <c r="M94" s="110" t="s">
        <v>790</v>
      </c>
      <c r="N94" s="140"/>
      <c r="O94" s="107"/>
      <c r="P94" s="136"/>
      <c r="Q94" s="107"/>
      <c r="R94" s="107"/>
      <c r="S94" s="107"/>
      <c r="T94" s="107"/>
      <c r="U94" s="107"/>
      <c r="V94" s="107"/>
      <c r="W94" s="107"/>
      <c r="X94" s="107">
        <v>4</v>
      </c>
      <c r="Y94" s="127">
        <f t="shared" si="47"/>
        <v>1018</v>
      </c>
      <c r="Z94" s="127">
        <f t="shared" si="48"/>
        <v>1015</v>
      </c>
      <c r="AA94" s="215"/>
    </row>
    <row r="95" spans="1:27" s="128" customFormat="1">
      <c r="A95" s="203"/>
      <c r="B95" s="203"/>
      <c r="C95" s="209"/>
      <c r="D95" s="209"/>
      <c r="E95" s="107" t="s">
        <v>980</v>
      </c>
      <c r="F95" s="107"/>
      <c r="G95" s="107"/>
      <c r="H95" s="107">
        <v>1</v>
      </c>
      <c r="I95" s="127">
        <f t="shared" ref="I95" si="49">J95+H95-1</f>
        <v>123</v>
      </c>
      <c r="J95" s="127">
        <f t="shared" ref="J95" si="50">I94+1</f>
        <v>123</v>
      </c>
      <c r="K95" s="137" t="s">
        <v>7</v>
      </c>
      <c r="L95" s="137" t="s">
        <v>982</v>
      </c>
      <c r="M95" s="110" t="s">
        <v>981</v>
      </c>
      <c r="N95" s="140"/>
      <c r="O95" s="107"/>
      <c r="P95" s="136"/>
      <c r="Q95" s="107"/>
      <c r="R95" s="107"/>
      <c r="S95" s="107"/>
      <c r="T95" s="107"/>
      <c r="U95" s="107"/>
      <c r="V95" s="107"/>
      <c r="W95" s="107"/>
      <c r="X95" s="107">
        <v>1</v>
      </c>
      <c r="Y95" s="127">
        <f t="shared" si="47"/>
        <v>1019</v>
      </c>
      <c r="Z95" s="127">
        <f t="shared" si="48"/>
        <v>1019</v>
      </c>
      <c r="AA95" s="215"/>
    </row>
    <row r="96" spans="1:27" s="128" customFormat="1">
      <c r="A96" s="203"/>
      <c r="B96" s="203"/>
      <c r="C96" s="209"/>
      <c r="D96" s="209"/>
      <c r="E96" s="107" t="s">
        <v>1150</v>
      </c>
      <c r="F96" s="107"/>
      <c r="G96" s="107"/>
      <c r="H96" s="107">
        <v>1</v>
      </c>
      <c r="I96" s="127">
        <f t="shared" ref="I96" si="51">J96+H96-1</f>
        <v>124</v>
      </c>
      <c r="J96" s="127">
        <f t="shared" ref="J96" si="52">I95+1</f>
        <v>124</v>
      </c>
      <c r="K96" s="137" t="s">
        <v>7</v>
      </c>
      <c r="L96" s="137" t="s">
        <v>784</v>
      </c>
      <c r="M96" s="110" t="s">
        <v>1150</v>
      </c>
      <c r="N96" s="140"/>
      <c r="O96" s="107"/>
      <c r="P96" s="136"/>
      <c r="Q96" s="107"/>
      <c r="R96" s="107"/>
      <c r="S96" s="107"/>
      <c r="T96" s="107"/>
      <c r="U96" s="107"/>
      <c r="V96" s="107"/>
      <c r="W96" s="107"/>
      <c r="X96" s="107">
        <v>1</v>
      </c>
      <c r="Y96" s="127">
        <f t="shared" si="47"/>
        <v>1020</v>
      </c>
      <c r="Z96" s="127">
        <f t="shared" si="48"/>
        <v>1020</v>
      </c>
      <c r="AA96" s="215"/>
    </row>
    <row r="97" spans="1:27" s="128" customFormat="1">
      <c r="A97" s="204"/>
      <c r="B97" s="204"/>
      <c r="C97" s="209"/>
      <c r="D97" s="209"/>
      <c r="E97" s="107" t="s">
        <v>725</v>
      </c>
      <c r="F97" s="107"/>
      <c r="G97" s="107"/>
      <c r="H97" s="107">
        <v>3</v>
      </c>
      <c r="I97" s="127">
        <f t="shared" ref="I97" si="53">J97+H97-1</f>
        <v>127</v>
      </c>
      <c r="J97" s="127">
        <f t="shared" ref="J97" si="54">I96+1</f>
        <v>125</v>
      </c>
      <c r="K97" s="137" t="s">
        <v>28</v>
      </c>
      <c r="L97" s="137" t="s">
        <v>792</v>
      </c>
      <c r="M97" s="110" t="s">
        <v>719</v>
      </c>
      <c r="N97" s="140"/>
      <c r="O97" s="107"/>
      <c r="P97" s="136"/>
      <c r="Q97" s="107"/>
      <c r="R97" s="107"/>
      <c r="S97" s="107"/>
      <c r="T97" s="107"/>
      <c r="U97" s="107"/>
      <c r="V97" s="107"/>
      <c r="W97" s="107"/>
      <c r="X97" s="107">
        <v>3</v>
      </c>
      <c r="Y97" s="127">
        <f t="shared" si="47"/>
        <v>1023</v>
      </c>
      <c r="Z97" s="127">
        <f t="shared" si="48"/>
        <v>1021</v>
      </c>
      <c r="AA97" s="216"/>
    </row>
    <row r="98" spans="1:27" s="135" customFormat="1" ht="17" customHeight="1">
      <c r="A98" s="171" t="s">
        <v>1105</v>
      </c>
      <c r="B98" s="171" t="s">
        <v>1106</v>
      </c>
      <c r="C98" s="173" t="s">
        <v>54</v>
      </c>
      <c r="D98" s="173"/>
      <c r="E98" s="127" t="s">
        <v>726</v>
      </c>
      <c r="F98" s="127"/>
      <c r="G98" s="127"/>
      <c r="H98" s="127">
        <v>128</v>
      </c>
      <c r="I98" s="142">
        <f t="shared" si="41"/>
        <v>127</v>
      </c>
      <c r="J98" s="142">
        <v>0</v>
      </c>
      <c r="K98" s="127" t="s">
        <v>28</v>
      </c>
      <c r="L98" s="127" t="s">
        <v>1013</v>
      </c>
      <c r="M98" s="164" t="s">
        <v>719</v>
      </c>
      <c r="N98" s="182"/>
      <c r="O98" s="127"/>
      <c r="P98" s="138"/>
      <c r="Q98" s="127"/>
      <c r="R98" s="127"/>
      <c r="S98" s="127"/>
      <c r="T98" s="127"/>
      <c r="U98" s="127"/>
      <c r="V98" s="127"/>
      <c r="W98" s="127"/>
      <c r="X98" s="127">
        <v>128</v>
      </c>
      <c r="Y98" s="142">
        <f t="shared" si="47"/>
        <v>127</v>
      </c>
      <c r="Z98" s="142">
        <v>0</v>
      </c>
      <c r="AA98" s="219" t="s">
        <v>902</v>
      </c>
    </row>
    <row r="99" spans="1:27" s="128" customFormat="1" ht="16.3">
      <c r="A99" s="171" t="s">
        <v>1107</v>
      </c>
      <c r="B99" s="171" t="s">
        <v>1108</v>
      </c>
      <c r="C99" s="173" t="s">
        <v>1015</v>
      </c>
      <c r="D99" s="174"/>
      <c r="E99" s="166" t="s">
        <v>995</v>
      </c>
      <c r="F99" s="166"/>
      <c r="G99" s="166"/>
      <c r="H99" s="127">
        <v>128</v>
      </c>
      <c r="I99" s="142">
        <f t="shared" ref="I99" si="55">J99+H99-1</f>
        <v>127</v>
      </c>
      <c r="J99" s="142">
        <v>0</v>
      </c>
      <c r="K99" s="127" t="s">
        <v>28</v>
      </c>
      <c r="L99" s="127" t="s">
        <v>1013</v>
      </c>
      <c r="M99" s="167" t="s">
        <v>996</v>
      </c>
      <c r="N99" s="182"/>
      <c r="O99" s="127"/>
      <c r="P99" s="138"/>
      <c r="Q99" s="127"/>
      <c r="R99" s="127"/>
      <c r="S99" s="127"/>
      <c r="T99" s="127"/>
      <c r="U99" s="127"/>
      <c r="V99" s="127"/>
      <c r="W99" s="127"/>
      <c r="X99" s="127">
        <v>128</v>
      </c>
      <c r="Y99" s="142">
        <f t="shared" si="47"/>
        <v>255</v>
      </c>
      <c r="Z99" s="142">
        <f t="shared" ref="Z99:Z144" si="56">Y98+1</f>
        <v>128</v>
      </c>
      <c r="AA99" s="219"/>
    </row>
    <row r="100" spans="1:27" s="163" customFormat="1" ht="50.95" customHeight="1">
      <c r="A100" s="175" t="s">
        <v>1109</v>
      </c>
      <c r="B100" s="175" t="s">
        <v>1110</v>
      </c>
      <c r="C100" s="176" t="s">
        <v>889</v>
      </c>
      <c r="D100" s="176"/>
      <c r="E100" s="110" t="s">
        <v>991</v>
      </c>
      <c r="F100" s="110"/>
      <c r="G100" s="110"/>
      <c r="H100" s="164">
        <v>128</v>
      </c>
      <c r="I100" s="168">
        <f t="shared" si="41"/>
        <v>127</v>
      </c>
      <c r="J100" s="168">
        <v>0</v>
      </c>
      <c r="K100" s="169" t="s">
        <v>7</v>
      </c>
      <c r="L100" s="169" t="s">
        <v>989</v>
      </c>
      <c r="M100" s="167" t="s">
        <v>990</v>
      </c>
      <c r="N100" s="140"/>
      <c r="O100" s="107"/>
      <c r="P100" s="136"/>
      <c r="Q100" s="107"/>
      <c r="R100" s="107"/>
      <c r="S100" s="107"/>
      <c r="T100" s="107"/>
      <c r="U100" s="107"/>
      <c r="V100" s="107"/>
      <c r="W100" s="107"/>
      <c r="X100" s="164">
        <v>128</v>
      </c>
      <c r="Y100" s="168">
        <f t="shared" si="47"/>
        <v>383</v>
      </c>
      <c r="Z100" s="168">
        <f t="shared" si="56"/>
        <v>256</v>
      </c>
      <c r="AA100" s="219"/>
    </row>
    <row r="101" spans="1:27" s="128" customFormat="1" ht="16.149999999999999" customHeight="1">
      <c r="A101" s="208" t="s">
        <v>1111</v>
      </c>
      <c r="B101" s="208" t="s">
        <v>1112</v>
      </c>
      <c r="C101" s="218" t="s">
        <v>890</v>
      </c>
      <c r="D101" s="174"/>
      <c r="E101" s="166" t="s">
        <v>904</v>
      </c>
      <c r="F101" s="166"/>
      <c r="G101" s="166"/>
      <c r="H101" s="127">
        <v>1</v>
      </c>
      <c r="I101" s="142">
        <f t="shared" ref="I101:I105" si="57">J101+H101-1</f>
        <v>0</v>
      </c>
      <c r="J101" s="142">
        <v>0</v>
      </c>
      <c r="K101" s="141" t="s">
        <v>7</v>
      </c>
      <c r="L101" s="141" t="s">
        <v>911</v>
      </c>
      <c r="M101" s="167"/>
      <c r="N101" s="183"/>
      <c r="O101" s="110"/>
      <c r="P101" s="184"/>
      <c r="Q101" s="110"/>
      <c r="R101" s="110"/>
      <c r="S101" s="110"/>
      <c r="T101" s="110"/>
      <c r="U101" s="110"/>
      <c r="V101" s="110"/>
      <c r="W101" s="110"/>
      <c r="X101" s="127">
        <v>1</v>
      </c>
      <c r="Y101" s="142">
        <f t="shared" si="47"/>
        <v>384</v>
      </c>
      <c r="Z101" s="142">
        <f t="shared" si="56"/>
        <v>384</v>
      </c>
      <c r="AA101" s="219"/>
    </row>
    <row r="102" spans="1:27" s="128" customFormat="1" ht="16.149999999999999" customHeight="1">
      <c r="A102" s="208"/>
      <c r="B102" s="208"/>
      <c r="C102" s="218"/>
      <c r="D102" s="174"/>
      <c r="E102" s="127" t="s">
        <v>905</v>
      </c>
      <c r="F102" s="127"/>
      <c r="G102" s="127"/>
      <c r="H102" s="127">
        <v>3</v>
      </c>
      <c r="I102" s="142">
        <f t="shared" si="57"/>
        <v>3</v>
      </c>
      <c r="J102" s="142">
        <f t="shared" ref="J102:J105" si="58">I101+1</f>
        <v>1</v>
      </c>
      <c r="K102" s="141" t="s">
        <v>7</v>
      </c>
      <c r="L102" s="141" t="s">
        <v>912</v>
      </c>
      <c r="M102" s="167"/>
      <c r="N102" s="140"/>
      <c r="O102" s="107"/>
      <c r="P102" s="136"/>
      <c r="Q102" s="107"/>
      <c r="R102" s="107"/>
      <c r="S102" s="107"/>
      <c r="T102" s="107"/>
      <c r="U102" s="107"/>
      <c r="V102" s="107"/>
      <c r="W102" s="107"/>
      <c r="X102" s="127">
        <v>3</v>
      </c>
      <c r="Y102" s="142">
        <f t="shared" si="47"/>
        <v>387</v>
      </c>
      <c r="Z102" s="142">
        <f t="shared" si="56"/>
        <v>385</v>
      </c>
      <c r="AA102" s="219"/>
    </row>
    <row r="103" spans="1:27" s="128" customFormat="1" ht="16.149999999999999" customHeight="1">
      <c r="A103" s="208"/>
      <c r="B103" s="208"/>
      <c r="C103" s="218"/>
      <c r="D103" s="174"/>
      <c r="E103" s="127" t="s">
        <v>907</v>
      </c>
      <c r="F103" s="127"/>
      <c r="G103" s="127"/>
      <c r="H103" s="127">
        <v>20</v>
      </c>
      <c r="I103" s="142">
        <f t="shared" si="57"/>
        <v>23</v>
      </c>
      <c r="J103" s="142">
        <f t="shared" si="58"/>
        <v>4</v>
      </c>
      <c r="K103" s="141" t="s">
        <v>7</v>
      </c>
      <c r="L103" s="141" t="s">
        <v>913</v>
      </c>
      <c r="M103" s="167"/>
      <c r="N103" s="140"/>
      <c r="O103" s="107"/>
      <c r="P103" s="136"/>
      <c r="Q103" s="107"/>
      <c r="R103" s="107"/>
      <c r="S103" s="107"/>
      <c r="T103" s="107"/>
      <c r="U103" s="107"/>
      <c r="V103" s="107"/>
      <c r="W103" s="107"/>
      <c r="X103" s="127">
        <v>20</v>
      </c>
      <c r="Y103" s="142">
        <f t="shared" si="47"/>
        <v>407</v>
      </c>
      <c r="Z103" s="142">
        <f t="shared" si="56"/>
        <v>388</v>
      </c>
      <c r="AA103" s="219"/>
    </row>
    <row r="104" spans="1:27" s="128" customFormat="1" ht="16.149999999999999" customHeight="1">
      <c r="A104" s="208"/>
      <c r="B104" s="208"/>
      <c r="C104" s="218"/>
      <c r="D104" s="174"/>
      <c r="E104" s="127" t="s">
        <v>906</v>
      </c>
      <c r="F104" s="127"/>
      <c r="G104" s="127"/>
      <c r="H104" s="127">
        <v>8</v>
      </c>
      <c r="I104" s="142">
        <f t="shared" si="57"/>
        <v>31</v>
      </c>
      <c r="J104" s="142">
        <f t="shared" si="58"/>
        <v>24</v>
      </c>
      <c r="K104" s="141" t="s">
        <v>7</v>
      </c>
      <c r="L104" s="141" t="s">
        <v>914</v>
      </c>
      <c r="M104" s="167"/>
      <c r="N104" s="140"/>
      <c r="O104" s="107"/>
      <c r="P104" s="136"/>
      <c r="Q104" s="107"/>
      <c r="R104" s="107"/>
      <c r="S104" s="107"/>
      <c r="T104" s="107"/>
      <c r="U104" s="107"/>
      <c r="V104" s="107"/>
      <c r="W104" s="107"/>
      <c r="X104" s="127">
        <v>8</v>
      </c>
      <c r="Y104" s="142">
        <f t="shared" si="47"/>
        <v>415</v>
      </c>
      <c r="Z104" s="142">
        <f t="shared" si="56"/>
        <v>408</v>
      </c>
      <c r="AA104" s="219"/>
    </row>
    <row r="105" spans="1:27" s="128" customFormat="1" ht="16.149999999999999" customHeight="1">
      <c r="A105" s="208"/>
      <c r="B105" s="208"/>
      <c r="C105" s="218"/>
      <c r="D105" s="174"/>
      <c r="E105" s="127" t="s">
        <v>908</v>
      </c>
      <c r="F105" s="127"/>
      <c r="G105" s="127"/>
      <c r="H105" s="127">
        <v>92</v>
      </c>
      <c r="I105" s="142">
        <f t="shared" si="57"/>
        <v>123</v>
      </c>
      <c r="J105" s="142">
        <f t="shared" si="58"/>
        <v>32</v>
      </c>
      <c r="K105" s="141" t="s">
        <v>7</v>
      </c>
      <c r="L105" s="141" t="s">
        <v>915</v>
      </c>
      <c r="M105" s="167"/>
      <c r="N105" s="140"/>
      <c r="O105" s="107"/>
      <c r="P105" s="136"/>
      <c r="Q105" s="107"/>
      <c r="R105" s="107"/>
      <c r="S105" s="107"/>
      <c r="T105" s="107"/>
      <c r="U105" s="107"/>
      <c r="V105" s="107"/>
      <c r="W105" s="107"/>
      <c r="X105" s="127">
        <v>92</v>
      </c>
      <c r="Y105" s="142">
        <f t="shared" si="47"/>
        <v>507</v>
      </c>
      <c r="Z105" s="142">
        <f t="shared" si="56"/>
        <v>416</v>
      </c>
      <c r="AA105" s="219"/>
    </row>
    <row r="106" spans="1:27" s="128" customFormat="1" ht="16.149999999999999" customHeight="1">
      <c r="A106" s="208"/>
      <c r="B106" s="208"/>
      <c r="C106" s="218"/>
      <c r="D106" s="174"/>
      <c r="E106" s="127" t="s">
        <v>909</v>
      </c>
      <c r="F106" s="127"/>
      <c r="G106" s="127"/>
      <c r="H106" s="127">
        <v>4</v>
      </c>
      <c r="I106" s="142">
        <f t="shared" ref="I106:I107" si="59">J106+H106-1</f>
        <v>127</v>
      </c>
      <c r="J106" s="142">
        <f t="shared" ref="J106" si="60">I105+1</f>
        <v>124</v>
      </c>
      <c r="K106" s="141" t="s">
        <v>992</v>
      </c>
      <c r="L106" s="141" t="s">
        <v>916</v>
      </c>
      <c r="M106" s="167" t="s">
        <v>22</v>
      </c>
      <c r="N106" s="140"/>
      <c r="O106" s="107"/>
      <c r="P106" s="136"/>
      <c r="Q106" s="107"/>
      <c r="R106" s="107"/>
      <c r="S106" s="107"/>
      <c r="T106" s="107"/>
      <c r="U106" s="107"/>
      <c r="V106" s="107"/>
      <c r="W106" s="107"/>
      <c r="X106" s="127">
        <v>4</v>
      </c>
      <c r="Y106" s="142">
        <f t="shared" si="47"/>
        <v>511</v>
      </c>
      <c r="Z106" s="142">
        <f t="shared" si="56"/>
        <v>508</v>
      </c>
      <c r="AA106" s="219"/>
    </row>
    <row r="107" spans="1:27" s="128" customFormat="1" ht="17" customHeight="1">
      <c r="A107" s="208" t="s">
        <v>1113</v>
      </c>
      <c r="B107" s="208" t="s">
        <v>1114</v>
      </c>
      <c r="C107" s="210" t="s">
        <v>56</v>
      </c>
      <c r="D107" s="210" t="s">
        <v>57</v>
      </c>
      <c r="E107" s="127" t="s">
        <v>58</v>
      </c>
      <c r="F107" s="127"/>
      <c r="G107" s="127"/>
      <c r="H107" s="127">
        <v>1</v>
      </c>
      <c r="I107" s="142">
        <f t="shared" si="59"/>
        <v>0</v>
      </c>
      <c r="J107" s="142">
        <v>0</v>
      </c>
      <c r="K107" s="127" t="s">
        <v>7</v>
      </c>
      <c r="L107" s="127" t="s">
        <v>26</v>
      </c>
      <c r="M107" s="164" t="s">
        <v>59</v>
      </c>
      <c r="N107" s="140"/>
      <c r="O107" s="107"/>
      <c r="P107" s="136"/>
      <c r="Q107" s="107"/>
      <c r="R107" s="107"/>
      <c r="S107" s="107"/>
      <c r="T107" s="107"/>
      <c r="U107" s="107"/>
      <c r="V107" s="107"/>
      <c r="W107" s="107"/>
      <c r="X107" s="127">
        <v>1</v>
      </c>
      <c r="Y107" s="142">
        <f t="shared" si="47"/>
        <v>512</v>
      </c>
      <c r="Z107" s="142">
        <f t="shared" si="56"/>
        <v>512</v>
      </c>
      <c r="AA107" s="219"/>
    </row>
    <row r="108" spans="1:27" s="128" customFormat="1" ht="17" customHeight="1">
      <c r="A108" s="208"/>
      <c r="B108" s="208"/>
      <c r="C108" s="210"/>
      <c r="D108" s="210"/>
      <c r="E108" s="127" t="s">
        <v>60</v>
      </c>
      <c r="F108" s="127"/>
      <c r="G108" s="127"/>
      <c r="H108" s="127">
        <v>1</v>
      </c>
      <c r="I108" s="142">
        <f t="shared" si="41"/>
        <v>1</v>
      </c>
      <c r="J108" s="142">
        <f t="shared" si="42"/>
        <v>1</v>
      </c>
      <c r="K108" s="127" t="s">
        <v>7</v>
      </c>
      <c r="L108" s="127" t="s">
        <v>26</v>
      </c>
      <c r="M108" s="164" t="s">
        <v>61</v>
      </c>
      <c r="N108" s="140"/>
      <c r="O108" s="107"/>
      <c r="P108" s="136"/>
      <c r="Q108" s="107"/>
      <c r="R108" s="107"/>
      <c r="S108" s="107"/>
      <c r="T108" s="107"/>
      <c r="U108" s="107"/>
      <c r="V108" s="107"/>
      <c r="W108" s="107"/>
      <c r="X108" s="127">
        <v>1</v>
      </c>
      <c r="Y108" s="142">
        <f t="shared" si="47"/>
        <v>513</v>
      </c>
      <c r="Z108" s="142">
        <f t="shared" si="56"/>
        <v>513</v>
      </c>
      <c r="AA108" s="219"/>
    </row>
    <row r="109" spans="1:27" s="128" customFormat="1" ht="17" customHeight="1">
      <c r="A109" s="208"/>
      <c r="B109" s="208"/>
      <c r="C109" s="210"/>
      <c r="D109" s="210"/>
      <c r="E109" s="127" t="s">
        <v>62</v>
      </c>
      <c r="F109" s="127"/>
      <c r="G109" s="127"/>
      <c r="H109" s="127">
        <v>1</v>
      </c>
      <c r="I109" s="142">
        <f t="shared" si="41"/>
        <v>2</v>
      </c>
      <c r="J109" s="142">
        <f t="shared" si="42"/>
        <v>2</v>
      </c>
      <c r="K109" s="127" t="s">
        <v>910</v>
      </c>
      <c r="L109" s="127" t="s">
        <v>26</v>
      </c>
      <c r="M109" s="164" t="s">
        <v>63</v>
      </c>
      <c r="N109" s="140"/>
      <c r="O109" s="107"/>
      <c r="P109" s="136"/>
      <c r="Q109" s="107"/>
      <c r="R109" s="107"/>
      <c r="S109" s="107"/>
      <c r="T109" s="107"/>
      <c r="U109" s="107"/>
      <c r="V109" s="107"/>
      <c r="W109" s="107"/>
      <c r="X109" s="127">
        <v>1</v>
      </c>
      <c r="Y109" s="142">
        <f t="shared" si="47"/>
        <v>514</v>
      </c>
      <c r="Z109" s="142">
        <f t="shared" si="56"/>
        <v>514</v>
      </c>
      <c r="AA109" s="219"/>
    </row>
    <row r="110" spans="1:27" s="128" customFormat="1" ht="17" customHeight="1">
      <c r="A110" s="208"/>
      <c r="B110" s="208"/>
      <c r="C110" s="210"/>
      <c r="D110" s="210"/>
      <c r="E110" s="127" t="s">
        <v>64</v>
      </c>
      <c r="F110" s="127"/>
      <c r="G110" s="127"/>
      <c r="H110" s="127">
        <v>1</v>
      </c>
      <c r="I110" s="142">
        <f t="shared" si="41"/>
        <v>3</v>
      </c>
      <c r="J110" s="142">
        <f t="shared" si="42"/>
        <v>3</v>
      </c>
      <c r="K110" s="127" t="s">
        <v>7</v>
      </c>
      <c r="L110" s="127" t="s">
        <v>26</v>
      </c>
      <c r="M110" s="164" t="s">
        <v>65</v>
      </c>
      <c r="N110" s="140"/>
      <c r="O110" s="107"/>
      <c r="P110" s="136"/>
      <c r="Q110" s="107"/>
      <c r="R110" s="107"/>
      <c r="S110" s="107"/>
      <c r="T110" s="107"/>
      <c r="U110" s="107"/>
      <c r="V110" s="107"/>
      <c r="W110" s="107"/>
      <c r="X110" s="127">
        <v>1</v>
      </c>
      <c r="Y110" s="142">
        <f t="shared" si="47"/>
        <v>515</v>
      </c>
      <c r="Z110" s="142">
        <f t="shared" si="56"/>
        <v>515</v>
      </c>
      <c r="AA110" s="219"/>
    </row>
    <row r="111" spans="1:27" s="128" customFormat="1" ht="17" customHeight="1">
      <c r="A111" s="208"/>
      <c r="B111" s="208"/>
      <c r="C111" s="210"/>
      <c r="D111" s="210"/>
      <c r="E111" s="127" t="s">
        <v>66</v>
      </c>
      <c r="F111" s="127"/>
      <c r="G111" s="127"/>
      <c r="H111" s="127">
        <v>4</v>
      </c>
      <c r="I111" s="142">
        <f t="shared" si="41"/>
        <v>7</v>
      </c>
      <c r="J111" s="142">
        <f t="shared" si="42"/>
        <v>4</v>
      </c>
      <c r="K111" s="127" t="s">
        <v>7</v>
      </c>
      <c r="L111" s="127" t="s">
        <v>55</v>
      </c>
      <c r="M111" s="164" t="s">
        <v>67</v>
      </c>
      <c r="N111" s="140"/>
      <c r="O111" s="107"/>
      <c r="P111" s="136"/>
      <c r="Q111" s="107"/>
      <c r="R111" s="107"/>
      <c r="S111" s="107"/>
      <c r="T111" s="107"/>
      <c r="U111" s="107"/>
      <c r="V111" s="107"/>
      <c r="W111" s="107"/>
      <c r="X111" s="127">
        <v>4</v>
      </c>
      <c r="Y111" s="142">
        <f t="shared" si="47"/>
        <v>519</v>
      </c>
      <c r="Z111" s="142">
        <f t="shared" si="56"/>
        <v>516</v>
      </c>
      <c r="AA111" s="219"/>
    </row>
    <row r="112" spans="1:27" s="128" customFormat="1" ht="17" customHeight="1">
      <c r="A112" s="208"/>
      <c r="B112" s="208"/>
      <c r="C112" s="210"/>
      <c r="D112" s="210"/>
      <c r="E112" s="127" t="s">
        <v>68</v>
      </c>
      <c r="F112" s="127"/>
      <c r="G112" s="127"/>
      <c r="H112" s="127">
        <v>4</v>
      </c>
      <c r="I112" s="142">
        <f t="shared" si="41"/>
        <v>11</v>
      </c>
      <c r="J112" s="142">
        <f t="shared" si="42"/>
        <v>8</v>
      </c>
      <c r="K112" s="127" t="s">
        <v>7</v>
      </c>
      <c r="L112" s="127" t="s">
        <v>55</v>
      </c>
      <c r="M112" s="164" t="s">
        <v>69</v>
      </c>
      <c r="N112" s="140"/>
      <c r="O112" s="107"/>
      <c r="P112" s="136"/>
      <c r="Q112" s="107"/>
      <c r="R112" s="107"/>
      <c r="S112" s="107"/>
      <c r="T112" s="107"/>
      <c r="U112" s="107"/>
      <c r="V112" s="107"/>
      <c r="W112" s="107"/>
      <c r="X112" s="127">
        <v>4</v>
      </c>
      <c r="Y112" s="142">
        <f t="shared" si="47"/>
        <v>523</v>
      </c>
      <c r="Z112" s="142">
        <f t="shared" si="56"/>
        <v>520</v>
      </c>
      <c r="AA112" s="219"/>
    </row>
    <row r="113" spans="1:27" s="128" customFormat="1" ht="17" customHeight="1">
      <c r="A113" s="208"/>
      <c r="B113" s="208"/>
      <c r="C113" s="210"/>
      <c r="D113" s="210"/>
      <c r="E113" s="127" t="s">
        <v>70</v>
      </c>
      <c r="F113" s="127"/>
      <c r="G113" s="127"/>
      <c r="H113" s="127">
        <v>4</v>
      </c>
      <c r="I113" s="142">
        <f t="shared" si="41"/>
        <v>15</v>
      </c>
      <c r="J113" s="142">
        <f t="shared" si="42"/>
        <v>12</v>
      </c>
      <c r="K113" s="127" t="s">
        <v>7</v>
      </c>
      <c r="L113" s="127" t="s">
        <v>55</v>
      </c>
      <c r="M113" s="164" t="s">
        <v>71</v>
      </c>
      <c r="N113" s="140"/>
      <c r="O113" s="107"/>
      <c r="P113" s="136"/>
      <c r="Q113" s="107"/>
      <c r="R113" s="107"/>
      <c r="S113" s="107"/>
      <c r="T113" s="107"/>
      <c r="U113" s="107"/>
      <c r="V113" s="107"/>
      <c r="W113" s="107"/>
      <c r="X113" s="127">
        <v>4</v>
      </c>
      <c r="Y113" s="142">
        <f t="shared" ref="Y113:Y144" si="61">Z113+X113-1</f>
        <v>527</v>
      </c>
      <c r="Z113" s="142">
        <f t="shared" si="56"/>
        <v>524</v>
      </c>
      <c r="AA113" s="219"/>
    </row>
    <row r="114" spans="1:27" s="128" customFormat="1" ht="17" customHeight="1">
      <c r="A114" s="208"/>
      <c r="B114" s="208"/>
      <c r="C114" s="210"/>
      <c r="D114" s="210"/>
      <c r="E114" s="127" t="s">
        <v>72</v>
      </c>
      <c r="F114" s="127"/>
      <c r="G114" s="127"/>
      <c r="H114" s="127">
        <v>16</v>
      </c>
      <c r="I114" s="142">
        <f t="shared" si="41"/>
        <v>31</v>
      </c>
      <c r="J114" s="142">
        <f t="shared" si="42"/>
        <v>16</v>
      </c>
      <c r="K114" s="127" t="s">
        <v>7</v>
      </c>
      <c r="L114" s="127" t="s">
        <v>46</v>
      </c>
      <c r="M114" s="164" t="s">
        <v>73</v>
      </c>
      <c r="N114" s="140"/>
      <c r="O114" s="107"/>
      <c r="P114" s="136"/>
      <c r="Q114" s="107"/>
      <c r="R114" s="107"/>
      <c r="S114" s="107"/>
      <c r="T114" s="107"/>
      <c r="U114" s="107"/>
      <c r="V114" s="107"/>
      <c r="W114" s="107"/>
      <c r="X114" s="127">
        <v>16</v>
      </c>
      <c r="Y114" s="142">
        <f t="shared" si="61"/>
        <v>543</v>
      </c>
      <c r="Z114" s="142">
        <f t="shared" si="56"/>
        <v>528</v>
      </c>
      <c r="AA114" s="219"/>
    </row>
    <row r="115" spans="1:27" s="128" customFormat="1" ht="17" customHeight="1">
      <c r="A115" s="208"/>
      <c r="B115" s="208"/>
      <c r="C115" s="210"/>
      <c r="D115" s="210"/>
      <c r="E115" s="127" t="s">
        <v>74</v>
      </c>
      <c r="F115" s="127"/>
      <c r="G115" s="127"/>
      <c r="H115" s="127">
        <v>32</v>
      </c>
      <c r="I115" s="142">
        <f t="shared" si="41"/>
        <v>63</v>
      </c>
      <c r="J115" s="142">
        <f t="shared" si="42"/>
        <v>32</v>
      </c>
      <c r="K115" s="127" t="s">
        <v>7</v>
      </c>
      <c r="L115" s="127" t="s">
        <v>75</v>
      </c>
      <c r="M115" s="164" t="s">
        <v>76</v>
      </c>
      <c r="N115" s="140"/>
      <c r="O115" s="107"/>
      <c r="P115" s="136"/>
      <c r="Q115" s="107"/>
      <c r="R115" s="107"/>
      <c r="S115" s="107"/>
      <c r="T115" s="107"/>
      <c r="U115" s="107"/>
      <c r="V115" s="107"/>
      <c r="W115" s="107"/>
      <c r="X115" s="127">
        <v>32</v>
      </c>
      <c r="Y115" s="142">
        <f t="shared" si="61"/>
        <v>575</v>
      </c>
      <c r="Z115" s="142">
        <f t="shared" si="56"/>
        <v>544</v>
      </c>
      <c r="AA115" s="219"/>
    </row>
    <row r="116" spans="1:27" s="128" customFormat="1">
      <c r="A116" s="208" t="s">
        <v>1115</v>
      </c>
      <c r="B116" s="208" t="s">
        <v>1116</v>
      </c>
      <c r="C116" s="210"/>
      <c r="D116" s="210" t="s">
        <v>77</v>
      </c>
      <c r="E116" s="127" t="s">
        <v>78</v>
      </c>
      <c r="F116" s="127"/>
      <c r="G116" s="127"/>
      <c r="H116" s="127">
        <v>1</v>
      </c>
      <c r="I116" s="142">
        <f t="shared" si="41"/>
        <v>64</v>
      </c>
      <c r="J116" s="142">
        <f t="shared" si="42"/>
        <v>64</v>
      </c>
      <c r="K116" s="127" t="s">
        <v>739</v>
      </c>
      <c r="L116" s="127" t="s">
        <v>993</v>
      </c>
      <c r="M116" s="164"/>
      <c r="N116" s="140"/>
      <c r="O116" s="107"/>
      <c r="P116" s="136"/>
      <c r="Q116" s="107"/>
      <c r="R116" s="107"/>
      <c r="S116" s="107"/>
      <c r="T116" s="107"/>
      <c r="U116" s="107"/>
      <c r="V116" s="107"/>
      <c r="W116" s="107"/>
      <c r="X116" s="127">
        <v>1</v>
      </c>
      <c r="Y116" s="142">
        <f t="shared" si="61"/>
        <v>576</v>
      </c>
      <c r="Z116" s="142">
        <f t="shared" si="56"/>
        <v>576</v>
      </c>
      <c r="AA116" s="219"/>
    </row>
    <row r="117" spans="1:27" s="128" customFormat="1">
      <c r="A117" s="208"/>
      <c r="B117" s="208"/>
      <c r="C117" s="210"/>
      <c r="D117" s="210"/>
      <c r="E117" s="127" t="s">
        <v>79</v>
      </c>
      <c r="F117" s="127"/>
      <c r="G117" s="127"/>
      <c r="H117" s="127">
        <v>1</v>
      </c>
      <c r="I117" s="142">
        <f t="shared" si="41"/>
        <v>65</v>
      </c>
      <c r="J117" s="142">
        <f t="shared" si="42"/>
        <v>65</v>
      </c>
      <c r="K117" s="127" t="s">
        <v>910</v>
      </c>
      <c r="L117" s="127" t="s">
        <v>911</v>
      </c>
      <c r="M117" s="164"/>
      <c r="N117" s="140"/>
      <c r="O117" s="107"/>
      <c r="P117" s="136"/>
      <c r="Q117" s="107"/>
      <c r="R117" s="107"/>
      <c r="S117" s="107"/>
      <c r="T117" s="107"/>
      <c r="U117" s="107"/>
      <c r="V117" s="107"/>
      <c r="W117" s="107"/>
      <c r="X117" s="127">
        <v>1</v>
      </c>
      <c r="Y117" s="142">
        <f t="shared" si="61"/>
        <v>577</v>
      </c>
      <c r="Z117" s="142">
        <f t="shared" si="56"/>
        <v>577</v>
      </c>
      <c r="AA117" s="219"/>
    </row>
    <row r="118" spans="1:27" s="128" customFormat="1">
      <c r="A118" s="208"/>
      <c r="B118" s="208"/>
      <c r="C118" s="210"/>
      <c r="D118" s="210"/>
      <c r="E118" s="127" t="s">
        <v>1193</v>
      </c>
      <c r="F118" s="127"/>
      <c r="G118" s="127"/>
      <c r="H118" s="127">
        <v>4</v>
      </c>
      <c r="I118" s="142">
        <f t="shared" si="41"/>
        <v>69</v>
      </c>
      <c r="J118" s="142">
        <f t="shared" si="42"/>
        <v>66</v>
      </c>
      <c r="K118" s="127" t="s">
        <v>910</v>
      </c>
      <c r="L118" s="127" t="s">
        <v>771</v>
      </c>
      <c r="M118" s="164"/>
      <c r="N118" s="140"/>
      <c r="O118" s="107"/>
      <c r="P118" s="136"/>
      <c r="Q118" s="107"/>
      <c r="R118" s="107"/>
      <c r="S118" s="107"/>
      <c r="T118" s="107"/>
      <c r="U118" s="107"/>
      <c r="V118" s="107"/>
      <c r="W118" s="107"/>
      <c r="X118" s="127">
        <v>4</v>
      </c>
      <c r="Y118" s="142">
        <f t="shared" si="61"/>
        <v>581</v>
      </c>
      <c r="Z118" s="142">
        <f t="shared" si="56"/>
        <v>578</v>
      </c>
      <c r="AA118" s="219"/>
    </row>
    <row r="119" spans="1:27" s="128" customFormat="1">
      <c r="A119" s="208"/>
      <c r="B119" s="208"/>
      <c r="C119" s="210"/>
      <c r="D119" s="210"/>
      <c r="E119" s="127" t="s">
        <v>1001</v>
      </c>
      <c r="F119" s="127"/>
      <c r="G119" s="127"/>
      <c r="H119" s="127">
        <v>36</v>
      </c>
      <c r="I119" s="142">
        <f t="shared" ref="I119:I121" si="62">J119+H119-1</f>
        <v>105</v>
      </c>
      <c r="J119" s="142">
        <f t="shared" ref="J119:J121" si="63">I118+1</f>
        <v>70</v>
      </c>
      <c r="K119" s="127" t="s">
        <v>28</v>
      </c>
      <c r="L119" s="127" t="s">
        <v>1003</v>
      </c>
      <c r="M119" s="164" t="s">
        <v>1000</v>
      </c>
      <c r="N119" s="140"/>
      <c r="O119" s="107"/>
      <c r="P119" s="136"/>
      <c r="Q119" s="107"/>
      <c r="R119" s="107"/>
      <c r="S119" s="107"/>
      <c r="T119" s="107"/>
      <c r="U119" s="107"/>
      <c r="V119" s="107"/>
      <c r="W119" s="107"/>
      <c r="X119" s="127">
        <v>36</v>
      </c>
      <c r="Y119" s="142">
        <f t="shared" si="61"/>
        <v>617</v>
      </c>
      <c r="Z119" s="142">
        <f t="shared" si="56"/>
        <v>582</v>
      </c>
      <c r="AA119" s="219"/>
    </row>
    <row r="120" spans="1:27" s="128" customFormat="1">
      <c r="A120" s="208"/>
      <c r="B120" s="208"/>
      <c r="C120" s="210"/>
      <c r="D120" s="210"/>
      <c r="E120" s="127" t="s">
        <v>1004</v>
      </c>
      <c r="F120" s="127"/>
      <c r="G120" s="127"/>
      <c r="H120" s="127">
        <v>10</v>
      </c>
      <c r="I120" s="142">
        <f t="shared" si="62"/>
        <v>115</v>
      </c>
      <c r="J120" s="142">
        <f t="shared" si="63"/>
        <v>106</v>
      </c>
      <c r="K120" s="127" t="s">
        <v>7</v>
      </c>
      <c r="L120" s="127" t="s">
        <v>1007</v>
      </c>
      <c r="M120" s="164"/>
      <c r="N120" s="140"/>
      <c r="O120" s="107"/>
      <c r="P120" s="136"/>
      <c r="Q120" s="107"/>
      <c r="R120" s="107"/>
      <c r="S120" s="107"/>
      <c r="T120" s="107"/>
      <c r="U120" s="107"/>
      <c r="V120" s="107"/>
      <c r="W120" s="107"/>
      <c r="X120" s="127">
        <v>10</v>
      </c>
      <c r="Y120" s="142">
        <f t="shared" si="61"/>
        <v>627</v>
      </c>
      <c r="Z120" s="142">
        <f t="shared" si="56"/>
        <v>618</v>
      </c>
      <c r="AA120" s="219"/>
    </row>
    <row r="121" spans="1:27" s="128" customFormat="1">
      <c r="A121" s="208"/>
      <c r="B121" s="208"/>
      <c r="C121" s="210"/>
      <c r="D121" s="210"/>
      <c r="E121" s="127" t="s">
        <v>1005</v>
      </c>
      <c r="F121" s="127"/>
      <c r="G121" s="127"/>
      <c r="H121" s="127">
        <v>12</v>
      </c>
      <c r="I121" s="142">
        <f t="shared" si="62"/>
        <v>127</v>
      </c>
      <c r="J121" s="142">
        <f t="shared" si="63"/>
        <v>116</v>
      </c>
      <c r="K121" s="127" t="s">
        <v>7</v>
      </c>
      <c r="L121" s="127" t="s">
        <v>1006</v>
      </c>
      <c r="M121" s="164"/>
      <c r="N121" s="140"/>
      <c r="O121" s="107"/>
      <c r="P121" s="136"/>
      <c r="Q121" s="107"/>
      <c r="R121" s="107"/>
      <c r="S121" s="107"/>
      <c r="T121" s="107"/>
      <c r="U121" s="107"/>
      <c r="V121" s="107"/>
      <c r="W121" s="107"/>
      <c r="X121" s="127">
        <v>12</v>
      </c>
      <c r="Y121" s="142">
        <f t="shared" si="61"/>
        <v>639</v>
      </c>
      <c r="Z121" s="142">
        <f t="shared" si="56"/>
        <v>628</v>
      </c>
      <c r="AA121" s="219"/>
    </row>
    <row r="122" spans="1:27" s="128" customFormat="1" ht="16.3">
      <c r="A122" s="170" t="s">
        <v>1117</v>
      </c>
      <c r="B122" s="170" t="s">
        <v>1118</v>
      </c>
      <c r="C122" s="210" t="s">
        <v>81</v>
      </c>
      <c r="D122" s="173" t="s">
        <v>82</v>
      </c>
      <c r="E122" s="127" t="s">
        <v>83</v>
      </c>
      <c r="F122" s="127"/>
      <c r="G122" s="127"/>
      <c r="H122" s="127">
        <v>64</v>
      </c>
      <c r="I122" s="142">
        <f t="shared" si="41"/>
        <v>63</v>
      </c>
      <c r="J122" s="142">
        <v>0</v>
      </c>
      <c r="K122" s="127" t="s">
        <v>7</v>
      </c>
      <c r="L122" s="127" t="s">
        <v>1002</v>
      </c>
      <c r="M122" s="164" t="s">
        <v>84</v>
      </c>
      <c r="N122" s="140"/>
      <c r="O122" s="107"/>
      <c r="P122" s="136"/>
      <c r="Q122" s="107"/>
      <c r="R122" s="107"/>
      <c r="S122" s="107"/>
      <c r="T122" s="107"/>
      <c r="U122" s="107"/>
      <c r="V122" s="107"/>
      <c r="W122" s="107"/>
      <c r="X122" s="127">
        <v>64</v>
      </c>
      <c r="Y122" s="142">
        <f t="shared" si="61"/>
        <v>703</v>
      </c>
      <c r="Z122" s="142">
        <f t="shared" si="56"/>
        <v>640</v>
      </c>
      <c r="AA122" s="219"/>
    </row>
    <row r="123" spans="1:27" s="128" customFormat="1" ht="16.3">
      <c r="A123" s="170" t="s">
        <v>1119</v>
      </c>
      <c r="B123" s="170" t="s">
        <v>1120</v>
      </c>
      <c r="C123" s="210"/>
      <c r="D123" s="173" t="s">
        <v>85</v>
      </c>
      <c r="E123" s="127" t="s">
        <v>86</v>
      </c>
      <c r="F123" s="127"/>
      <c r="G123" s="127"/>
      <c r="H123" s="127">
        <v>64</v>
      </c>
      <c r="I123" s="142">
        <f t="shared" si="41"/>
        <v>127</v>
      </c>
      <c r="J123" s="142">
        <f t="shared" si="42"/>
        <v>64</v>
      </c>
      <c r="K123" s="127" t="s">
        <v>7</v>
      </c>
      <c r="L123" s="127" t="s">
        <v>80</v>
      </c>
      <c r="M123" s="164" t="s">
        <v>87</v>
      </c>
      <c r="N123" s="140"/>
      <c r="O123" s="107"/>
      <c r="P123" s="136"/>
      <c r="Q123" s="107"/>
      <c r="R123" s="107"/>
      <c r="S123" s="107"/>
      <c r="T123" s="107"/>
      <c r="U123" s="107"/>
      <c r="V123" s="107"/>
      <c r="W123" s="107"/>
      <c r="X123" s="127">
        <v>64</v>
      </c>
      <c r="Y123" s="142">
        <f t="shared" si="61"/>
        <v>767</v>
      </c>
      <c r="Z123" s="142">
        <f t="shared" si="56"/>
        <v>704</v>
      </c>
      <c r="AA123" s="219"/>
    </row>
    <row r="124" spans="1:27" s="128" customFormat="1">
      <c r="A124" s="202" t="s">
        <v>1121</v>
      </c>
      <c r="B124" s="202" t="s">
        <v>1122</v>
      </c>
      <c r="C124" s="210" t="s">
        <v>1156</v>
      </c>
      <c r="D124" s="210" t="s">
        <v>1157</v>
      </c>
      <c r="E124" s="127" t="s">
        <v>1011</v>
      </c>
      <c r="F124" s="127"/>
      <c r="G124" s="127"/>
      <c r="H124" s="127">
        <v>1</v>
      </c>
      <c r="I124" s="142">
        <f>J124+H124-1</f>
        <v>0</v>
      </c>
      <c r="J124" s="142">
        <v>0</v>
      </c>
      <c r="K124" s="127" t="s">
        <v>7</v>
      </c>
      <c r="L124" s="127" t="s">
        <v>26</v>
      </c>
      <c r="M124" s="110" t="s">
        <v>1011</v>
      </c>
      <c r="N124" s="140"/>
      <c r="O124" s="107"/>
      <c r="P124" s="136"/>
      <c r="Q124" s="107"/>
      <c r="R124" s="107"/>
      <c r="S124" s="107"/>
      <c r="T124" s="107"/>
      <c r="U124" s="107"/>
      <c r="V124" s="107"/>
      <c r="W124" s="107"/>
      <c r="X124" s="127">
        <v>1</v>
      </c>
      <c r="Y124" s="142">
        <f t="shared" si="61"/>
        <v>768</v>
      </c>
      <c r="Z124" s="142">
        <f t="shared" si="56"/>
        <v>768</v>
      </c>
      <c r="AA124" s="219"/>
    </row>
    <row r="125" spans="1:27" s="128" customFormat="1">
      <c r="A125" s="203"/>
      <c r="B125" s="203"/>
      <c r="C125" s="210"/>
      <c r="D125" s="210"/>
      <c r="E125" s="127" t="s">
        <v>1012</v>
      </c>
      <c r="F125" s="127"/>
      <c r="G125" s="127"/>
      <c r="H125" s="127">
        <v>1</v>
      </c>
      <c r="I125" s="142">
        <f t="shared" ref="I125:I126" si="64">J125+H125-1</f>
        <v>1</v>
      </c>
      <c r="J125" s="142">
        <f t="shared" ref="J125:J126" si="65">I124+1</f>
        <v>1</v>
      </c>
      <c r="K125" s="127" t="s">
        <v>7</v>
      </c>
      <c r="L125" s="127" t="s">
        <v>26</v>
      </c>
      <c r="M125" s="164" t="s">
        <v>1012</v>
      </c>
      <c r="N125" s="140"/>
      <c r="O125" s="107"/>
      <c r="P125" s="136"/>
      <c r="Q125" s="107"/>
      <c r="R125" s="107"/>
      <c r="S125" s="107"/>
      <c r="T125" s="107"/>
      <c r="U125" s="107"/>
      <c r="V125" s="107"/>
      <c r="W125" s="107"/>
      <c r="X125" s="127">
        <v>1</v>
      </c>
      <c r="Y125" s="142">
        <f t="shared" si="61"/>
        <v>769</v>
      </c>
      <c r="Z125" s="142">
        <f t="shared" si="56"/>
        <v>769</v>
      </c>
      <c r="AA125" s="219"/>
    </row>
    <row r="126" spans="1:27" s="128" customFormat="1">
      <c r="A126" s="203"/>
      <c r="B126" s="203"/>
      <c r="C126" s="210"/>
      <c r="D126" s="210"/>
      <c r="E126" s="127" t="s">
        <v>937</v>
      </c>
      <c r="F126" s="127"/>
      <c r="G126" s="127"/>
      <c r="H126" s="127">
        <v>1</v>
      </c>
      <c r="I126" s="142">
        <f t="shared" si="64"/>
        <v>2</v>
      </c>
      <c r="J126" s="142">
        <f t="shared" si="65"/>
        <v>2</v>
      </c>
      <c r="K126" s="127" t="s">
        <v>7</v>
      </c>
      <c r="L126" s="127" t="s">
        <v>26</v>
      </c>
      <c r="M126" s="164" t="s">
        <v>945</v>
      </c>
      <c r="N126" s="140"/>
      <c r="O126" s="107"/>
      <c r="P126" s="136"/>
      <c r="Q126" s="107"/>
      <c r="R126" s="107"/>
      <c r="S126" s="107"/>
      <c r="T126" s="107"/>
      <c r="U126" s="107"/>
      <c r="V126" s="107"/>
      <c r="W126" s="107"/>
      <c r="X126" s="127">
        <v>1</v>
      </c>
      <c r="Y126" s="142">
        <f t="shared" si="61"/>
        <v>770</v>
      </c>
      <c r="Z126" s="142">
        <f t="shared" si="56"/>
        <v>770</v>
      </c>
      <c r="AA126" s="219"/>
    </row>
    <row r="127" spans="1:27" s="128" customFormat="1">
      <c r="A127" s="203"/>
      <c r="B127" s="203"/>
      <c r="C127" s="210"/>
      <c r="D127" s="210"/>
      <c r="E127" s="127" t="s">
        <v>927</v>
      </c>
      <c r="F127" s="127"/>
      <c r="G127" s="127"/>
      <c r="H127" s="127">
        <v>1</v>
      </c>
      <c r="I127" s="142">
        <f t="shared" ref="I127:I141" si="66">J127+H127-1</f>
        <v>3</v>
      </c>
      <c r="J127" s="142">
        <f t="shared" ref="J127:J141" si="67">I126+1</f>
        <v>3</v>
      </c>
      <c r="K127" s="127" t="s">
        <v>7</v>
      </c>
      <c r="L127" s="127" t="s">
        <v>940</v>
      </c>
      <c r="M127" s="164" t="s">
        <v>959</v>
      </c>
      <c r="N127" s="140"/>
      <c r="O127" s="107"/>
      <c r="P127" s="136"/>
      <c r="Q127" s="107"/>
      <c r="R127" s="107"/>
      <c r="S127" s="107"/>
      <c r="T127" s="107"/>
      <c r="U127" s="107"/>
      <c r="V127" s="107"/>
      <c r="W127" s="107"/>
      <c r="X127" s="127">
        <v>1</v>
      </c>
      <c r="Y127" s="142">
        <f t="shared" si="61"/>
        <v>771</v>
      </c>
      <c r="Z127" s="142">
        <f t="shared" si="56"/>
        <v>771</v>
      </c>
      <c r="AA127" s="219"/>
    </row>
    <row r="128" spans="1:27" s="128" customFormat="1">
      <c r="A128" s="203"/>
      <c r="B128" s="203"/>
      <c r="C128" s="210"/>
      <c r="D128" s="210"/>
      <c r="E128" s="127" t="s">
        <v>950</v>
      </c>
      <c r="F128" s="127"/>
      <c r="G128" s="127"/>
      <c r="H128" s="127">
        <v>1</v>
      </c>
      <c r="I128" s="142">
        <f t="shared" si="66"/>
        <v>4</v>
      </c>
      <c r="J128" s="142">
        <f t="shared" si="67"/>
        <v>4</v>
      </c>
      <c r="K128" s="127" t="s">
        <v>7</v>
      </c>
      <c r="L128" s="127" t="s">
        <v>846</v>
      </c>
      <c r="M128" s="164" t="s">
        <v>1174</v>
      </c>
      <c r="N128" s="140"/>
      <c r="O128" s="107"/>
      <c r="P128" s="136"/>
      <c r="Q128" s="107"/>
      <c r="R128" s="107"/>
      <c r="S128" s="107"/>
      <c r="T128" s="107"/>
      <c r="U128" s="107"/>
      <c r="V128" s="107"/>
      <c r="W128" s="107"/>
      <c r="X128" s="127">
        <v>1</v>
      </c>
      <c r="Y128" s="142">
        <f t="shared" si="61"/>
        <v>772</v>
      </c>
      <c r="Z128" s="142">
        <f t="shared" si="56"/>
        <v>772</v>
      </c>
      <c r="AA128" s="219"/>
    </row>
    <row r="129" spans="1:27" s="128" customFormat="1">
      <c r="A129" s="203"/>
      <c r="B129" s="203"/>
      <c r="C129" s="210"/>
      <c r="D129" s="210"/>
      <c r="E129" s="127" t="s">
        <v>932</v>
      </c>
      <c r="F129" s="127"/>
      <c r="G129" s="127"/>
      <c r="H129" s="127">
        <v>11</v>
      </c>
      <c r="I129" s="142">
        <f t="shared" si="66"/>
        <v>15</v>
      </c>
      <c r="J129" s="142">
        <f t="shared" si="67"/>
        <v>5</v>
      </c>
      <c r="K129" s="127" t="s">
        <v>28</v>
      </c>
      <c r="L129" s="127" t="s">
        <v>941</v>
      </c>
      <c r="M129" s="110" t="s">
        <v>957</v>
      </c>
      <c r="N129" s="140"/>
      <c r="O129" s="107"/>
      <c r="P129" s="136"/>
      <c r="Q129" s="107"/>
      <c r="R129" s="107"/>
      <c r="S129" s="107"/>
      <c r="T129" s="107"/>
      <c r="U129" s="107"/>
      <c r="V129" s="107"/>
      <c r="W129" s="107"/>
      <c r="X129" s="127">
        <v>11</v>
      </c>
      <c r="Y129" s="142">
        <f t="shared" si="61"/>
        <v>783</v>
      </c>
      <c r="Z129" s="142">
        <f t="shared" si="56"/>
        <v>773</v>
      </c>
      <c r="AA129" s="219"/>
    </row>
    <row r="130" spans="1:27" s="128" customFormat="1">
      <c r="A130" s="203"/>
      <c r="B130" s="203"/>
      <c r="C130" s="210"/>
      <c r="D130" s="210"/>
      <c r="E130" s="127" t="s">
        <v>955</v>
      </c>
      <c r="F130" s="127"/>
      <c r="G130" s="127"/>
      <c r="H130" s="127">
        <v>1</v>
      </c>
      <c r="I130" s="142">
        <f t="shared" si="66"/>
        <v>16</v>
      </c>
      <c r="J130" s="142">
        <f t="shared" si="67"/>
        <v>16</v>
      </c>
      <c r="K130" s="137" t="s">
        <v>825</v>
      </c>
      <c r="L130" s="127" t="s">
        <v>26</v>
      </c>
      <c r="M130" s="164" t="s">
        <v>958</v>
      </c>
      <c r="N130" s="140"/>
      <c r="O130" s="107"/>
      <c r="P130" s="136"/>
      <c r="Q130" s="107"/>
      <c r="R130" s="107"/>
      <c r="S130" s="107"/>
      <c r="T130" s="107"/>
      <c r="U130" s="107"/>
      <c r="V130" s="107"/>
      <c r="W130" s="107"/>
      <c r="X130" s="127">
        <v>1</v>
      </c>
      <c r="Y130" s="142">
        <f t="shared" si="61"/>
        <v>784</v>
      </c>
      <c r="Z130" s="142">
        <f t="shared" si="56"/>
        <v>784</v>
      </c>
      <c r="AA130" s="219"/>
    </row>
    <row r="131" spans="1:27" s="128" customFormat="1">
      <c r="A131" s="203"/>
      <c r="B131" s="203"/>
      <c r="C131" s="210"/>
      <c r="D131" s="210"/>
      <c r="E131" s="127" t="s">
        <v>727</v>
      </c>
      <c r="F131" s="127"/>
      <c r="G131" s="127"/>
      <c r="H131" s="127">
        <v>1</v>
      </c>
      <c r="I131" s="142">
        <f t="shared" si="66"/>
        <v>17</v>
      </c>
      <c r="J131" s="142">
        <f t="shared" si="67"/>
        <v>17</v>
      </c>
      <c r="K131" s="127" t="s">
        <v>28</v>
      </c>
      <c r="L131" s="127" t="s">
        <v>846</v>
      </c>
      <c r="M131" s="164" t="s">
        <v>957</v>
      </c>
      <c r="N131" s="140"/>
      <c r="O131" s="107"/>
      <c r="P131" s="136"/>
      <c r="Q131" s="107"/>
      <c r="R131" s="107"/>
      <c r="S131" s="107"/>
      <c r="T131" s="107"/>
      <c r="U131" s="107"/>
      <c r="V131" s="107"/>
      <c r="W131" s="107"/>
      <c r="X131" s="127">
        <v>1</v>
      </c>
      <c r="Y131" s="142">
        <f t="shared" si="61"/>
        <v>785</v>
      </c>
      <c r="Z131" s="142">
        <f t="shared" si="56"/>
        <v>785</v>
      </c>
      <c r="AA131" s="219"/>
    </row>
    <row r="132" spans="1:27" s="128" customFormat="1">
      <c r="A132" s="203"/>
      <c r="B132" s="203"/>
      <c r="C132" s="210"/>
      <c r="D132" s="210"/>
      <c r="E132" s="127" t="s">
        <v>935</v>
      </c>
      <c r="F132" s="127"/>
      <c r="G132" s="127"/>
      <c r="H132" s="127">
        <v>1</v>
      </c>
      <c r="I132" s="142">
        <f t="shared" si="66"/>
        <v>18</v>
      </c>
      <c r="J132" s="142">
        <f t="shared" si="67"/>
        <v>18</v>
      </c>
      <c r="K132" s="137" t="s">
        <v>825</v>
      </c>
      <c r="L132" s="127" t="s">
        <v>26</v>
      </c>
      <c r="M132" s="164" t="s">
        <v>946</v>
      </c>
      <c r="N132" s="140"/>
      <c r="O132" s="107"/>
      <c r="P132" s="136"/>
      <c r="Q132" s="107"/>
      <c r="R132" s="107"/>
      <c r="S132" s="107"/>
      <c r="T132" s="107"/>
      <c r="U132" s="107"/>
      <c r="V132" s="107"/>
      <c r="W132" s="107"/>
      <c r="X132" s="127">
        <v>1</v>
      </c>
      <c r="Y132" s="142">
        <f t="shared" si="61"/>
        <v>786</v>
      </c>
      <c r="Z132" s="142">
        <f t="shared" si="56"/>
        <v>786</v>
      </c>
      <c r="AA132" s="219"/>
    </row>
    <row r="133" spans="1:27" s="128" customFormat="1">
      <c r="A133" s="203"/>
      <c r="B133" s="203"/>
      <c r="C133" s="210"/>
      <c r="D133" s="210"/>
      <c r="E133" s="127" t="s">
        <v>936</v>
      </c>
      <c r="F133" s="127"/>
      <c r="G133" s="127"/>
      <c r="H133" s="127">
        <v>1</v>
      </c>
      <c r="I133" s="142">
        <f t="shared" si="66"/>
        <v>19</v>
      </c>
      <c r="J133" s="142">
        <f t="shared" si="67"/>
        <v>19</v>
      </c>
      <c r="K133" s="137" t="s">
        <v>825</v>
      </c>
      <c r="L133" s="127" t="s">
        <v>26</v>
      </c>
      <c r="M133" s="164" t="s">
        <v>952</v>
      </c>
      <c r="N133" s="140"/>
      <c r="O133" s="107"/>
      <c r="P133" s="136"/>
      <c r="Q133" s="107"/>
      <c r="R133" s="107"/>
      <c r="S133" s="107"/>
      <c r="T133" s="107"/>
      <c r="U133" s="107"/>
      <c r="V133" s="107"/>
      <c r="W133" s="107"/>
      <c r="X133" s="127">
        <v>1</v>
      </c>
      <c r="Y133" s="142">
        <f t="shared" si="61"/>
        <v>787</v>
      </c>
      <c r="Z133" s="142">
        <f t="shared" si="56"/>
        <v>787</v>
      </c>
      <c r="AA133" s="219"/>
    </row>
    <row r="134" spans="1:27" s="128" customFormat="1">
      <c r="A134" s="203"/>
      <c r="B134" s="203"/>
      <c r="C134" s="210"/>
      <c r="D134" s="210"/>
      <c r="E134" s="127" t="s">
        <v>953</v>
      </c>
      <c r="F134" s="127"/>
      <c r="G134" s="127"/>
      <c r="H134" s="127">
        <v>1</v>
      </c>
      <c r="I134" s="142">
        <f t="shared" si="66"/>
        <v>20</v>
      </c>
      <c r="J134" s="142">
        <f t="shared" si="67"/>
        <v>20</v>
      </c>
      <c r="K134" s="137" t="s">
        <v>825</v>
      </c>
      <c r="L134" s="127" t="s">
        <v>26</v>
      </c>
      <c r="M134" s="164" t="s">
        <v>947</v>
      </c>
      <c r="N134" s="140"/>
      <c r="O134" s="107"/>
      <c r="P134" s="136"/>
      <c r="Q134" s="107"/>
      <c r="R134" s="107"/>
      <c r="S134" s="107"/>
      <c r="T134" s="107"/>
      <c r="U134" s="107"/>
      <c r="V134" s="107"/>
      <c r="W134" s="107"/>
      <c r="X134" s="127">
        <v>1</v>
      </c>
      <c r="Y134" s="142">
        <f t="shared" si="61"/>
        <v>788</v>
      </c>
      <c r="Z134" s="142">
        <f t="shared" si="56"/>
        <v>788</v>
      </c>
      <c r="AA134" s="219"/>
    </row>
    <row r="135" spans="1:27" s="128" customFormat="1">
      <c r="A135" s="203"/>
      <c r="B135" s="203"/>
      <c r="C135" s="210"/>
      <c r="D135" s="210"/>
      <c r="E135" s="127" t="s">
        <v>938</v>
      </c>
      <c r="F135" s="127"/>
      <c r="G135" s="127"/>
      <c r="H135" s="127">
        <v>11</v>
      </c>
      <c r="I135" s="142">
        <f t="shared" si="66"/>
        <v>31</v>
      </c>
      <c r="J135" s="142">
        <f t="shared" si="67"/>
        <v>21</v>
      </c>
      <c r="K135" s="127" t="s">
        <v>7</v>
      </c>
      <c r="L135" s="127" t="s">
        <v>941</v>
      </c>
      <c r="M135" s="164" t="s">
        <v>957</v>
      </c>
      <c r="N135" s="140"/>
      <c r="O135" s="107"/>
      <c r="P135" s="136"/>
      <c r="Q135" s="107"/>
      <c r="R135" s="107"/>
      <c r="S135" s="107"/>
      <c r="T135" s="107"/>
      <c r="U135" s="107"/>
      <c r="V135" s="107"/>
      <c r="W135" s="107"/>
      <c r="X135" s="127">
        <v>11</v>
      </c>
      <c r="Y135" s="142">
        <f t="shared" si="61"/>
        <v>799</v>
      </c>
      <c r="Z135" s="142">
        <f t="shared" si="56"/>
        <v>789</v>
      </c>
      <c r="AA135" s="219"/>
    </row>
    <row r="136" spans="1:27" s="128" customFormat="1">
      <c r="A136" s="203"/>
      <c r="B136" s="203"/>
      <c r="C136" s="210"/>
      <c r="D136" s="210"/>
      <c r="E136" s="127" t="s">
        <v>966</v>
      </c>
      <c r="F136" s="127"/>
      <c r="G136" s="127"/>
      <c r="H136" s="127">
        <v>1</v>
      </c>
      <c r="I136" s="142">
        <f t="shared" si="66"/>
        <v>32</v>
      </c>
      <c r="J136" s="142">
        <f t="shared" si="67"/>
        <v>32</v>
      </c>
      <c r="K136" s="127" t="s">
        <v>818</v>
      </c>
      <c r="L136" s="127" t="s">
        <v>26</v>
      </c>
      <c r="M136" s="110" t="s">
        <v>960</v>
      </c>
      <c r="N136" s="140"/>
      <c r="O136" s="107"/>
      <c r="P136" s="136"/>
      <c r="Q136" s="107"/>
      <c r="R136" s="107"/>
      <c r="S136" s="107"/>
      <c r="T136" s="107"/>
      <c r="U136" s="107"/>
      <c r="V136" s="107"/>
      <c r="W136" s="107"/>
      <c r="X136" s="127">
        <v>1</v>
      </c>
      <c r="Y136" s="142">
        <f t="shared" si="61"/>
        <v>800</v>
      </c>
      <c r="Z136" s="142">
        <f t="shared" si="56"/>
        <v>800</v>
      </c>
      <c r="AA136" s="219"/>
    </row>
    <row r="137" spans="1:27" s="128" customFormat="1">
      <c r="A137" s="203"/>
      <c r="B137" s="203"/>
      <c r="C137" s="210"/>
      <c r="D137" s="210"/>
      <c r="E137" s="127" t="s">
        <v>967</v>
      </c>
      <c r="F137" s="127"/>
      <c r="G137" s="127"/>
      <c r="H137" s="127">
        <v>1</v>
      </c>
      <c r="I137" s="142">
        <f t="shared" si="66"/>
        <v>33</v>
      </c>
      <c r="J137" s="142">
        <f t="shared" si="67"/>
        <v>33</v>
      </c>
      <c r="K137" s="127" t="s">
        <v>818</v>
      </c>
      <c r="L137" s="127" t="s">
        <v>26</v>
      </c>
      <c r="M137" s="164" t="s">
        <v>961</v>
      </c>
      <c r="N137" s="107"/>
      <c r="O137" s="107"/>
      <c r="P137" s="107"/>
      <c r="Q137" s="107"/>
      <c r="R137" s="107"/>
      <c r="S137" s="107"/>
      <c r="T137" s="107"/>
      <c r="U137" s="107"/>
      <c r="V137" s="107"/>
      <c r="W137" s="107"/>
      <c r="X137" s="127">
        <v>1</v>
      </c>
      <c r="Y137" s="142">
        <f t="shared" si="61"/>
        <v>801</v>
      </c>
      <c r="Z137" s="142">
        <f t="shared" si="56"/>
        <v>801</v>
      </c>
      <c r="AA137" s="219"/>
    </row>
    <row r="138" spans="1:27" s="128" customFormat="1">
      <c r="A138" s="203"/>
      <c r="B138" s="203"/>
      <c r="C138" s="210"/>
      <c r="D138" s="210"/>
      <c r="E138" s="127" t="s">
        <v>933</v>
      </c>
      <c r="F138" s="127"/>
      <c r="G138" s="127"/>
      <c r="H138" s="127">
        <v>1</v>
      </c>
      <c r="I138" s="142">
        <f t="shared" si="66"/>
        <v>34</v>
      </c>
      <c r="J138" s="142">
        <f t="shared" si="67"/>
        <v>34</v>
      </c>
      <c r="K138" s="127" t="s">
        <v>818</v>
      </c>
      <c r="L138" s="127" t="s">
        <v>26</v>
      </c>
      <c r="M138" s="164" t="s">
        <v>944</v>
      </c>
      <c r="N138" s="107"/>
      <c r="O138" s="107"/>
      <c r="P138" s="107"/>
      <c r="Q138" s="107"/>
      <c r="R138" s="107"/>
      <c r="S138" s="107"/>
      <c r="T138" s="107"/>
      <c r="U138" s="107"/>
      <c r="V138" s="107"/>
      <c r="W138" s="107"/>
      <c r="X138" s="127">
        <v>1</v>
      </c>
      <c r="Y138" s="142">
        <f t="shared" si="61"/>
        <v>802</v>
      </c>
      <c r="Z138" s="142">
        <f t="shared" si="56"/>
        <v>802</v>
      </c>
      <c r="AA138" s="219"/>
    </row>
    <row r="139" spans="1:27" s="128" customFormat="1">
      <c r="A139" s="203"/>
      <c r="B139" s="203"/>
      <c r="C139" s="210"/>
      <c r="D139" s="210"/>
      <c r="E139" s="127" t="s">
        <v>934</v>
      </c>
      <c r="F139" s="127"/>
      <c r="G139" s="127"/>
      <c r="H139" s="127">
        <v>1</v>
      </c>
      <c r="I139" s="142">
        <f t="shared" si="66"/>
        <v>35</v>
      </c>
      <c r="J139" s="142">
        <f t="shared" si="67"/>
        <v>35</v>
      </c>
      <c r="K139" s="127" t="s">
        <v>818</v>
      </c>
      <c r="L139" s="127" t="s">
        <v>26</v>
      </c>
      <c r="M139" s="164" t="s">
        <v>943</v>
      </c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27">
        <v>1</v>
      </c>
      <c r="Y139" s="142">
        <f t="shared" si="61"/>
        <v>803</v>
      </c>
      <c r="Z139" s="142">
        <f t="shared" si="56"/>
        <v>803</v>
      </c>
      <c r="AA139" s="219"/>
    </row>
    <row r="140" spans="1:27" s="128" customFormat="1">
      <c r="A140" s="203"/>
      <c r="B140" s="203"/>
      <c r="C140" s="210"/>
      <c r="D140" s="210"/>
      <c r="E140" s="127" t="s">
        <v>954</v>
      </c>
      <c r="F140" s="127"/>
      <c r="G140" s="127"/>
      <c r="H140" s="127">
        <v>1</v>
      </c>
      <c r="I140" s="142">
        <f t="shared" si="66"/>
        <v>36</v>
      </c>
      <c r="J140" s="142">
        <f t="shared" si="67"/>
        <v>36</v>
      </c>
      <c r="K140" s="127" t="s">
        <v>818</v>
      </c>
      <c r="L140" s="127" t="s">
        <v>26</v>
      </c>
      <c r="M140" s="164" t="s">
        <v>951</v>
      </c>
      <c r="N140" s="107"/>
      <c r="O140" s="107"/>
      <c r="P140" s="107"/>
      <c r="Q140" s="107"/>
      <c r="R140" s="107"/>
      <c r="S140" s="107"/>
      <c r="T140" s="107"/>
      <c r="U140" s="107"/>
      <c r="V140" s="107"/>
      <c r="W140" s="107"/>
      <c r="X140" s="127">
        <v>1</v>
      </c>
      <c r="Y140" s="142">
        <f t="shared" si="61"/>
        <v>804</v>
      </c>
      <c r="Z140" s="142">
        <f t="shared" si="56"/>
        <v>804</v>
      </c>
      <c r="AA140" s="219"/>
    </row>
    <row r="141" spans="1:27" s="128" customFormat="1">
      <c r="A141" s="203"/>
      <c r="B141" s="203"/>
      <c r="C141" s="210"/>
      <c r="D141" s="210"/>
      <c r="E141" s="127" t="s">
        <v>939</v>
      </c>
      <c r="F141" s="127"/>
      <c r="G141" s="127"/>
      <c r="H141" s="127">
        <v>27</v>
      </c>
      <c r="I141" s="142">
        <f t="shared" si="66"/>
        <v>63</v>
      </c>
      <c r="J141" s="142">
        <f t="shared" si="67"/>
        <v>37</v>
      </c>
      <c r="K141" s="127" t="s">
        <v>28</v>
      </c>
      <c r="L141" s="127" t="s">
        <v>80</v>
      </c>
      <c r="M141" s="164" t="s">
        <v>957</v>
      </c>
      <c r="N141" s="107"/>
      <c r="O141" s="107"/>
      <c r="P141" s="107"/>
      <c r="Q141" s="107"/>
      <c r="R141" s="107"/>
      <c r="S141" s="107"/>
      <c r="T141" s="107"/>
      <c r="U141" s="107"/>
      <c r="V141" s="107"/>
      <c r="W141" s="107"/>
      <c r="X141" s="127">
        <v>27</v>
      </c>
      <c r="Y141" s="142">
        <f t="shared" si="61"/>
        <v>831</v>
      </c>
      <c r="Z141" s="142">
        <f t="shared" si="56"/>
        <v>805</v>
      </c>
      <c r="AA141" s="219"/>
    </row>
    <row r="142" spans="1:27" s="128" customFormat="1" ht="16.3">
      <c r="A142" s="170" t="s">
        <v>1123</v>
      </c>
      <c r="B142" s="170" t="s">
        <v>1124</v>
      </c>
      <c r="C142" s="210"/>
      <c r="D142" s="173" t="s">
        <v>88</v>
      </c>
      <c r="E142" s="127" t="s">
        <v>956</v>
      </c>
      <c r="F142" s="127"/>
      <c r="G142" s="127"/>
      <c r="H142" s="127">
        <v>64</v>
      </c>
      <c r="I142" s="142">
        <f t="shared" ref="I142:I144" si="68">J142+H142-1</f>
        <v>127</v>
      </c>
      <c r="J142" s="142">
        <f t="shared" ref="J142:J144" si="69">I141+1</f>
        <v>64</v>
      </c>
      <c r="K142" s="127" t="s">
        <v>28</v>
      </c>
      <c r="L142" s="127" t="s">
        <v>80</v>
      </c>
      <c r="M142" s="164" t="s">
        <v>22</v>
      </c>
      <c r="N142" s="107"/>
      <c r="O142" s="107"/>
      <c r="P142" s="107"/>
      <c r="Q142" s="107"/>
      <c r="R142" s="107"/>
      <c r="S142" s="107"/>
      <c r="T142" s="107"/>
      <c r="U142" s="107"/>
      <c r="V142" s="107"/>
      <c r="W142" s="107"/>
      <c r="X142" s="127">
        <v>64</v>
      </c>
      <c r="Y142" s="142">
        <f t="shared" si="61"/>
        <v>895</v>
      </c>
      <c r="Z142" s="142">
        <f t="shared" si="56"/>
        <v>832</v>
      </c>
      <c r="AA142" s="219"/>
    </row>
    <row r="143" spans="1:27" s="128" customFormat="1" ht="16.3">
      <c r="A143" s="177" t="s">
        <v>1125</v>
      </c>
      <c r="B143" s="177" t="s">
        <v>1126</v>
      </c>
      <c r="C143" s="210" t="s">
        <v>89</v>
      </c>
      <c r="D143" s="173" t="s">
        <v>90</v>
      </c>
      <c r="E143" s="127" t="s">
        <v>728</v>
      </c>
      <c r="F143" s="127"/>
      <c r="G143" s="127"/>
      <c r="H143" s="127">
        <v>64</v>
      </c>
      <c r="I143" s="142">
        <f t="shared" si="68"/>
        <v>63</v>
      </c>
      <c r="J143" s="142">
        <v>0</v>
      </c>
      <c r="K143" s="127" t="s">
        <v>28</v>
      </c>
      <c r="L143" s="127" t="s">
        <v>80</v>
      </c>
      <c r="M143" s="164" t="s">
        <v>22</v>
      </c>
      <c r="N143" s="107"/>
      <c r="O143" s="107"/>
      <c r="P143" s="107"/>
      <c r="Q143" s="107"/>
      <c r="R143" s="107"/>
      <c r="S143" s="107"/>
      <c r="T143" s="107"/>
      <c r="U143" s="107"/>
      <c r="V143" s="107"/>
      <c r="W143" s="107"/>
      <c r="X143" s="127">
        <v>64</v>
      </c>
      <c r="Y143" s="142">
        <f t="shared" si="61"/>
        <v>959</v>
      </c>
      <c r="Z143" s="142">
        <f t="shared" si="56"/>
        <v>896</v>
      </c>
      <c r="AA143" s="219"/>
    </row>
    <row r="144" spans="1:27" s="128" customFormat="1" ht="16.3">
      <c r="A144" s="170" t="s">
        <v>1127</v>
      </c>
      <c r="B144" s="170" t="s">
        <v>1128</v>
      </c>
      <c r="C144" s="217"/>
      <c r="D144" s="173" t="s">
        <v>1130</v>
      </c>
      <c r="E144" s="127" t="s">
        <v>729</v>
      </c>
      <c r="F144" s="127"/>
      <c r="G144" s="127"/>
      <c r="H144" s="127">
        <v>64</v>
      </c>
      <c r="I144" s="142">
        <f t="shared" si="68"/>
        <v>127</v>
      </c>
      <c r="J144" s="142">
        <f t="shared" si="69"/>
        <v>64</v>
      </c>
      <c r="K144" s="127" t="s">
        <v>28</v>
      </c>
      <c r="L144" s="127" t="s">
        <v>80</v>
      </c>
      <c r="M144" s="164" t="s">
        <v>22</v>
      </c>
      <c r="N144" s="107"/>
      <c r="O144" s="107"/>
      <c r="P144" s="107"/>
      <c r="Q144" s="107"/>
      <c r="R144" s="107"/>
      <c r="S144" s="107"/>
      <c r="T144" s="107"/>
      <c r="U144" s="107"/>
      <c r="V144" s="107"/>
      <c r="W144" s="107"/>
      <c r="X144" s="127">
        <v>64</v>
      </c>
      <c r="Y144" s="142">
        <f t="shared" si="61"/>
        <v>1023</v>
      </c>
      <c r="Z144" s="142">
        <f t="shared" si="56"/>
        <v>960</v>
      </c>
      <c r="AA144" s="220"/>
    </row>
    <row r="145" spans="1:2" s="128" customFormat="1">
      <c r="A145" s="117" t="s">
        <v>1129</v>
      </c>
      <c r="B145" s="178"/>
    </row>
  </sheetData>
  <mergeCells count="58">
    <mergeCell ref="AA15:AA97"/>
    <mergeCell ref="D70:D74"/>
    <mergeCell ref="C143:C144"/>
    <mergeCell ref="C107:C121"/>
    <mergeCell ref="D107:D115"/>
    <mergeCell ref="D116:D121"/>
    <mergeCell ref="C122:C123"/>
    <mergeCell ref="C124:C142"/>
    <mergeCell ref="C101:C106"/>
    <mergeCell ref="D124:D141"/>
    <mergeCell ref="AA98:AA144"/>
    <mergeCell ref="C79:C97"/>
    <mergeCell ref="D79:D97"/>
    <mergeCell ref="C15:C45"/>
    <mergeCell ref="D15:D39"/>
    <mergeCell ref="D40:D45"/>
    <mergeCell ref="C65:C74"/>
    <mergeCell ref="C75:C78"/>
    <mergeCell ref="C46:C51"/>
    <mergeCell ref="D46:D51"/>
    <mergeCell ref="C61:C64"/>
    <mergeCell ref="C56:C60"/>
    <mergeCell ref="C52:C55"/>
    <mergeCell ref="D75:D77"/>
    <mergeCell ref="D65:D69"/>
    <mergeCell ref="D56:D58"/>
    <mergeCell ref="D53:D55"/>
    <mergeCell ref="D59:D60"/>
    <mergeCell ref="D61:D62"/>
    <mergeCell ref="D63:D64"/>
    <mergeCell ref="A56:A60"/>
    <mergeCell ref="B61:B64"/>
    <mergeCell ref="A61:A64"/>
    <mergeCell ref="B15:B39"/>
    <mergeCell ref="A15:A39"/>
    <mergeCell ref="B40:B45"/>
    <mergeCell ref="A40:A45"/>
    <mergeCell ref="A46:A51"/>
    <mergeCell ref="B46:B51"/>
    <mergeCell ref="A52:A55"/>
    <mergeCell ref="B52:B55"/>
    <mergeCell ref="B56:B60"/>
    <mergeCell ref="B124:B141"/>
    <mergeCell ref="A124:A141"/>
    <mergeCell ref="B116:B121"/>
    <mergeCell ref="A116:A121"/>
    <mergeCell ref="A101:A106"/>
    <mergeCell ref="B101:B106"/>
    <mergeCell ref="A107:A115"/>
    <mergeCell ref="B107:B115"/>
    <mergeCell ref="B79:B97"/>
    <mergeCell ref="A79:A97"/>
    <mergeCell ref="B65:B69"/>
    <mergeCell ref="A65:A69"/>
    <mergeCell ref="B70:B74"/>
    <mergeCell ref="A70:A74"/>
    <mergeCell ref="B75:B77"/>
    <mergeCell ref="A75:A77"/>
  </mergeCells>
  <phoneticPr fontId="1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="85" zoomScaleNormal="85" workbookViewId="0">
      <selection activeCell="E13" sqref="E13"/>
    </sheetView>
  </sheetViews>
  <sheetFormatPr defaultColWidth="9" defaultRowHeight="12.9"/>
  <cols>
    <col min="1" max="1" width="12.75" style="109" customWidth="1"/>
    <col min="2" max="4" width="14.75" style="109" customWidth="1"/>
    <col min="5" max="5" width="34.375" style="109" customWidth="1"/>
    <col min="6" max="6" width="19.5" style="109" customWidth="1"/>
    <col min="7" max="7" width="32.5" style="109" customWidth="1"/>
    <col min="8" max="10" width="31.375" style="109" customWidth="1"/>
    <col min="11" max="16384" width="9" style="109"/>
  </cols>
  <sheetData>
    <row r="1" spans="1:10" ht="16.3">
      <c r="A1" s="108" t="s">
        <v>91</v>
      </c>
      <c r="B1" s="108" t="s">
        <v>92</v>
      </c>
      <c r="C1" s="108" t="s">
        <v>93</v>
      </c>
      <c r="D1" s="108" t="s">
        <v>94</v>
      </c>
      <c r="E1" s="108" t="s">
        <v>95</v>
      </c>
      <c r="F1" s="108" t="s">
        <v>96</v>
      </c>
      <c r="G1" s="108" t="s">
        <v>97</v>
      </c>
      <c r="H1" s="108" t="s">
        <v>98</v>
      </c>
      <c r="I1" s="108" t="s">
        <v>99</v>
      </c>
      <c r="J1" s="108" t="s">
        <v>100</v>
      </c>
    </row>
    <row r="2" spans="1:10" ht="15.65">
      <c r="A2" s="107" t="s">
        <v>101</v>
      </c>
      <c r="B2" s="107">
        <v>0</v>
      </c>
      <c r="C2" s="107">
        <v>0</v>
      </c>
      <c r="D2" s="107">
        <v>32</v>
      </c>
      <c r="E2" s="107" t="s">
        <v>102</v>
      </c>
      <c r="F2" s="107" t="s">
        <v>103</v>
      </c>
      <c r="G2" s="107"/>
      <c r="H2" s="107"/>
      <c r="I2" s="107"/>
      <c r="J2" s="107"/>
    </row>
    <row r="3" spans="1:10" ht="15.65">
      <c r="A3" s="107" t="s">
        <v>104</v>
      </c>
      <c r="B3" s="107">
        <v>4</v>
      </c>
      <c r="C3" s="107">
        <v>1</v>
      </c>
      <c r="D3" s="107">
        <v>32</v>
      </c>
      <c r="E3" s="107" t="s">
        <v>105</v>
      </c>
      <c r="F3" s="107" t="s">
        <v>103</v>
      </c>
      <c r="G3" s="107"/>
      <c r="H3" s="107"/>
      <c r="I3" s="107"/>
      <c r="J3" s="107"/>
    </row>
    <row r="4" spans="1:10" ht="15.65">
      <c r="A4" s="107" t="s">
        <v>106</v>
      </c>
      <c r="B4" s="107">
        <v>8</v>
      </c>
      <c r="C4" s="107">
        <v>2</v>
      </c>
      <c r="D4" s="107">
        <v>32</v>
      </c>
      <c r="E4" s="107" t="s">
        <v>107</v>
      </c>
      <c r="F4" s="107" t="s">
        <v>103</v>
      </c>
      <c r="G4" s="107"/>
      <c r="H4" s="107"/>
      <c r="I4" s="107"/>
      <c r="J4" s="107"/>
    </row>
    <row r="5" spans="1:10" ht="15.65">
      <c r="A5" s="107" t="s">
        <v>108</v>
      </c>
      <c r="B5" s="107">
        <v>12</v>
      </c>
      <c r="C5" s="107">
        <v>3</v>
      </c>
      <c r="D5" s="107">
        <v>32</v>
      </c>
      <c r="E5" s="107" t="s">
        <v>109</v>
      </c>
      <c r="F5" s="107" t="s">
        <v>103</v>
      </c>
      <c r="G5" s="107"/>
      <c r="H5" s="107"/>
      <c r="I5" s="107"/>
      <c r="J5" s="107"/>
    </row>
    <row r="6" spans="1:10" ht="15.65">
      <c r="A6" s="107" t="s">
        <v>110</v>
      </c>
      <c r="B6" s="107">
        <v>16</v>
      </c>
      <c r="C6" s="107">
        <v>4</v>
      </c>
      <c r="D6" s="107">
        <v>32</v>
      </c>
      <c r="E6" s="107" t="s">
        <v>111</v>
      </c>
      <c r="F6" s="107" t="s">
        <v>103</v>
      </c>
      <c r="G6" s="107"/>
      <c r="H6" s="107"/>
      <c r="I6" s="107"/>
      <c r="J6" s="107"/>
    </row>
    <row r="7" spans="1:10" ht="31.25">
      <c r="A7" s="107" t="s">
        <v>112</v>
      </c>
      <c r="B7" s="107">
        <v>20</v>
      </c>
      <c r="C7" s="107">
        <v>5</v>
      </c>
      <c r="D7" s="107">
        <v>32</v>
      </c>
      <c r="E7" s="107" t="s">
        <v>113</v>
      </c>
      <c r="F7" s="107" t="s">
        <v>114</v>
      </c>
      <c r="G7" s="110" t="s">
        <v>115</v>
      </c>
      <c r="H7" s="110" t="s">
        <v>116</v>
      </c>
      <c r="I7" s="110" t="s">
        <v>116</v>
      </c>
      <c r="J7" s="110" t="s">
        <v>116</v>
      </c>
    </row>
    <row r="8" spans="1:10" ht="46.9">
      <c r="A8" s="107" t="s">
        <v>117</v>
      </c>
      <c r="B8" s="107">
        <v>24</v>
      </c>
      <c r="C8" s="107">
        <v>6</v>
      </c>
      <c r="D8" s="107">
        <v>32</v>
      </c>
      <c r="E8" s="107" t="s">
        <v>118</v>
      </c>
      <c r="F8" s="107" t="s">
        <v>114</v>
      </c>
      <c r="G8" s="110" t="s">
        <v>119</v>
      </c>
      <c r="H8" s="110" t="s">
        <v>119</v>
      </c>
      <c r="I8" s="110" t="s">
        <v>119</v>
      </c>
      <c r="J8" s="110" t="s">
        <v>116</v>
      </c>
    </row>
    <row r="9" spans="1:10" ht="15.65">
      <c r="A9" s="107" t="s">
        <v>120</v>
      </c>
      <c r="B9" s="107">
        <v>28</v>
      </c>
      <c r="C9" s="107">
        <v>7</v>
      </c>
      <c r="D9" s="107">
        <v>32</v>
      </c>
      <c r="E9" s="107" t="s">
        <v>121</v>
      </c>
      <c r="F9" s="107" t="s">
        <v>103</v>
      </c>
      <c r="G9" s="107"/>
      <c r="H9" s="107"/>
      <c r="I9" s="107"/>
      <c r="J9" s="107"/>
    </row>
    <row r="10" spans="1:10" ht="15.65">
      <c r="A10" s="107" t="s">
        <v>122</v>
      </c>
      <c r="B10" s="107">
        <v>32</v>
      </c>
      <c r="C10" s="107">
        <v>8</v>
      </c>
      <c r="D10" s="107">
        <v>32</v>
      </c>
      <c r="E10" s="107" t="s">
        <v>123</v>
      </c>
      <c r="F10" s="107" t="s">
        <v>103</v>
      </c>
      <c r="G10" s="107"/>
      <c r="H10" s="107"/>
      <c r="I10" s="107"/>
      <c r="J10" s="107"/>
    </row>
    <row r="11" spans="1:10" ht="15.65">
      <c r="A11" s="107" t="s">
        <v>124</v>
      </c>
      <c r="B11" s="107">
        <v>36</v>
      </c>
      <c r="C11" s="107">
        <v>9</v>
      </c>
      <c r="D11" s="107">
        <v>32</v>
      </c>
      <c r="E11" s="107" t="s">
        <v>125</v>
      </c>
      <c r="F11" s="107" t="s">
        <v>103</v>
      </c>
      <c r="G11" s="107"/>
      <c r="H11" s="107"/>
      <c r="I11" s="107"/>
      <c r="J11" s="107"/>
    </row>
    <row r="12" spans="1:10" ht="15.65">
      <c r="A12" s="107" t="s">
        <v>126</v>
      </c>
      <c r="B12" s="107">
        <v>40</v>
      </c>
      <c r="C12" s="107">
        <v>10</v>
      </c>
      <c r="D12" s="107">
        <v>32</v>
      </c>
      <c r="E12" s="107" t="s">
        <v>127</v>
      </c>
      <c r="F12" s="107" t="s">
        <v>103</v>
      </c>
      <c r="G12" s="107"/>
      <c r="H12" s="107"/>
      <c r="I12" s="107"/>
      <c r="J12" s="107"/>
    </row>
    <row r="13" spans="1:10" ht="15.65">
      <c r="A13" s="107" t="s">
        <v>128</v>
      </c>
      <c r="B13" s="107">
        <v>44</v>
      </c>
      <c r="C13" s="107">
        <v>11</v>
      </c>
      <c r="D13" s="107">
        <v>32</v>
      </c>
      <c r="E13" s="107" t="s">
        <v>129</v>
      </c>
      <c r="F13" s="107" t="s">
        <v>103</v>
      </c>
      <c r="G13" s="107"/>
      <c r="H13" s="107"/>
      <c r="I13" s="107"/>
      <c r="J13" s="107"/>
    </row>
    <row r="14" spans="1:10" ht="15.65">
      <c r="A14" s="107" t="s">
        <v>130</v>
      </c>
      <c r="B14" s="107">
        <v>48</v>
      </c>
      <c r="C14" s="107">
        <v>12</v>
      </c>
      <c r="D14" s="107">
        <v>32</v>
      </c>
      <c r="E14" s="107" t="s">
        <v>131</v>
      </c>
      <c r="F14" s="107" t="s">
        <v>103</v>
      </c>
      <c r="G14" s="107"/>
      <c r="H14" s="107"/>
      <c r="I14" s="107"/>
      <c r="J14" s="107"/>
    </row>
    <row r="15" spans="1:10" ht="15.65">
      <c r="A15" s="107" t="s">
        <v>132</v>
      </c>
      <c r="B15" s="107">
        <v>52</v>
      </c>
      <c r="C15" s="107">
        <v>13</v>
      </c>
      <c r="D15" s="107">
        <v>32</v>
      </c>
      <c r="E15" s="107" t="s">
        <v>133</v>
      </c>
      <c r="F15" s="107" t="s">
        <v>103</v>
      </c>
      <c r="G15" s="107"/>
      <c r="H15" s="107"/>
      <c r="I15" s="107"/>
      <c r="J15" s="107"/>
    </row>
    <row r="16" spans="1:10" ht="15.65">
      <c r="A16" s="107" t="s">
        <v>134</v>
      </c>
      <c r="B16" s="107">
        <v>56</v>
      </c>
      <c r="C16" s="107">
        <v>14</v>
      </c>
      <c r="D16" s="107">
        <v>32</v>
      </c>
      <c r="E16" s="107" t="s">
        <v>135</v>
      </c>
      <c r="F16" s="107" t="s">
        <v>103</v>
      </c>
      <c r="G16" s="107"/>
      <c r="H16" s="107"/>
      <c r="I16" s="107"/>
      <c r="J16" s="107"/>
    </row>
    <row r="17" spans="1:10" ht="15.65">
      <c r="A17" s="107" t="s">
        <v>136</v>
      </c>
      <c r="B17" s="107">
        <v>60</v>
      </c>
      <c r="C17" s="107">
        <v>15</v>
      </c>
      <c r="D17" s="107">
        <v>32</v>
      </c>
      <c r="E17" s="107" t="s">
        <v>137</v>
      </c>
      <c r="F17" s="107" t="s">
        <v>103</v>
      </c>
      <c r="G17" s="107"/>
      <c r="H17" s="107"/>
      <c r="I17" s="107"/>
      <c r="J17" s="107"/>
    </row>
    <row r="18" spans="1:10" ht="15.65">
      <c r="A18" s="107" t="s">
        <v>138</v>
      </c>
      <c r="B18" s="107">
        <v>64</v>
      </c>
      <c r="C18" s="107">
        <v>16</v>
      </c>
      <c r="D18" s="107">
        <v>32</v>
      </c>
      <c r="E18" s="107" t="s">
        <v>139</v>
      </c>
      <c r="F18" s="107" t="s">
        <v>103</v>
      </c>
      <c r="G18" s="107"/>
      <c r="H18" s="107"/>
      <c r="I18" s="107"/>
      <c r="J18" s="107"/>
    </row>
    <row r="19" spans="1:10" ht="15.65">
      <c r="A19" s="107" t="s">
        <v>140</v>
      </c>
      <c r="B19" s="107">
        <v>68</v>
      </c>
      <c r="C19" s="107">
        <v>17</v>
      </c>
      <c r="D19" s="107">
        <v>32</v>
      </c>
      <c r="E19" s="107" t="s">
        <v>141</v>
      </c>
      <c r="F19" s="107" t="s">
        <v>103</v>
      </c>
      <c r="G19" s="107"/>
      <c r="H19" s="107"/>
      <c r="I19" s="107"/>
      <c r="J19" s="107"/>
    </row>
    <row r="20" spans="1:10" ht="15.65">
      <c r="A20" s="107" t="s">
        <v>142</v>
      </c>
      <c r="B20" s="107">
        <v>72</v>
      </c>
      <c r="C20" s="107">
        <v>18</v>
      </c>
      <c r="D20" s="107">
        <v>32</v>
      </c>
      <c r="E20" s="107" t="s">
        <v>143</v>
      </c>
      <c r="F20" s="107" t="s">
        <v>103</v>
      </c>
      <c r="G20" s="107"/>
      <c r="H20" s="107"/>
      <c r="I20" s="107"/>
      <c r="J20" s="107"/>
    </row>
    <row r="21" spans="1:10" ht="15.65">
      <c r="A21" s="107" t="s">
        <v>144</v>
      </c>
      <c r="B21" s="107">
        <v>76</v>
      </c>
      <c r="C21" s="107">
        <v>19</v>
      </c>
      <c r="D21" s="107">
        <v>32</v>
      </c>
      <c r="E21" s="107" t="s">
        <v>145</v>
      </c>
      <c r="F21" s="107" t="s">
        <v>103</v>
      </c>
      <c r="G21" s="107"/>
      <c r="H21" s="107"/>
      <c r="I21" s="107"/>
      <c r="J21" s="107"/>
    </row>
    <row r="22" spans="1:10" ht="15.65">
      <c r="A22" s="107" t="s">
        <v>146</v>
      </c>
      <c r="B22" s="107">
        <v>80</v>
      </c>
      <c r="C22" s="107">
        <v>20</v>
      </c>
      <c r="D22" s="107">
        <v>32</v>
      </c>
      <c r="E22" s="107" t="s">
        <v>147</v>
      </c>
      <c r="F22" s="107" t="s">
        <v>103</v>
      </c>
      <c r="G22" s="107"/>
      <c r="H22" s="107"/>
      <c r="I22" s="107"/>
      <c r="J22" s="107"/>
    </row>
    <row r="23" spans="1:10" ht="15.65">
      <c r="A23" s="107" t="s">
        <v>148</v>
      </c>
      <c r="B23" s="107">
        <v>84</v>
      </c>
      <c r="C23" s="107">
        <v>21</v>
      </c>
      <c r="D23" s="107">
        <v>32</v>
      </c>
      <c r="E23" s="107" t="s">
        <v>149</v>
      </c>
      <c r="F23" s="107" t="s">
        <v>103</v>
      </c>
      <c r="G23" s="107"/>
      <c r="H23" s="107"/>
      <c r="I23" s="107"/>
      <c r="J23" s="107"/>
    </row>
    <row r="24" spans="1:10" ht="15.65">
      <c r="A24" s="107" t="s">
        <v>150</v>
      </c>
      <c r="B24" s="107">
        <v>88</v>
      </c>
      <c r="C24" s="107">
        <v>22</v>
      </c>
      <c r="D24" s="107">
        <v>32</v>
      </c>
      <c r="E24" s="107" t="s">
        <v>151</v>
      </c>
      <c r="F24" s="107" t="s">
        <v>103</v>
      </c>
      <c r="G24" s="107"/>
      <c r="H24" s="107"/>
      <c r="I24" s="107"/>
      <c r="J24" s="107"/>
    </row>
    <row r="25" spans="1:10" ht="15.65">
      <c r="A25" s="107" t="s">
        <v>152</v>
      </c>
      <c r="B25" s="107">
        <v>92</v>
      </c>
      <c r="C25" s="107">
        <v>23</v>
      </c>
      <c r="D25" s="107">
        <v>32</v>
      </c>
      <c r="E25" s="107" t="s">
        <v>153</v>
      </c>
      <c r="F25" s="107" t="s">
        <v>103</v>
      </c>
      <c r="G25" s="107"/>
      <c r="H25" s="107"/>
      <c r="I25" s="107"/>
      <c r="J25" s="107"/>
    </row>
    <row r="26" spans="1:10" ht="15.65">
      <c r="A26" s="107" t="s">
        <v>154</v>
      </c>
      <c r="B26" s="107">
        <v>96</v>
      </c>
      <c r="C26" s="107">
        <v>24</v>
      </c>
      <c r="D26" s="107">
        <v>32</v>
      </c>
      <c r="E26" s="107" t="s">
        <v>155</v>
      </c>
      <c r="F26" s="107" t="s">
        <v>103</v>
      </c>
      <c r="G26" s="107"/>
      <c r="H26" s="107"/>
      <c r="I26" s="107"/>
      <c r="J26" s="107"/>
    </row>
    <row r="27" spans="1:10" ht="15.65">
      <c r="A27" s="107" t="s">
        <v>156</v>
      </c>
      <c r="B27" s="107">
        <v>100</v>
      </c>
      <c r="C27" s="107">
        <v>25</v>
      </c>
      <c r="D27" s="107">
        <v>32</v>
      </c>
      <c r="E27" s="107" t="s">
        <v>157</v>
      </c>
      <c r="F27" s="107" t="s">
        <v>103</v>
      </c>
      <c r="G27" s="107"/>
      <c r="H27" s="107"/>
      <c r="I27" s="107"/>
      <c r="J27" s="107"/>
    </row>
    <row r="28" spans="1:10" ht="15.65">
      <c r="A28" s="107" t="s">
        <v>158</v>
      </c>
      <c r="B28" s="107">
        <v>104</v>
      </c>
      <c r="C28" s="107">
        <v>26</v>
      </c>
      <c r="D28" s="107">
        <v>32</v>
      </c>
      <c r="E28" s="107" t="s">
        <v>159</v>
      </c>
      <c r="F28" s="107" t="s">
        <v>103</v>
      </c>
      <c r="G28" s="107"/>
      <c r="H28" s="107"/>
      <c r="I28" s="107"/>
      <c r="J28" s="107"/>
    </row>
    <row r="29" spans="1:10" ht="15.65">
      <c r="A29" s="107" t="s">
        <v>160</v>
      </c>
      <c r="B29" s="107">
        <v>108</v>
      </c>
      <c r="C29" s="107">
        <v>27</v>
      </c>
      <c r="D29" s="107">
        <v>32</v>
      </c>
      <c r="E29" s="107" t="s">
        <v>161</v>
      </c>
      <c r="F29" s="107" t="s">
        <v>103</v>
      </c>
      <c r="G29" s="107"/>
      <c r="H29" s="107"/>
      <c r="I29" s="107"/>
      <c r="J29" s="107"/>
    </row>
    <row r="30" spans="1:10" ht="15.65">
      <c r="A30" s="107" t="s">
        <v>162</v>
      </c>
      <c r="B30" s="107">
        <v>112</v>
      </c>
      <c r="C30" s="107">
        <v>28</v>
      </c>
      <c r="D30" s="107">
        <v>32</v>
      </c>
      <c r="E30" s="107" t="s">
        <v>163</v>
      </c>
      <c r="F30" s="107" t="s">
        <v>103</v>
      </c>
      <c r="G30" s="107"/>
      <c r="H30" s="107"/>
      <c r="I30" s="107"/>
      <c r="J30" s="107"/>
    </row>
    <row r="31" spans="1:10" ht="15.65">
      <c r="A31" s="107" t="s">
        <v>164</v>
      </c>
      <c r="B31" s="107">
        <v>116</v>
      </c>
      <c r="C31" s="107">
        <v>29</v>
      </c>
      <c r="D31" s="107">
        <v>32</v>
      </c>
      <c r="E31" s="107" t="s">
        <v>165</v>
      </c>
      <c r="F31" s="107" t="s">
        <v>103</v>
      </c>
      <c r="G31" s="107"/>
      <c r="H31" s="107"/>
      <c r="I31" s="107"/>
      <c r="J31" s="107"/>
    </row>
    <row r="32" spans="1:10" ht="15.65">
      <c r="A32" s="107" t="s">
        <v>166</v>
      </c>
      <c r="B32" s="107">
        <v>120</v>
      </c>
      <c r="C32" s="107">
        <v>30</v>
      </c>
      <c r="D32" s="107">
        <v>32</v>
      </c>
      <c r="E32" s="107" t="s">
        <v>167</v>
      </c>
      <c r="F32" s="107" t="s">
        <v>103</v>
      </c>
      <c r="G32" s="107"/>
      <c r="H32" s="107"/>
      <c r="I32" s="107"/>
      <c r="J32" s="107"/>
    </row>
    <row r="33" spans="1:10" ht="15.65">
      <c r="A33" s="107" t="s">
        <v>168</v>
      </c>
      <c r="B33" s="107">
        <v>124</v>
      </c>
      <c r="C33" s="107">
        <v>31</v>
      </c>
      <c r="D33" s="107">
        <v>32</v>
      </c>
      <c r="E33" s="107" t="s">
        <v>169</v>
      </c>
      <c r="F33" s="107" t="s">
        <v>103</v>
      </c>
      <c r="G33" s="107"/>
      <c r="H33" s="107"/>
      <c r="I33" s="107"/>
      <c r="J33" s="107"/>
    </row>
    <row r="34" spans="1:10" ht="15.65">
      <c r="A34" s="107" t="s">
        <v>170</v>
      </c>
      <c r="B34" s="107">
        <v>128</v>
      </c>
      <c r="C34" s="107">
        <v>32</v>
      </c>
      <c r="D34" s="107">
        <v>32</v>
      </c>
      <c r="E34" s="107" t="s">
        <v>171</v>
      </c>
      <c r="F34" s="107" t="s">
        <v>114</v>
      </c>
      <c r="G34" s="107" t="s">
        <v>172</v>
      </c>
      <c r="H34" s="107" t="s">
        <v>172</v>
      </c>
      <c r="I34" s="107" t="s">
        <v>172</v>
      </c>
      <c r="J34" s="107" t="s">
        <v>172</v>
      </c>
    </row>
    <row r="35" spans="1:10" ht="15.65">
      <c r="A35" s="107" t="s">
        <v>173</v>
      </c>
      <c r="B35" s="107">
        <v>132</v>
      </c>
      <c r="C35" s="107">
        <v>33</v>
      </c>
      <c r="D35" s="107">
        <v>32</v>
      </c>
      <c r="E35" s="107" t="s">
        <v>174</v>
      </c>
      <c r="F35" s="107" t="s">
        <v>114</v>
      </c>
      <c r="G35" s="107" t="s">
        <v>175</v>
      </c>
      <c r="H35" s="107" t="s">
        <v>176</v>
      </c>
      <c r="I35" s="107" t="s">
        <v>176</v>
      </c>
      <c r="J35" s="107" t="s">
        <v>176</v>
      </c>
    </row>
    <row r="36" spans="1:10" ht="15.65">
      <c r="A36" s="107" t="s">
        <v>177</v>
      </c>
      <c r="B36" s="107">
        <v>136</v>
      </c>
      <c r="C36" s="107">
        <v>34</v>
      </c>
      <c r="D36" s="107">
        <v>32</v>
      </c>
      <c r="E36" s="107" t="s">
        <v>178</v>
      </c>
      <c r="F36" s="107" t="s">
        <v>103</v>
      </c>
      <c r="G36" s="107"/>
      <c r="H36" s="107"/>
      <c r="I36" s="107"/>
      <c r="J36" s="107"/>
    </row>
    <row r="40" spans="1:10" ht="31.25">
      <c r="A40" s="107" t="s">
        <v>180</v>
      </c>
      <c r="B40" s="107">
        <v>508</v>
      </c>
      <c r="C40" s="107">
        <v>127</v>
      </c>
      <c r="D40" s="107">
        <v>32</v>
      </c>
      <c r="E40" s="110" t="s">
        <v>181</v>
      </c>
      <c r="F40" s="107" t="s">
        <v>114</v>
      </c>
      <c r="G40" s="107"/>
      <c r="H40" s="107"/>
      <c r="I40" s="107"/>
      <c r="J40" s="107"/>
    </row>
    <row r="41" spans="1:10" ht="27.7" customHeight="1">
      <c r="A41" s="107" t="s">
        <v>720</v>
      </c>
      <c r="B41" s="107">
        <v>512</v>
      </c>
      <c r="C41" s="107">
        <v>128</v>
      </c>
      <c r="D41" s="107">
        <v>1</v>
      </c>
      <c r="E41" s="110" t="s">
        <v>721</v>
      </c>
      <c r="F41" s="107" t="s">
        <v>114</v>
      </c>
      <c r="G41" s="107"/>
      <c r="H41" s="107"/>
      <c r="I41" s="107"/>
      <c r="J41" s="107"/>
    </row>
    <row r="42" spans="1:10" s="111" customFormat="1" ht="62.5">
      <c r="A42" s="110" t="s">
        <v>747</v>
      </c>
      <c r="B42" s="110">
        <v>516</v>
      </c>
      <c r="C42" s="110">
        <v>129</v>
      </c>
      <c r="D42" s="110">
        <v>24</v>
      </c>
      <c r="E42" s="110" t="s">
        <v>179</v>
      </c>
      <c r="F42" s="110" t="s">
        <v>114</v>
      </c>
      <c r="G42" s="110"/>
      <c r="H42" s="110"/>
      <c r="I42" s="110"/>
      <c r="J42" s="110"/>
    </row>
  </sheetData>
  <phoneticPr fontId="1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14"/>
  <sheetViews>
    <sheetView workbookViewId="0">
      <selection activeCell="A7" sqref="A7"/>
    </sheetView>
  </sheetViews>
  <sheetFormatPr defaultColWidth="9" defaultRowHeight="15.65"/>
  <cols>
    <col min="1" max="1" width="24" style="90" customWidth="1"/>
    <col min="2" max="2" width="36.875" style="90" customWidth="1"/>
    <col min="3" max="3" width="16.625" style="90" customWidth="1"/>
    <col min="4" max="4" width="16.125" style="90" customWidth="1"/>
    <col min="5" max="5" width="39.5" style="90" customWidth="1"/>
    <col min="6" max="6" width="15.25" style="90" customWidth="1"/>
    <col min="7" max="7" width="17.875" style="90" customWidth="1"/>
    <col min="8" max="8" width="17.125" style="90" customWidth="1"/>
    <col min="9" max="9" width="17" style="90" customWidth="1"/>
    <col min="10" max="10" width="14.75" style="90" customWidth="1"/>
    <col min="11" max="11" width="15.875" style="90" customWidth="1"/>
    <col min="12" max="12" width="17.25" style="90" customWidth="1"/>
    <col min="13" max="13" width="15.25" style="90" customWidth="1"/>
    <col min="14" max="14" width="18.375" style="90" customWidth="1"/>
    <col min="15" max="15" width="20" style="90" customWidth="1"/>
    <col min="16" max="16384" width="9" style="90"/>
  </cols>
  <sheetData>
    <row r="1" spans="1:15" ht="67.95">
      <c r="A1" s="91" t="s">
        <v>182</v>
      </c>
      <c r="B1" s="91" t="s">
        <v>183</v>
      </c>
      <c r="C1" s="91" t="s">
        <v>184</v>
      </c>
      <c r="D1" s="91" t="s">
        <v>185</v>
      </c>
      <c r="E1" s="91" t="s">
        <v>186</v>
      </c>
      <c r="F1" s="91" t="s">
        <v>187</v>
      </c>
      <c r="G1" s="91" t="s">
        <v>188</v>
      </c>
      <c r="H1" s="92" t="s">
        <v>189</v>
      </c>
      <c r="I1" s="91" t="s">
        <v>190</v>
      </c>
      <c r="J1" s="92" t="s">
        <v>191</v>
      </c>
      <c r="K1" s="91" t="s">
        <v>192</v>
      </c>
      <c r="L1" s="91" t="s">
        <v>193</v>
      </c>
      <c r="M1" s="91" t="s">
        <v>194</v>
      </c>
      <c r="N1" s="91" t="s">
        <v>195</v>
      </c>
      <c r="O1" s="91" t="s">
        <v>196</v>
      </c>
    </row>
    <row r="2" spans="1:15" ht="78.150000000000006">
      <c r="A2" s="93" t="s">
        <v>197</v>
      </c>
      <c r="B2" s="94" t="s">
        <v>198</v>
      </c>
      <c r="C2" s="94" t="s">
        <v>198</v>
      </c>
      <c r="D2" s="94" t="s">
        <v>198</v>
      </c>
      <c r="E2" s="94" t="s">
        <v>198</v>
      </c>
      <c r="F2" s="93" t="s">
        <v>199</v>
      </c>
      <c r="G2" s="94" t="s">
        <v>198</v>
      </c>
      <c r="H2" s="94" t="s">
        <v>198</v>
      </c>
      <c r="I2" s="94" t="s">
        <v>198</v>
      </c>
      <c r="J2" s="94"/>
      <c r="K2" s="94"/>
      <c r="L2" s="94"/>
      <c r="M2" s="94"/>
      <c r="N2" s="94"/>
      <c r="O2" s="94"/>
    </row>
    <row r="3" spans="1:15">
      <c r="A3" s="94" t="s">
        <v>200</v>
      </c>
      <c r="B3" s="94" t="s">
        <v>200</v>
      </c>
      <c r="C3" s="94" t="s">
        <v>200</v>
      </c>
      <c r="D3" s="94" t="s">
        <v>200</v>
      </c>
      <c r="E3" s="94" t="s">
        <v>201</v>
      </c>
      <c r="F3" s="94" t="s">
        <v>202</v>
      </c>
      <c r="G3" s="94" t="s">
        <v>202</v>
      </c>
      <c r="H3" s="94" t="s">
        <v>203</v>
      </c>
      <c r="I3" s="94" t="s">
        <v>203</v>
      </c>
      <c r="J3" s="94" t="s">
        <v>203</v>
      </c>
      <c r="K3" s="94" t="s">
        <v>203</v>
      </c>
      <c r="L3" s="94" t="s">
        <v>203</v>
      </c>
      <c r="M3" s="94" t="s">
        <v>203</v>
      </c>
      <c r="N3" s="94" t="s">
        <v>203</v>
      </c>
      <c r="O3" s="94" t="s">
        <v>203</v>
      </c>
    </row>
    <row r="4" spans="1:15">
      <c r="A4" s="94" t="s">
        <v>204</v>
      </c>
      <c r="B4" s="94" t="s">
        <v>204</v>
      </c>
      <c r="C4" s="94" t="s">
        <v>204</v>
      </c>
      <c r="D4" s="94" t="s">
        <v>204</v>
      </c>
      <c r="E4" s="94"/>
      <c r="F4" s="94" t="s">
        <v>205</v>
      </c>
      <c r="G4" s="94" t="s">
        <v>206</v>
      </c>
      <c r="H4" s="94" t="s">
        <v>207</v>
      </c>
      <c r="I4" s="94"/>
      <c r="J4" s="94"/>
      <c r="K4" s="94"/>
      <c r="L4" s="94"/>
      <c r="M4" s="94" t="s">
        <v>207</v>
      </c>
      <c r="N4" s="94" t="s">
        <v>207</v>
      </c>
      <c r="O4" s="94" t="s">
        <v>207</v>
      </c>
    </row>
    <row r="5" spans="1:15">
      <c r="A5" s="94" t="s">
        <v>201</v>
      </c>
      <c r="B5" s="94" t="s">
        <v>201</v>
      </c>
      <c r="C5" s="94" t="s">
        <v>201</v>
      </c>
      <c r="D5" s="94" t="s">
        <v>201</v>
      </c>
      <c r="E5" s="94"/>
      <c r="F5" s="94" t="s">
        <v>206</v>
      </c>
      <c r="G5" s="94" t="s">
        <v>208</v>
      </c>
      <c r="H5" s="94" t="s">
        <v>209</v>
      </c>
      <c r="I5" s="94"/>
      <c r="J5" s="94"/>
      <c r="K5" s="94"/>
      <c r="L5" s="94"/>
      <c r="M5" s="94" t="s">
        <v>210</v>
      </c>
      <c r="N5" s="94" t="s">
        <v>209</v>
      </c>
      <c r="O5" s="94" t="s">
        <v>210</v>
      </c>
    </row>
    <row r="6" spans="1:15">
      <c r="A6" s="94" t="s">
        <v>211</v>
      </c>
      <c r="B6" s="94" t="s">
        <v>211</v>
      </c>
      <c r="C6" s="94" t="s">
        <v>211</v>
      </c>
      <c r="D6" s="94" t="s">
        <v>211</v>
      </c>
      <c r="E6" s="94"/>
      <c r="F6" s="94" t="s">
        <v>208</v>
      </c>
      <c r="H6" s="94"/>
      <c r="I6" s="94"/>
      <c r="J6" s="94"/>
      <c r="K6" s="94"/>
      <c r="L6" s="94"/>
      <c r="M6" s="94"/>
      <c r="N6" s="94" t="s">
        <v>210</v>
      </c>
      <c r="O6" s="94"/>
    </row>
    <row r="7" spans="1:15">
      <c r="A7" s="94" t="s">
        <v>212</v>
      </c>
      <c r="B7" s="94" t="s">
        <v>212</v>
      </c>
      <c r="C7" s="94" t="s">
        <v>212</v>
      </c>
      <c r="D7" s="94" t="s">
        <v>212</v>
      </c>
      <c r="E7" s="94"/>
      <c r="F7" s="94" t="s">
        <v>212</v>
      </c>
      <c r="G7" s="94"/>
      <c r="H7" s="94"/>
      <c r="I7" s="94"/>
      <c r="J7" s="94"/>
      <c r="K7" s="94"/>
      <c r="L7" s="94"/>
      <c r="M7" s="94"/>
      <c r="N7" s="94"/>
      <c r="O7" s="94"/>
    </row>
    <row r="10" spans="1:15">
      <c r="A10" s="221" t="s">
        <v>213</v>
      </c>
      <c r="B10" s="222"/>
      <c r="C10" s="222"/>
      <c r="D10" s="222"/>
      <c r="E10" s="222"/>
      <c r="F10" s="222"/>
      <c r="G10" s="222"/>
      <c r="H10" s="222"/>
      <c r="I10" s="222"/>
      <c r="J10" s="222"/>
      <c r="K10" s="222"/>
      <c r="L10" s="222"/>
      <c r="M10" s="222"/>
      <c r="N10" s="222"/>
      <c r="O10" s="222"/>
    </row>
    <row r="11" spans="1:15" ht="16.5" customHeight="1">
      <c r="A11" s="223" t="s">
        <v>214</v>
      </c>
      <c r="B11" s="224"/>
      <c r="C11" s="224"/>
      <c r="D11" s="224"/>
      <c r="E11" s="224"/>
      <c r="F11" s="224"/>
      <c r="G11" s="224"/>
      <c r="H11" s="224"/>
      <c r="I11" s="224"/>
      <c r="J11" s="224"/>
      <c r="K11" s="224"/>
      <c r="L11" s="224"/>
      <c r="M11" s="224"/>
      <c r="N11" s="224"/>
      <c r="O11" s="224"/>
    </row>
    <row r="12" spans="1:15">
      <c r="A12" s="221" t="s">
        <v>215</v>
      </c>
      <c r="B12" s="222"/>
      <c r="C12" s="222"/>
      <c r="D12" s="222"/>
      <c r="E12" s="222"/>
      <c r="F12" s="222"/>
      <c r="G12" s="222"/>
      <c r="H12" s="222"/>
      <c r="I12" s="222"/>
      <c r="J12" s="222"/>
      <c r="K12" s="222"/>
      <c r="L12" s="222"/>
      <c r="M12" s="222"/>
      <c r="N12" s="222"/>
      <c r="O12" s="222"/>
    </row>
    <row r="13" spans="1:15" ht="16.5" customHeight="1">
      <c r="A13" s="223" t="s">
        <v>216</v>
      </c>
      <c r="B13" s="224"/>
      <c r="C13" s="224"/>
      <c r="D13" s="224"/>
      <c r="E13" s="224"/>
      <c r="F13" s="224"/>
      <c r="G13" s="224"/>
      <c r="H13" s="224"/>
      <c r="I13" s="224"/>
      <c r="J13" s="224"/>
      <c r="K13" s="224"/>
      <c r="L13" s="224"/>
      <c r="M13" s="224"/>
      <c r="N13" s="224"/>
      <c r="O13" s="224"/>
    </row>
    <row r="14" spans="1:15" ht="16.5" customHeight="1">
      <c r="A14" s="223" t="s">
        <v>217</v>
      </c>
      <c r="B14" s="224"/>
      <c r="C14" s="224"/>
      <c r="D14" s="224"/>
      <c r="E14" s="224"/>
      <c r="F14" s="224"/>
      <c r="G14" s="224"/>
      <c r="H14" s="224"/>
      <c r="I14" s="224"/>
      <c r="J14" s="224"/>
      <c r="K14" s="224"/>
      <c r="L14" s="224"/>
      <c r="M14" s="224"/>
      <c r="N14" s="224"/>
      <c r="O14" s="224"/>
    </row>
  </sheetData>
  <customSheetViews>
    <customSheetView guid="{465993EB-2174-44B8-8988-073286CA386F}">
      <selection activeCell="A7" sqref="A7"/>
      <pageMargins left="0.7" right="0.7" top="0.75" bottom="0.75" header="0.3" footer="0.3"/>
      <pageSetup paperSize="9" orientation="portrait"/>
    </customSheetView>
    <customSheetView guid="{C03D8012-5FAF-4C48-B7E4-56A55E52A74B}">
      <selection activeCell="A7" sqref="A7"/>
      <pageMargins left="0.7" right="0.7" top="0.75" bottom="0.75" header="0.3" footer="0.3"/>
      <pageSetup paperSize="9" orientation="portrait"/>
    </customSheetView>
  </customSheetViews>
  <mergeCells count="5">
    <mergeCell ref="A10:O10"/>
    <mergeCell ref="A11:O11"/>
    <mergeCell ref="A12:O12"/>
    <mergeCell ref="A13:O13"/>
    <mergeCell ref="A14:O14"/>
  </mergeCells>
  <phoneticPr fontId="16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3"/>
  <sheetViews>
    <sheetView zoomScaleNormal="100" workbookViewId="0">
      <selection activeCell="A9" sqref="A9"/>
    </sheetView>
  </sheetViews>
  <sheetFormatPr defaultColWidth="9" defaultRowHeight="15.65"/>
  <cols>
    <col min="1" max="1" width="186.875" style="89" customWidth="1"/>
    <col min="2" max="2" width="14.25" style="89" customWidth="1"/>
    <col min="3" max="3" width="9" style="89"/>
    <col min="4" max="6" width="16.625" style="89" customWidth="1"/>
    <col min="7" max="16384" width="9" style="89"/>
  </cols>
  <sheetData>
    <row r="1" spans="1:1" ht="64.55">
      <c r="A1" s="40" t="s">
        <v>218</v>
      </c>
    </row>
    <row r="2" spans="1:1" ht="47.55">
      <c r="A2" s="40" t="s">
        <v>219</v>
      </c>
    </row>
    <row r="3" spans="1:1" ht="63.2">
      <c r="A3" s="40" t="s">
        <v>220</v>
      </c>
    </row>
  </sheetData>
  <customSheetViews>
    <customSheetView guid="{465993EB-2174-44B8-8988-073286CA386F}" scale="80">
      <selection activeCell="A3" sqref="A3"/>
      <pageMargins left="0.7" right="0.7" top="0.75" bottom="0.75" header="0.3" footer="0.3"/>
      <pageSetup paperSize="9" orientation="portrait"/>
    </customSheetView>
    <customSheetView guid="{C03D8012-5FAF-4C48-B7E4-56A55E52A74B}" scale="80">
      <selection activeCell="A3" sqref="A3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T123"/>
  <sheetViews>
    <sheetView zoomScale="85" zoomScaleNormal="85" workbookViewId="0">
      <pane xSplit="1" topLeftCell="B1" activePane="topRight" state="frozen"/>
      <selection activeCell="A25" sqref="A25"/>
      <selection pane="topRight" activeCell="G6" sqref="G6"/>
    </sheetView>
  </sheetViews>
  <sheetFormatPr defaultColWidth="9" defaultRowHeight="15.65"/>
  <cols>
    <col min="1" max="1" width="21" style="40" customWidth="1"/>
    <col min="2" max="2" width="7.375" style="40" customWidth="1"/>
    <col min="3" max="3" width="14.375" style="40" customWidth="1"/>
    <col min="4" max="4" width="6.25" style="40" customWidth="1"/>
    <col min="5" max="5" width="12.875" style="40" customWidth="1"/>
    <col min="6" max="6" width="22.5" style="27" customWidth="1"/>
    <col min="7" max="7" width="52.75" style="40" customWidth="1"/>
    <col min="8" max="9" width="32.375" style="40" customWidth="1"/>
    <col min="10" max="10" width="26.375" style="40" customWidth="1"/>
    <col min="11" max="12" width="20.5" style="40" customWidth="1"/>
    <col min="13" max="13" width="21" style="40" customWidth="1"/>
    <col min="14" max="14" width="22" style="40" customWidth="1"/>
    <col min="15" max="20" width="15.75" style="36" customWidth="1"/>
    <col min="21" max="16384" width="9" style="40"/>
  </cols>
  <sheetData>
    <row r="1" spans="1:20" ht="81.5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222</v>
      </c>
      <c r="I1" s="66" t="s">
        <v>223</v>
      </c>
      <c r="J1" s="67" t="s">
        <v>224</v>
      </c>
      <c r="K1" s="67" t="s">
        <v>225</v>
      </c>
      <c r="L1" s="68" t="s">
        <v>226</v>
      </c>
      <c r="M1" s="68" t="s">
        <v>227</v>
      </c>
      <c r="N1" s="68" t="s">
        <v>228</v>
      </c>
      <c r="O1" s="68" t="s">
        <v>229</v>
      </c>
      <c r="P1" s="68" t="s">
        <v>230</v>
      </c>
      <c r="Q1" s="68" t="s">
        <v>231</v>
      </c>
      <c r="R1" s="68" t="s">
        <v>232</v>
      </c>
      <c r="S1" s="68" t="s">
        <v>233</v>
      </c>
      <c r="T1" s="68" t="s">
        <v>234</v>
      </c>
    </row>
    <row r="2" spans="1:20" ht="29.9">
      <c r="A2" s="4" t="s">
        <v>235</v>
      </c>
      <c r="B2" s="2">
        <v>1</v>
      </c>
      <c r="C2" s="2">
        <f>D2+B2-1</f>
        <v>0</v>
      </c>
      <c r="D2" s="2">
        <v>0</v>
      </c>
      <c r="E2" s="12" t="s">
        <v>7</v>
      </c>
      <c r="F2" s="4" t="s">
        <v>236</v>
      </c>
      <c r="G2" s="4" t="s">
        <v>237</v>
      </c>
      <c r="H2" s="6" t="s">
        <v>255</v>
      </c>
      <c r="I2" s="7" t="s">
        <v>255</v>
      </c>
      <c r="J2" s="7" t="s">
        <v>255</v>
      </c>
      <c r="K2" s="7" t="s">
        <v>255</v>
      </c>
      <c r="L2" s="7" t="s">
        <v>255</v>
      </c>
      <c r="M2" s="7" t="s">
        <v>255</v>
      </c>
      <c r="N2" s="7" t="s">
        <v>255</v>
      </c>
      <c r="O2" s="7" t="s">
        <v>255</v>
      </c>
      <c r="P2" s="7" t="s">
        <v>255</v>
      </c>
      <c r="Q2" s="6" t="s">
        <v>255</v>
      </c>
      <c r="R2" s="6" t="s">
        <v>255</v>
      </c>
      <c r="S2" s="7" t="s">
        <v>255</v>
      </c>
      <c r="T2" s="7" t="s">
        <v>255</v>
      </c>
    </row>
    <row r="3" spans="1:20">
      <c r="A3" s="4" t="s">
        <v>238</v>
      </c>
      <c r="B3" s="2">
        <v>16</v>
      </c>
      <c r="C3" s="2">
        <f t="shared" ref="C3:C72" si="0">D3+B3-1</f>
        <v>16</v>
      </c>
      <c r="D3" s="2">
        <f>C2+1</f>
        <v>1</v>
      </c>
      <c r="E3" s="12" t="s">
        <v>7</v>
      </c>
      <c r="F3" s="4" t="s">
        <v>236</v>
      </c>
      <c r="G3" s="4" t="s">
        <v>239</v>
      </c>
      <c r="H3" s="6" t="s">
        <v>258</v>
      </c>
      <c r="I3" s="7" t="s">
        <v>255</v>
      </c>
      <c r="J3" s="7" t="s">
        <v>258</v>
      </c>
      <c r="K3" s="7" t="s">
        <v>255</v>
      </c>
      <c r="L3" s="7" t="s">
        <v>255</v>
      </c>
      <c r="M3" s="7" t="s">
        <v>255</v>
      </c>
      <c r="N3" s="7" t="s">
        <v>255</v>
      </c>
      <c r="O3" s="7" t="s">
        <v>255</v>
      </c>
      <c r="P3" s="7" t="s">
        <v>255</v>
      </c>
      <c r="Q3" s="6" t="s">
        <v>255</v>
      </c>
      <c r="R3" s="6" t="s">
        <v>255</v>
      </c>
      <c r="S3" s="7" t="s">
        <v>255</v>
      </c>
      <c r="T3" s="7" t="s">
        <v>255</v>
      </c>
    </row>
    <row r="4" spans="1:20" ht="44.85">
      <c r="A4" s="4" t="s">
        <v>240</v>
      </c>
      <c r="B4" s="2">
        <v>23</v>
      </c>
      <c r="C4" s="2">
        <f t="shared" ref="C4:C6" si="1">D4+B4-1</f>
        <v>39</v>
      </c>
      <c r="D4" s="2">
        <f t="shared" ref="D4:D5" si="2">C3+1</f>
        <v>17</v>
      </c>
      <c r="E4" s="12" t="s">
        <v>7</v>
      </c>
      <c r="F4" s="4" t="s">
        <v>236</v>
      </c>
      <c r="G4" s="4" t="s">
        <v>241</v>
      </c>
      <c r="H4" s="6" t="s">
        <v>255</v>
      </c>
      <c r="I4" s="7" t="s">
        <v>255</v>
      </c>
      <c r="J4" s="7" t="s">
        <v>255</v>
      </c>
      <c r="K4" s="7" t="s">
        <v>255</v>
      </c>
      <c r="L4" s="7" t="s">
        <v>255</v>
      </c>
      <c r="M4" s="7" t="s">
        <v>255</v>
      </c>
      <c r="N4" s="7" t="s">
        <v>255</v>
      </c>
      <c r="O4" s="7" t="s">
        <v>255</v>
      </c>
      <c r="P4" s="7" t="s">
        <v>255</v>
      </c>
      <c r="Q4" s="6" t="s">
        <v>255</v>
      </c>
      <c r="R4" s="6" t="s">
        <v>255</v>
      </c>
      <c r="S4" s="7" t="s">
        <v>255</v>
      </c>
      <c r="T4" s="7" t="s">
        <v>255</v>
      </c>
    </row>
    <row r="5" spans="1:20">
      <c r="A5" s="4" t="s">
        <v>893</v>
      </c>
      <c r="B5" s="2">
        <v>1</v>
      </c>
      <c r="C5" s="2">
        <f t="shared" si="1"/>
        <v>40</v>
      </c>
      <c r="D5" s="2">
        <f t="shared" si="2"/>
        <v>40</v>
      </c>
      <c r="E5" s="12" t="s">
        <v>7</v>
      </c>
      <c r="F5" s="4" t="s">
        <v>236</v>
      </c>
      <c r="G5" s="4" t="s">
        <v>900</v>
      </c>
      <c r="H5" s="6" t="s">
        <v>255</v>
      </c>
      <c r="I5" s="7" t="s">
        <v>255</v>
      </c>
      <c r="J5" s="7" t="s">
        <v>255</v>
      </c>
      <c r="K5" s="7" t="s">
        <v>255</v>
      </c>
      <c r="L5" s="7" t="s">
        <v>255</v>
      </c>
      <c r="M5" s="7" t="s">
        <v>255</v>
      </c>
      <c r="N5" s="7" t="s">
        <v>255</v>
      </c>
      <c r="O5" s="7" t="s">
        <v>255</v>
      </c>
      <c r="P5" s="7" t="s">
        <v>255</v>
      </c>
      <c r="Q5" s="6" t="s">
        <v>255</v>
      </c>
      <c r="R5" s="6" t="s">
        <v>255</v>
      </c>
      <c r="S5" s="7" t="s">
        <v>255</v>
      </c>
      <c r="T5" s="7" t="s">
        <v>255</v>
      </c>
    </row>
    <row r="6" spans="1:20" ht="266.3" customHeight="1">
      <c r="A6" s="4" t="s">
        <v>242</v>
      </c>
      <c r="B6" s="2">
        <v>4</v>
      </c>
      <c r="C6" s="2">
        <f t="shared" si="1"/>
        <v>44</v>
      </c>
      <c r="D6" s="2">
        <f>C5+1</f>
        <v>41</v>
      </c>
      <c r="E6" s="12" t="s">
        <v>7</v>
      </c>
      <c r="F6" s="4" t="s">
        <v>236</v>
      </c>
      <c r="G6" s="4" t="s">
        <v>1016</v>
      </c>
      <c r="H6" s="6" t="s">
        <v>255</v>
      </c>
      <c r="I6" s="7" t="s">
        <v>255</v>
      </c>
      <c r="J6" s="7" t="s">
        <v>255</v>
      </c>
      <c r="K6" s="7" t="s">
        <v>255</v>
      </c>
      <c r="L6" s="7" t="s">
        <v>255</v>
      </c>
      <c r="M6" s="7" t="s">
        <v>255</v>
      </c>
      <c r="N6" s="7" t="s">
        <v>255</v>
      </c>
      <c r="O6" s="7" t="s">
        <v>255</v>
      </c>
      <c r="P6" s="7" t="s">
        <v>255</v>
      </c>
      <c r="Q6" s="6" t="s">
        <v>255</v>
      </c>
      <c r="R6" s="6" t="s">
        <v>255</v>
      </c>
      <c r="S6" s="7">
        <v>0</v>
      </c>
      <c r="T6" s="7" t="s">
        <v>255</v>
      </c>
    </row>
    <row r="7" spans="1:20" ht="29.9">
      <c r="A7" s="4" t="s">
        <v>243</v>
      </c>
      <c r="B7" s="2">
        <v>5</v>
      </c>
      <c r="C7" s="2">
        <f t="shared" si="0"/>
        <v>49</v>
      </c>
      <c r="D7" s="2">
        <f t="shared" ref="D7:D56" si="3">C6+1</f>
        <v>45</v>
      </c>
      <c r="E7" s="12" t="s">
        <v>7</v>
      </c>
      <c r="F7" s="4" t="s">
        <v>236</v>
      </c>
      <c r="G7" s="4" t="s">
        <v>244</v>
      </c>
      <c r="H7" s="6" t="s">
        <v>255</v>
      </c>
      <c r="I7" s="7" t="s">
        <v>255</v>
      </c>
      <c r="J7" s="7" t="s">
        <v>255</v>
      </c>
      <c r="K7" s="7" t="s">
        <v>255</v>
      </c>
      <c r="L7" s="7" t="s">
        <v>255</v>
      </c>
      <c r="M7" s="7" t="s">
        <v>255</v>
      </c>
      <c r="N7" s="7" t="s">
        <v>255</v>
      </c>
      <c r="O7" s="7" t="s">
        <v>255</v>
      </c>
      <c r="P7" s="7" t="s">
        <v>255</v>
      </c>
      <c r="Q7" s="6" t="s">
        <v>255</v>
      </c>
      <c r="R7" s="6" t="s">
        <v>255</v>
      </c>
      <c r="S7" s="7">
        <v>0</v>
      </c>
      <c r="T7" s="7" t="s">
        <v>255</v>
      </c>
    </row>
    <row r="8" spans="1:20" customFormat="1" ht="134.5">
      <c r="A8" s="4" t="s">
        <v>245</v>
      </c>
      <c r="B8" s="2">
        <v>1</v>
      </c>
      <c r="C8" s="2">
        <f t="shared" si="0"/>
        <v>50</v>
      </c>
      <c r="D8" s="2">
        <f t="shared" si="3"/>
        <v>50</v>
      </c>
      <c r="E8" s="12" t="s">
        <v>7</v>
      </c>
      <c r="F8" s="4" t="s">
        <v>236</v>
      </c>
      <c r="G8" s="4" t="s">
        <v>246</v>
      </c>
      <c r="H8" s="3" t="s">
        <v>255</v>
      </c>
      <c r="I8" s="20" t="s">
        <v>1024</v>
      </c>
      <c r="J8" s="20" t="s">
        <v>1025</v>
      </c>
      <c r="K8" s="20" t="s">
        <v>255</v>
      </c>
      <c r="L8" s="20" t="s">
        <v>258</v>
      </c>
      <c r="M8" s="20" t="s">
        <v>258</v>
      </c>
      <c r="N8" s="20" t="s">
        <v>258</v>
      </c>
      <c r="O8" s="20" t="s">
        <v>258</v>
      </c>
      <c r="P8" s="20">
        <v>0</v>
      </c>
      <c r="Q8" s="3" t="s">
        <v>258</v>
      </c>
      <c r="R8" s="3" t="s">
        <v>258</v>
      </c>
      <c r="S8" s="20" t="s">
        <v>258</v>
      </c>
      <c r="T8" s="20" t="s">
        <v>258</v>
      </c>
    </row>
    <row r="9" spans="1:20" ht="179.35">
      <c r="A9" s="4" t="s">
        <v>247</v>
      </c>
      <c r="B9" s="2">
        <v>2</v>
      </c>
      <c r="C9" s="2">
        <f t="shared" si="0"/>
        <v>52</v>
      </c>
      <c r="D9" s="2">
        <f t="shared" si="3"/>
        <v>51</v>
      </c>
      <c r="E9" s="12" t="s">
        <v>7</v>
      </c>
      <c r="F9" s="4" t="s">
        <v>248</v>
      </c>
      <c r="G9" s="4" t="s">
        <v>249</v>
      </c>
      <c r="H9" s="8" t="s">
        <v>258</v>
      </c>
      <c r="I9" s="8" t="s">
        <v>609</v>
      </c>
      <c r="J9" s="52" t="s">
        <v>483</v>
      </c>
      <c r="K9" s="52" t="s">
        <v>516</v>
      </c>
      <c r="L9" s="15" t="s">
        <v>570</v>
      </c>
      <c r="M9" s="7" t="s">
        <v>444</v>
      </c>
      <c r="N9" s="23" t="s">
        <v>554</v>
      </c>
      <c r="O9" s="15" t="s">
        <v>564</v>
      </c>
      <c r="P9" s="15" t="s">
        <v>258</v>
      </c>
      <c r="Q9" s="8" t="s">
        <v>444</v>
      </c>
      <c r="R9" s="8" t="s">
        <v>627</v>
      </c>
      <c r="S9" s="15" t="s">
        <v>639</v>
      </c>
      <c r="T9" s="15" t="s">
        <v>627</v>
      </c>
    </row>
    <row r="10" spans="1:20" ht="44.85">
      <c r="A10" s="4" t="s">
        <v>250</v>
      </c>
      <c r="B10" s="2">
        <v>2</v>
      </c>
      <c r="C10" s="2">
        <f t="shared" si="0"/>
        <v>54</v>
      </c>
      <c r="D10" s="2">
        <f t="shared" si="3"/>
        <v>53</v>
      </c>
      <c r="E10" s="12" t="s">
        <v>7</v>
      </c>
      <c r="F10" s="4" t="s">
        <v>236</v>
      </c>
      <c r="G10" s="4" t="s">
        <v>251</v>
      </c>
      <c r="H10" s="6" t="s">
        <v>255</v>
      </c>
      <c r="I10" s="7" t="s">
        <v>255</v>
      </c>
      <c r="J10" s="20" t="s">
        <v>258</v>
      </c>
      <c r="K10" s="20" t="s">
        <v>258</v>
      </c>
      <c r="L10" s="20" t="s">
        <v>258</v>
      </c>
      <c r="M10" s="20" t="s">
        <v>258</v>
      </c>
      <c r="N10" s="20" t="s">
        <v>258</v>
      </c>
      <c r="O10" s="20" t="s">
        <v>258</v>
      </c>
      <c r="P10" s="20">
        <v>0</v>
      </c>
      <c r="Q10" s="3" t="s">
        <v>258</v>
      </c>
      <c r="R10" s="3" t="s">
        <v>258</v>
      </c>
      <c r="S10" s="20" t="s">
        <v>258</v>
      </c>
      <c r="T10" s="20" t="s">
        <v>258</v>
      </c>
    </row>
    <row r="11" spans="1:20" ht="89.7">
      <c r="A11" s="143" t="s">
        <v>252</v>
      </c>
      <c r="B11" s="133">
        <v>1</v>
      </c>
      <c r="C11" s="133">
        <f t="shared" si="0"/>
        <v>55</v>
      </c>
      <c r="D11" s="133">
        <f t="shared" si="3"/>
        <v>55</v>
      </c>
      <c r="E11" s="144" t="s">
        <v>253</v>
      </c>
      <c r="F11" s="143" t="s">
        <v>254</v>
      </c>
      <c r="G11" s="143" t="s">
        <v>861</v>
      </c>
      <c r="H11" s="6" t="s">
        <v>255</v>
      </c>
      <c r="I11" s="6" t="s">
        <v>255</v>
      </c>
      <c r="J11" s="6" t="s">
        <v>255</v>
      </c>
      <c r="K11" s="6" t="s">
        <v>255</v>
      </c>
      <c r="L11" s="4"/>
      <c r="M11" s="4"/>
      <c r="N11" s="4"/>
      <c r="O11" s="4"/>
      <c r="P11" s="4"/>
      <c r="Q11" s="62"/>
      <c r="R11" s="62"/>
      <c r="S11" s="4"/>
      <c r="T11" s="4"/>
    </row>
    <row r="12" spans="1:20">
      <c r="A12" s="143" t="s">
        <v>256</v>
      </c>
      <c r="B12" s="133">
        <v>3</v>
      </c>
      <c r="C12" s="133">
        <f t="shared" si="0"/>
        <v>58</v>
      </c>
      <c r="D12" s="133">
        <f t="shared" si="3"/>
        <v>56</v>
      </c>
      <c r="E12" s="144" t="s">
        <v>7</v>
      </c>
      <c r="F12" s="143" t="s">
        <v>236</v>
      </c>
      <c r="G12" s="143" t="s">
        <v>257</v>
      </c>
      <c r="H12" s="62" t="s">
        <v>258</v>
      </c>
      <c r="I12" s="4" t="s">
        <v>258</v>
      </c>
      <c r="J12" s="4" t="s">
        <v>258</v>
      </c>
      <c r="K12" s="4" t="s">
        <v>258</v>
      </c>
      <c r="L12" s="4" t="s">
        <v>258</v>
      </c>
      <c r="M12" s="4" t="s">
        <v>258</v>
      </c>
      <c r="N12" s="4" t="s">
        <v>258</v>
      </c>
      <c r="O12" s="4" t="s">
        <v>258</v>
      </c>
      <c r="P12" s="4" t="s">
        <v>258</v>
      </c>
      <c r="Q12" s="62" t="s">
        <v>258</v>
      </c>
      <c r="R12" s="62" t="s">
        <v>258</v>
      </c>
      <c r="S12" s="4" t="s">
        <v>258</v>
      </c>
      <c r="T12" s="4" t="s">
        <v>258</v>
      </c>
    </row>
    <row r="13" spans="1:20">
      <c r="A13" s="4" t="s">
        <v>259</v>
      </c>
      <c r="B13" s="2">
        <v>4</v>
      </c>
      <c r="C13" s="2">
        <f t="shared" si="0"/>
        <v>62</v>
      </c>
      <c r="D13" s="2">
        <f t="shared" si="3"/>
        <v>59</v>
      </c>
      <c r="E13" s="12" t="s">
        <v>7</v>
      </c>
      <c r="F13" s="4" t="s">
        <v>236</v>
      </c>
      <c r="G13" s="4" t="s">
        <v>260</v>
      </c>
      <c r="H13" s="3" t="s">
        <v>255</v>
      </c>
      <c r="I13" s="7" t="s">
        <v>255</v>
      </c>
      <c r="J13" s="7" t="s">
        <v>255</v>
      </c>
      <c r="K13" s="7" t="s">
        <v>255</v>
      </c>
      <c r="L13" s="7" t="s">
        <v>255</v>
      </c>
      <c r="M13" s="7" t="s">
        <v>255</v>
      </c>
      <c r="N13" s="7" t="s">
        <v>255</v>
      </c>
      <c r="O13" s="7" t="s">
        <v>255</v>
      </c>
      <c r="P13" s="7" t="s">
        <v>255</v>
      </c>
      <c r="Q13" s="6" t="s">
        <v>255</v>
      </c>
      <c r="R13" s="6" t="s">
        <v>255</v>
      </c>
      <c r="S13" s="7" t="s">
        <v>255</v>
      </c>
      <c r="T13" s="7" t="s">
        <v>255</v>
      </c>
    </row>
    <row r="14" spans="1:20" ht="29.9">
      <c r="A14" s="4" t="s">
        <v>261</v>
      </c>
      <c r="B14" s="2">
        <v>1</v>
      </c>
      <c r="C14" s="2">
        <f t="shared" si="0"/>
        <v>63</v>
      </c>
      <c r="D14" s="2">
        <f t="shared" si="3"/>
        <v>63</v>
      </c>
      <c r="E14" s="12" t="s">
        <v>7</v>
      </c>
      <c r="F14" s="4" t="s">
        <v>236</v>
      </c>
      <c r="G14" s="4" t="s">
        <v>262</v>
      </c>
      <c r="H14" s="6" t="s">
        <v>255</v>
      </c>
      <c r="I14" s="6" t="s">
        <v>255</v>
      </c>
      <c r="J14" s="6" t="s">
        <v>255</v>
      </c>
      <c r="K14" s="6" t="s">
        <v>255</v>
      </c>
      <c r="L14" s="6" t="s">
        <v>255</v>
      </c>
      <c r="M14" s="6" t="s">
        <v>255</v>
      </c>
      <c r="N14" s="6" t="s">
        <v>255</v>
      </c>
      <c r="O14" s="6" t="s">
        <v>255</v>
      </c>
      <c r="P14" s="6" t="s">
        <v>255</v>
      </c>
      <c r="Q14" s="6" t="s">
        <v>255</v>
      </c>
      <c r="R14" s="6" t="s">
        <v>255</v>
      </c>
      <c r="S14" s="6" t="s">
        <v>255</v>
      </c>
      <c r="T14" s="6" t="s">
        <v>255</v>
      </c>
    </row>
    <row r="15" spans="1:20">
      <c r="A15" s="63" t="s">
        <v>263</v>
      </c>
      <c r="B15" s="64">
        <v>1</v>
      </c>
      <c r="C15" s="64">
        <f t="shared" si="0"/>
        <v>64</v>
      </c>
      <c r="D15" s="2">
        <f t="shared" si="3"/>
        <v>64</v>
      </c>
      <c r="E15" s="65" t="s">
        <v>7</v>
      </c>
      <c r="F15" s="63" t="s">
        <v>236</v>
      </c>
      <c r="G15" s="63" t="s">
        <v>264</v>
      </c>
      <c r="H15" s="6" t="s">
        <v>255</v>
      </c>
      <c r="I15" s="20" t="s">
        <v>258</v>
      </c>
      <c r="J15" s="7" t="s">
        <v>255</v>
      </c>
      <c r="K15" s="20" t="s">
        <v>255</v>
      </c>
      <c r="L15" s="20" t="s">
        <v>258</v>
      </c>
      <c r="M15" s="20" t="s">
        <v>255</v>
      </c>
      <c r="N15" s="20" t="s">
        <v>258</v>
      </c>
      <c r="O15" s="20" t="s">
        <v>258</v>
      </c>
      <c r="P15" s="20" t="s">
        <v>258</v>
      </c>
      <c r="Q15" s="3" t="s">
        <v>258</v>
      </c>
      <c r="R15" s="3" t="s">
        <v>258</v>
      </c>
      <c r="S15" s="20" t="s">
        <v>258</v>
      </c>
      <c r="T15" s="20" t="s">
        <v>258</v>
      </c>
    </row>
    <row r="16" spans="1:20">
      <c r="A16" s="4" t="s">
        <v>265</v>
      </c>
      <c r="B16" s="2">
        <v>1</v>
      </c>
      <c r="C16" s="2">
        <f t="shared" si="0"/>
        <v>65</v>
      </c>
      <c r="D16" s="2">
        <f t="shared" si="3"/>
        <v>65</v>
      </c>
      <c r="E16" s="12" t="s">
        <v>7</v>
      </c>
      <c r="F16" s="4" t="s">
        <v>266</v>
      </c>
      <c r="G16" s="4" t="s">
        <v>257</v>
      </c>
      <c r="H16" s="3" t="s">
        <v>255</v>
      </c>
      <c r="I16" s="20" t="s">
        <v>255</v>
      </c>
      <c r="J16" s="20" t="s">
        <v>255</v>
      </c>
      <c r="K16" s="20" t="s">
        <v>255</v>
      </c>
      <c r="L16" s="20" t="s">
        <v>444</v>
      </c>
      <c r="M16" s="20" t="s">
        <v>258</v>
      </c>
      <c r="N16" s="20" t="s">
        <v>258</v>
      </c>
      <c r="O16" s="20" t="s">
        <v>258</v>
      </c>
      <c r="P16" s="20" t="s">
        <v>258</v>
      </c>
      <c r="Q16" s="3" t="s">
        <v>258</v>
      </c>
      <c r="R16" s="3" t="s">
        <v>444</v>
      </c>
      <c r="S16" s="20" t="s">
        <v>258</v>
      </c>
      <c r="T16" s="20" t="s">
        <v>258</v>
      </c>
    </row>
    <row r="17" spans="1:20">
      <c r="A17" s="4" t="s">
        <v>267</v>
      </c>
      <c r="B17" s="2">
        <v>1</v>
      </c>
      <c r="C17" s="2">
        <f t="shared" si="0"/>
        <v>66</v>
      </c>
      <c r="D17" s="2">
        <f t="shared" si="3"/>
        <v>66</v>
      </c>
      <c r="E17" s="12" t="s">
        <v>7</v>
      </c>
      <c r="F17" s="4" t="s">
        <v>236</v>
      </c>
      <c r="G17" s="4" t="s">
        <v>268</v>
      </c>
      <c r="H17" s="3" t="s">
        <v>258</v>
      </c>
      <c r="I17" s="20" t="s">
        <v>258</v>
      </c>
      <c r="J17" s="7" t="s">
        <v>255</v>
      </c>
      <c r="K17" s="20" t="s">
        <v>258</v>
      </c>
      <c r="L17" s="20" t="s">
        <v>258</v>
      </c>
      <c r="M17" s="20" t="s">
        <v>258</v>
      </c>
      <c r="N17" s="20" t="s">
        <v>258</v>
      </c>
      <c r="O17" s="20" t="s">
        <v>258</v>
      </c>
      <c r="P17" s="20" t="s">
        <v>258</v>
      </c>
      <c r="Q17" s="3" t="s">
        <v>258</v>
      </c>
      <c r="R17" s="3" t="s">
        <v>258</v>
      </c>
      <c r="S17" s="20" t="s">
        <v>258</v>
      </c>
      <c r="T17" s="20" t="s">
        <v>258</v>
      </c>
    </row>
    <row r="18" spans="1:20">
      <c r="A18" s="4" t="s">
        <v>269</v>
      </c>
      <c r="B18" s="2">
        <v>1</v>
      </c>
      <c r="C18" s="2">
        <f t="shared" si="0"/>
        <v>67</v>
      </c>
      <c r="D18" s="2">
        <f t="shared" si="3"/>
        <v>67</v>
      </c>
      <c r="E18" s="12" t="s">
        <v>7</v>
      </c>
      <c r="F18" s="4" t="s">
        <v>236</v>
      </c>
      <c r="G18" s="4" t="s">
        <v>270</v>
      </c>
      <c r="H18" s="3" t="s">
        <v>255</v>
      </c>
      <c r="I18" s="20" t="s">
        <v>258</v>
      </c>
      <c r="J18" s="53" t="s">
        <v>258</v>
      </c>
      <c r="K18" s="53" t="s">
        <v>255</v>
      </c>
      <c r="L18" s="20" t="s">
        <v>258</v>
      </c>
      <c r="M18" s="20" t="s">
        <v>258</v>
      </c>
      <c r="N18" s="20" t="s">
        <v>258</v>
      </c>
      <c r="O18" s="20" t="s">
        <v>258</v>
      </c>
      <c r="P18" s="20" t="s">
        <v>258</v>
      </c>
      <c r="Q18" s="3" t="s">
        <v>258</v>
      </c>
      <c r="R18" s="3" t="s">
        <v>258</v>
      </c>
      <c r="S18" s="20" t="s">
        <v>258</v>
      </c>
      <c r="T18" s="20" t="s">
        <v>258</v>
      </c>
    </row>
    <row r="19" spans="1:20" ht="29.9">
      <c r="A19" s="4" t="s">
        <v>271</v>
      </c>
      <c r="B19" s="2">
        <v>1</v>
      </c>
      <c r="C19" s="2">
        <f t="shared" si="0"/>
        <v>68</v>
      </c>
      <c r="D19" s="2">
        <f t="shared" si="3"/>
        <v>68</v>
      </c>
      <c r="E19" s="12" t="s">
        <v>7</v>
      </c>
      <c r="F19" s="4" t="s">
        <v>236</v>
      </c>
      <c r="G19" s="4" t="s">
        <v>272</v>
      </c>
      <c r="H19" s="6" t="s">
        <v>255</v>
      </c>
      <c r="I19" s="7" t="s">
        <v>255</v>
      </c>
      <c r="J19" s="54">
        <v>0</v>
      </c>
      <c r="K19" s="54">
        <v>0</v>
      </c>
      <c r="L19" s="20" t="s">
        <v>258</v>
      </c>
      <c r="M19" s="20" t="s">
        <v>258</v>
      </c>
      <c r="N19" s="20" t="s">
        <v>258</v>
      </c>
      <c r="O19" s="20" t="s">
        <v>258</v>
      </c>
      <c r="P19" s="20" t="s">
        <v>258</v>
      </c>
      <c r="Q19" s="3" t="s">
        <v>258</v>
      </c>
      <c r="R19" s="3" t="s">
        <v>258</v>
      </c>
      <c r="S19" s="20" t="s">
        <v>258</v>
      </c>
      <c r="T19" s="20" t="s">
        <v>258</v>
      </c>
    </row>
    <row r="20" spans="1:20" ht="89.7">
      <c r="A20" s="4" t="s">
        <v>273</v>
      </c>
      <c r="B20" s="2">
        <v>1</v>
      </c>
      <c r="C20" s="2">
        <f t="shared" si="0"/>
        <v>69</v>
      </c>
      <c r="D20" s="2">
        <f t="shared" si="3"/>
        <v>69</v>
      </c>
      <c r="E20" s="12" t="s">
        <v>7</v>
      </c>
      <c r="F20" s="4" t="s">
        <v>236</v>
      </c>
      <c r="G20" s="4" t="s">
        <v>854</v>
      </c>
      <c r="H20" s="6" t="s">
        <v>255</v>
      </c>
      <c r="I20" s="7" t="s">
        <v>255</v>
      </c>
      <c r="J20" s="7" t="s">
        <v>255</v>
      </c>
      <c r="K20" s="7" t="s">
        <v>255</v>
      </c>
      <c r="L20" s="7" t="s">
        <v>255</v>
      </c>
      <c r="M20" s="7" t="s">
        <v>258</v>
      </c>
      <c r="N20" s="20" t="s">
        <v>258</v>
      </c>
      <c r="O20" s="20" t="s">
        <v>255</v>
      </c>
      <c r="P20" s="7" t="s">
        <v>255</v>
      </c>
      <c r="Q20" s="3" t="s">
        <v>258</v>
      </c>
      <c r="R20" s="6" t="s">
        <v>255</v>
      </c>
      <c r="S20" s="15" t="s">
        <v>258</v>
      </c>
      <c r="T20" s="20" t="s">
        <v>258</v>
      </c>
    </row>
    <row r="21" spans="1:20" ht="89.7">
      <c r="A21" s="4" t="s">
        <v>275</v>
      </c>
      <c r="B21" s="2">
        <v>1</v>
      </c>
      <c r="C21" s="2">
        <f t="shared" si="0"/>
        <v>70</v>
      </c>
      <c r="D21" s="2">
        <f t="shared" si="3"/>
        <v>70</v>
      </c>
      <c r="E21" s="12" t="s">
        <v>7</v>
      </c>
      <c r="F21" s="4" t="s">
        <v>266</v>
      </c>
      <c r="G21" s="4" t="s">
        <v>860</v>
      </c>
      <c r="H21" s="6" t="s">
        <v>255</v>
      </c>
      <c r="I21" s="7" t="s">
        <v>255</v>
      </c>
      <c r="J21" s="7" t="s">
        <v>255</v>
      </c>
      <c r="K21" s="7" t="s">
        <v>255</v>
      </c>
      <c r="L21" s="7" t="s">
        <v>255</v>
      </c>
      <c r="M21" s="7" t="s">
        <v>258</v>
      </c>
      <c r="N21" s="20" t="s">
        <v>258</v>
      </c>
      <c r="O21" s="20" t="s">
        <v>255</v>
      </c>
      <c r="P21" s="15" t="s">
        <v>537</v>
      </c>
      <c r="Q21" s="3" t="s">
        <v>258</v>
      </c>
      <c r="R21" s="8" t="s">
        <v>444</v>
      </c>
      <c r="S21" s="15" t="s">
        <v>258</v>
      </c>
      <c r="T21" s="15" t="s">
        <v>258</v>
      </c>
    </row>
    <row r="22" spans="1:20" ht="89.7">
      <c r="A22" s="4" t="s">
        <v>277</v>
      </c>
      <c r="B22" s="2">
        <v>1</v>
      </c>
      <c r="C22" s="2">
        <f t="shared" si="0"/>
        <v>71</v>
      </c>
      <c r="D22" s="2">
        <f t="shared" si="3"/>
        <v>71</v>
      </c>
      <c r="E22" s="12" t="s">
        <v>7</v>
      </c>
      <c r="F22" s="4" t="s">
        <v>266</v>
      </c>
      <c r="G22" s="4" t="s">
        <v>859</v>
      </c>
      <c r="H22" s="6" t="s">
        <v>255</v>
      </c>
      <c r="I22" s="20" t="s">
        <v>255</v>
      </c>
      <c r="J22" s="7" t="s">
        <v>255</v>
      </c>
      <c r="K22" s="52" t="s">
        <v>255</v>
      </c>
      <c r="L22" s="20" t="s">
        <v>444</v>
      </c>
      <c r="M22" s="15" t="s">
        <v>258</v>
      </c>
      <c r="N22" s="20" t="s">
        <v>258</v>
      </c>
      <c r="O22" s="20" t="s">
        <v>255</v>
      </c>
      <c r="P22" s="20" t="s">
        <v>255</v>
      </c>
      <c r="Q22" s="3" t="s">
        <v>444</v>
      </c>
      <c r="R22" s="6" t="s">
        <v>255</v>
      </c>
      <c r="S22" s="20" t="s">
        <v>258</v>
      </c>
      <c r="T22" s="20" t="s">
        <v>258</v>
      </c>
    </row>
    <row r="23" spans="1:20" ht="179.35">
      <c r="A23" s="4" t="s">
        <v>278</v>
      </c>
      <c r="B23" s="2">
        <v>3</v>
      </c>
      <c r="C23" s="2">
        <f t="shared" si="0"/>
        <v>74</v>
      </c>
      <c r="D23" s="2">
        <f t="shared" si="3"/>
        <v>72</v>
      </c>
      <c r="E23" s="12" t="s">
        <v>853</v>
      </c>
      <c r="F23" s="4" t="s">
        <v>248</v>
      </c>
      <c r="G23" s="4" t="s">
        <v>855</v>
      </c>
      <c r="H23" s="6" t="s">
        <v>255</v>
      </c>
      <c r="I23" s="7" t="s">
        <v>255</v>
      </c>
      <c r="J23" s="7" t="s">
        <v>255</v>
      </c>
      <c r="K23" s="7" t="s">
        <v>255</v>
      </c>
      <c r="L23" s="7" t="s">
        <v>255</v>
      </c>
      <c r="M23" s="7" t="s">
        <v>255</v>
      </c>
      <c r="N23" s="7" t="s">
        <v>255</v>
      </c>
      <c r="O23" s="7" t="s">
        <v>255</v>
      </c>
      <c r="P23" s="15" t="s">
        <v>538</v>
      </c>
      <c r="Q23" s="6" t="s">
        <v>255</v>
      </c>
      <c r="R23" s="6" t="s">
        <v>255</v>
      </c>
      <c r="S23" s="7" t="s">
        <v>255</v>
      </c>
      <c r="T23" s="7" t="s">
        <v>255</v>
      </c>
    </row>
    <row r="24" spans="1:20" ht="134.5">
      <c r="A24" s="4" t="s">
        <v>279</v>
      </c>
      <c r="B24" s="2">
        <v>3</v>
      </c>
      <c r="C24" s="2">
        <f t="shared" si="0"/>
        <v>77</v>
      </c>
      <c r="D24" s="2">
        <f t="shared" si="3"/>
        <v>75</v>
      </c>
      <c r="E24" s="12" t="s">
        <v>7</v>
      </c>
      <c r="F24" s="4" t="s">
        <v>248</v>
      </c>
      <c r="G24" s="4" t="s">
        <v>856</v>
      </c>
      <c r="H24" s="6" t="s">
        <v>255</v>
      </c>
      <c r="I24" s="7" t="s">
        <v>255</v>
      </c>
      <c r="J24" s="7" t="s">
        <v>255</v>
      </c>
      <c r="K24" s="7" t="s">
        <v>255</v>
      </c>
      <c r="L24" s="7" t="s">
        <v>255</v>
      </c>
      <c r="M24" s="7" t="s">
        <v>630</v>
      </c>
      <c r="N24" s="7" t="s">
        <v>255</v>
      </c>
      <c r="O24" s="15" t="s">
        <v>565</v>
      </c>
      <c r="P24" s="7" t="s">
        <v>255</v>
      </c>
      <c r="Q24" s="8" t="s">
        <v>565</v>
      </c>
      <c r="R24" s="6" t="s">
        <v>255</v>
      </c>
      <c r="S24" s="7" t="s">
        <v>255</v>
      </c>
      <c r="T24" s="15" t="s">
        <v>565</v>
      </c>
    </row>
    <row r="25" spans="1:20" ht="134.5">
      <c r="A25" s="4" t="s">
        <v>281</v>
      </c>
      <c r="B25" s="2">
        <v>3</v>
      </c>
      <c r="C25" s="2">
        <f t="shared" si="0"/>
        <v>80</v>
      </c>
      <c r="D25" s="2">
        <f t="shared" si="3"/>
        <v>78</v>
      </c>
      <c r="E25" s="12" t="s">
        <v>7</v>
      </c>
      <c r="F25" s="4" t="s">
        <v>248</v>
      </c>
      <c r="G25" s="4" t="s">
        <v>857</v>
      </c>
      <c r="H25" s="8" t="s">
        <v>255</v>
      </c>
      <c r="I25" s="15" t="s">
        <v>488</v>
      </c>
      <c r="J25" s="52" t="s">
        <v>488</v>
      </c>
      <c r="K25" s="52" t="s">
        <v>255</v>
      </c>
      <c r="L25" s="7" t="s">
        <v>255</v>
      </c>
      <c r="M25" s="7" t="s">
        <v>630</v>
      </c>
      <c r="N25" s="23" t="s">
        <v>488</v>
      </c>
      <c r="O25" s="15" t="s">
        <v>565</v>
      </c>
      <c r="P25" s="15" t="s">
        <v>488</v>
      </c>
      <c r="Q25" s="3" t="s">
        <v>627</v>
      </c>
      <c r="R25" s="8" t="s">
        <v>630</v>
      </c>
      <c r="S25" s="7" t="s">
        <v>255</v>
      </c>
      <c r="T25" s="7" t="s">
        <v>255</v>
      </c>
    </row>
    <row r="26" spans="1:20" ht="134.5">
      <c r="A26" s="4" t="s">
        <v>282</v>
      </c>
      <c r="B26" s="2">
        <v>3</v>
      </c>
      <c r="C26" s="2">
        <f t="shared" si="0"/>
        <v>83</v>
      </c>
      <c r="D26" s="2">
        <f t="shared" si="3"/>
        <v>81</v>
      </c>
      <c r="E26" s="12" t="s">
        <v>7</v>
      </c>
      <c r="F26" s="4" t="s">
        <v>248</v>
      </c>
      <c r="G26" s="4" t="s">
        <v>858</v>
      </c>
      <c r="H26" s="8" t="s">
        <v>1026</v>
      </c>
      <c r="I26" s="15" t="s">
        <v>1027</v>
      </c>
      <c r="J26" s="52" t="s">
        <v>1028</v>
      </c>
      <c r="K26" s="7" t="s">
        <v>519</v>
      </c>
      <c r="L26" s="20" t="s">
        <v>565</v>
      </c>
      <c r="M26" s="7" t="s">
        <v>630</v>
      </c>
      <c r="N26" s="20" t="s">
        <v>258</v>
      </c>
      <c r="O26" s="15" t="s">
        <v>565</v>
      </c>
      <c r="P26" s="7" t="s">
        <v>255</v>
      </c>
      <c r="Q26" s="3" t="s">
        <v>627</v>
      </c>
      <c r="R26" s="3" t="s">
        <v>258</v>
      </c>
      <c r="S26" s="20" t="s">
        <v>258</v>
      </c>
      <c r="T26" s="20" t="s">
        <v>258</v>
      </c>
    </row>
    <row r="27" spans="1:20" ht="44.85">
      <c r="A27" s="4" t="s">
        <v>284</v>
      </c>
      <c r="B27" s="2">
        <v>1</v>
      </c>
      <c r="C27" s="2">
        <f t="shared" si="0"/>
        <v>84</v>
      </c>
      <c r="D27" s="2">
        <f t="shared" si="3"/>
        <v>84</v>
      </c>
      <c r="E27" s="12" t="s">
        <v>7</v>
      </c>
      <c r="F27" s="4" t="s">
        <v>236</v>
      </c>
      <c r="G27" s="4" t="s">
        <v>285</v>
      </c>
      <c r="H27" s="8" t="s">
        <v>258</v>
      </c>
      <c r="I27" s="15" t="s">
        <v>258</v>
      </c>
      <c r="J27" s="7" t="s">
        <v>255</v>
      </c>
      <c r="K27" s="7" t="s">
        <v>255</v>
      </c>
      <c r="L27" s="20" t="s">
        <v>258</v>
      </c>
      <c r="M27" s="7" t="s">
        <v>258</v>
      </c>
      <c r="N27" s="20" t="s">
        <v>258</v>
      </c>
      <c r="O27" s="15" t="s">
        <v>258</v>
      </c>
      <c r="P27" s="7" t="s">
        <v>255</v>
      </c>
      <c r="Q27" s="8" t="s">
        <v>258</v>
      </c>
      <c r="R27" s="8" t="s">
        <v>258</v>
      </c>
      <c r="S27" s="15" t="s">
        <v>258</v>
      </c>
      <c r="T27" s="15" t="s">
        <v>258</v>
      </c>
    </row>
    <row r="28" spans="1:20" ht="44.85">
      <c r="A28" s="4" t="s">
        <v>286</v>
      </c>
      <c r="B28" s="2">
        <v>1</v>
      </c>
      <c r="C28" s="2">
        <f t="shared" si="0"/>
        <v>85</v>
      </c>
      <c r="D28" s="2">
        <f t="shared" si="3"/>
        <v>85</v>
      </c>
      <c r="E28" s="12" t="s">
        <v>7</v>
      </c>
      <c r="F28" s="4" t="s">
        <v>236</v>
      </c>
      <c r="G28" s="4" t="s">
        <v>287</v>
      </c>
      <c r="H28" s="6" t="s">
        <v>255</v>
      </c>
      <c r="I28" s="7" t="s">
        <v>255</v>
      </c>
      <c r="J28" s="52" t="s">
        <v>258</v>
      </c>
      <c r="K28" s="7" t="s">
        <v>255</v>
      </c>
      <c r="L28" s="20" t="s">
        <v>258</v>
      </c>
      <c r="M28" s="7" t="s">
        <v>258</v>
      </c>
      <c r="N28" s="20" t="s">
        <v>258</v>
      </c>
      <c r="O28" s="7" t="s">
        <v>255</v>
      </c>
      <c r="P28" s="7" t="s">
        <v>255</v>
      </c>
      <c r="Q28" s="3" t="s">
        <v>258</v>
      </c>
      <c r="R28" s="6" t="s">
        <v>255</v>
      </c>
      <c r="S28" s="15" t="s">
        <v>258</v>
      </c>
      <c r="T28" s="15" t="s">
        <v>258</v>
      </c>
    </row>
    <row r="29" spans="1:20" ht="44.85">
      <c r="A29" s="4" t="s">
        <v>288</v>
      </c>
      <c r="B29" s="2">
        <v>1</v>
      </c>
      <c r="C29" s="2">
        <f t="shared" si="0"/>
        <v>86</v>
      </c>
      <c r="D29" s="2">
        <f t="shared" si="3"/>
        <v>86</v>
      </c>
      <c r="E29" s="12" t="s">
        <v>7</v>
      </c>
      <c r="F29" s="4" t="s">
        <v>236</v>
      </c>
      <c r="G29" s="4" t="s">
        <v>289</v>
      </c>
      <c r="H29" s="6" t="s">
        <v>255</v>
      </c>
      <c r="I29" s="7" t="s">
        <v>255</v>
      </c>
      <c r="J29" s="7" t="s">
        <v>255</v>
      </c>
      <c r="K29" s="7" t="s">
        <v>255</v>
      </c>
      <c r="L29" s="20" t="s">
        <v>258</v>
      </c>
      <c r="M29" s="7" t="s">
        <v>258</v>
      </c>
      <c r="N29" s="20" t="s">
        <v>258</v>
      </c>
      <c r="O29" s="7" t="s">
        <v>255</v>
      </c>
      <c r="P29" s="7" t="s">
        <v>255</v>
      </c>
      <c r="Q29" s="3" t="s">
        <v>258</v>
      </c>
      <c r="R29" s="8" t="s">
        <v>258</v>
      </c>
      <c r="S29" s="7" t="s">
        <v>255</v>
      </c>
      <c r="T29" s="7" t="s">
        <v>255</v>
      </c>
    </row>
    <row r="30" spans="1:20" s="38" customFormat="1" ht="328.75">
      <c r="A30" s="12" t="s">
        <v>290</v>
      </c>
      <c r="B30" s="2">
        <v>3</v>
      </c>
      <c r="C30" s="2">
        <f t="shared" si="0"/>
        <v>89</v>
      </c>
      <c r="D30" s="2">
        <f t="shared" si="3"/>
        <v>87</v>
      </c>
      <c r="E30" s="12" t="s">
        <v>7</v>
      </c>
      <c r="F30" s="12" t="s">
        <v>236</v>
      </c>
      <c r="G30" s="12" t="s">
        <v>291</v>
      </c>
      <c r="H30" s="8" t="s">
        <v>258</v>
      </c>
      <c r="I30" s="15" t="s">
        <v>258</v>
      </c>
      <c r="J30" s="52" t="s">
        <v>258</v>
      </c>
      <c r="K30" s="52" t="s">
        <v>258</v>
      </c>
      <c r="L30" s="23" t="s">
        <v>258</v>
      </c>
      <c r="M30" s="7" t="s">
        <v>255</v>
      </c>
      <c r="N30" s="23" t="s">
        <v>258</v>
      </c>
      <c r="O30" s="15" t="s">
        <v>258</v>
      </c>
      <c r="P30" s="37" t="s">
        <v>258</v>
      </c>
      <c r="Q30" s="8" t="s">
        <v>675</v>
      </c>
      <c r="R30" s="8" t="s">
        <v>258</v>
      </c>
      <c r="S30" s="15" t="s">
        <v>258</v>
      </c>
      <c r="T30" s="15" t="s">
        <v>663</v>
      </c>
    </row>
    <row r="31" spans="1:20" ht="298.89999999999998">
      <c r="A31" s="4" t="s">
        <v>292</v>
      </c>
      <c r="B31" s="2">
        <v>3</v>
      </c>
      <c r="C31" s="2">
        <f t="shared" si="0"/>
        <v>92</v>
      </c>
      <c r="D31" s="2">
        <f t="shared" si="3"/>
        <v>90</v>
      </c>
      <c r="E31" s="12" t="s">
        <v>7</v>
      </c>
      <c r="F31" s="4" t="s">
        <v>236</v>
      </c>
      <c r="G31" s="12" t="s">
        <v>293</v>
      </c>
      <c r="H31" s="7" t="s">
        <v>255</v>
      </c>
      <c r="I31" s="15" t="s">
        <v>258</v>
      </c>
      <c r="J31" s="52" t="s">
        <v>258</v>
      </c>
      <c r="K31" s="52" t="s">
        <v>258</v>
      </c>
      <c r="L31" s="23" t="s">
        <v>258</v>
      </c>
      <c r="M31" s="7" t="s">
        <v>255</v>
      </c>
      <c r="N31" s="23" t="s">
        <v>258</v>
      </c>
      <c r="O31" s="15" t="s">
        <v>258</v>
      </c>
      <c r="P31" s="7" t="s">
        <v>255</v>
      </c>
      <c r="Q31" s="8" t="s">
        <v>258</v>
      </c>
      <c r="R31" s="8" t="s">
        <v>258</v>
      </c>
      <c r="S31" s="7" t="s">
        <v>255</v>
      </c>
      <c r="T31" s="7" t="s">
        <v>255</v>
      </c>
    </row>
    <row r="32" spans="1:20" ht="328.75">
      <c r="A32" s="4" t="s">
        <v>294</v>
      </c>
      <c r="B32" s="2">
        <v>3</v>
      </c>
      <c r="C32" s="2">
        <f t="shared" si="0"/>
        <v>95</v>
      </c>
      <c r="D32" s="2">
        <f t="shared" si="3"/>
        <v>93</v>
      </c>
      <c r="E32" s="12" t="s">
        <v>7</v>
      </c>
      <c r="F32" s="4" t="s">
        <v>236</v>
      </c>
      <c r="G32" s="12" t="s">
        <v>295</v>
      </c>
      <c r="H32" s="8" t="s">
        <v>443</v>
      </c>
      <c r="I32" s="15" t="s">
        <v>444</v>
      </c>
      <c r="J32" s="52" t="s">
        <v>258</v>
      </c>
      <c r="K32" s="52" t="s">
        <v>258</v>
      </c>
      <c r="L32" s="23" t="s">
        <v>258</v>
      </c>
      <c r="M32" s="7" t="s">
        <v>255</v>
      </c>
      <c r="N32" s="23" t="s">
        <v>258</v>
      </c>
      <c r="O32" s="23" t="s">
        <v>444</v>
      </c>
      <c r="P32" s="7" t="s">
        <v>255</v>
      </c>
      <c r="Q32" s="3" t="s">
        <v>258</v>
      </c>
      <c r="R32" s="8" t="s">
        <v>258</v>
      </c>
      <c r="S32" s="15" t="s">
        <v>641</v>
      </c>
      <c r="T32" s="15" t="s">
        <v>258</v>
      </c>
    </row>
    <row r="33" spans="1:20" ht="328.75">
      <c r="A33" s="4" t="s">
        <v>296</v>
      </c>
      <c r="B33" s="2">
        <v>3</v>
      </c>
      <c r="C33" s="2">
        <f t="shared" si="0"/>
        <v>98</v>
      </c>
      <c r="D33" s="2">
        <f t="shared" si="3"/>
        <v>96</v>
      </c>
      <c r="E33" s="12" t="s">
        <v>7</v>
      </c>
      <c r="F33" s="4" t="s">
        <v>248</v>
      </c>
      <c r="G33" s="12" t="s">
        <v>297</v>
      </c>
      <c r="H33" s="8" t="s">
        <v>444</v>
      </c>
      <c r="I33" s="8" t="s">
        <v>444</v>
      </c>
      <c r="J33" s="15" t="s">
        <v>258</v>
      </c>
      <c r="K33" s="15" t="s">
        <v>1029</v>
      </c>
      <c r="L33" s="34" t="s">
        <v>258</v>
      </c>
      <c r="M33" s="23" t="s">
        <v>258</v>
      </c>
      <c r="N33" s="20" t="s">
        <v>258</v>
      </c>
      <c r="O33" s="23" t="s">
        <v>444</v>
      </c>
      <c r="P33" s="23" t="s">
        <v>258</v>
      </c>
      <c r="Q33" s="3" t="s">
        <v>627</v>
      </c>
      <c r="R33" s="3" t="s">
        <v>258</v>
      </c>
      <c r="S33" s="20" t="s">
        <v>258</v>
      </c>
      <c r="T33" s="20" t="s">
        <v>258</v>
      </c>
    </row>
    <row r="34" spans="1:20" ht="44.85">
      <c r="A34" s="4" t="s">
        <v>298</v>
      </c>
      <c r="B34" s="2">
        <v>1</v>
      </c>
      <c r="C34" s="2">
        <f t="shared" si="0"/>
        <v>99</v>
      </c>
      <c r="D34" s="2">
        <f t="shared" si="3"/>
        <v>99</v>
      </c>
      <c r="E34" s="12" t="s">
        <v>7</v>
      </c>
      <c r="F34" s="4" t="s">
        <v>236</v>
      </c>
      <c r="G34" s="4" t="s">
        <v>299</v>
      </c>
      <c r="H34" s="3" t="s">
        <v>258</v>
      </c>
      <c r="I34" s="20" t="s">
        <v>258</v>
      </c>
      <c r="J34" s="20" t="s">
        <v>258</v>
      </c>
      <c r="K34" s="20" t="s">
        <v>258</v>
      </c>
      <c r="L34" s="20" t="s">
        <v>258</v>
      </c>
      <c r="M34" s="20" t="s">
        <v>258</v>
      </c>
      <c r="N34" s="20" t="s">
        <v>444</v>
      </c>
      <c r="O34" s="35" t="s">
        <v>258</v>
      </c>
      <c r="P34" s="20" t="s">
        <v>258</v>
      </c>
      <c r="Q34" s="3" t="s">
        <v>258</v>
      </c>
      <c r="R34" s="3" t="s">
        <v>258</v>
      </c>
      <c r="S34" s="20" t="s">
        <v>258</v>
      </c>
      <c r="T34" s="20" t="s">
        <v>258</v>
      </c>
    </row>
    <row r="35" spans="1:20">
      <c r="A35" s="4" t="s">
        <v>300</v>
      </c>
      <c r="B35" s="2">
        <v>25</v>
      </c>
      <c r="C35" s="2">
        <f t="shared" si="0"/>
        <v>124</v>
      </c>
      <c r="D35" s="2">
        <f t="shared" si="3"/>
        <v>100</v>
      </c>
      <c r="E35" s="12" t="s">
        <v>7</v>
      </c>
      <c r="F35" s="4" t="s">
        <v>236</v>
      </c>
      <c r="G35" s="4" t="s">
        <v>257</v>
      </c>
      <c r="H35" s="3" t="s">
        <v>258</v>
      </c>
      <c r="I35" s="20" t="s">
        <v>258</v>
      </c>
      <c r="J35" s="20" t="s">
        <v>258</v>
      </c>
      <c r="K35" s="20" t="s">
        <v>258</v>
      </c>
      <c r="L35" s="20" t="s">
        <v>258</v>
      </c>
      <c r="M35" s="20" t="s">
        <v>258</v>
      </c>
      <c r="N35" s="20" t="s">
        <v>258</v>
      </c>
      <c r="O35" s="35" t="s">
        <v>258</v>
      </c>
      <c r="P35" s="20" t="s">
        <v>258</v>
      </c>
      <c r="Q35" s="3" t="s">
        <v>258</v>
      </c>
      <c r="R35" s="3" t="s">
        <v>258</v>
      </c>
      <c r="S35" s="20" t="s">
        <v>258</v>
      </c>
      <c r="T35" s="20" t="s">
        <v>258</v>
      </c>
    </row>
    <row r="36" spans="1:20" ht="44.85">
      <c r="A36" s="4" t="s">
        <v>301</v>
      </c>
      <c r="B36" s="2">
        <v>1</v>
      </c>
      <c r="C36" s="2">
        <f t="shared" si="0"/>
        <v>125</v>
      </c>
      <c r="D36" s="2">
        <f t="shared" si="3"/>
        <v>125</v>
      </c>
      <c r="E36" s="12" t="s">
        <v>7</v>
      </c>
      <c r="F36" s="4" t="s">
        <v>236</v>
      </c>
      <c r="G36" s="4" t="s">
        <v>302</v>
      </c>
      <c r="H36" s="3" t="s">
        <v>255</v>
      </c>
      <c r="I36" s="20" t="s">
        <v>255</v>
      </c>
      <c r="J36" s="20" t="s">
        <v>255</v>
      </c>
      <c r="K36" s="20" t="s">
        <v>255</v>
      </c>
      <c r="L36" s="20" t="s">
        <v>258</v>
      </c>
      <c r="M36" s="20" t="s">
        <v>258</v>
      </c>
      <c r="N36" s="20" t="s">
        <v>258</v>
      </c>
      <c r="O36" s="35" t="s">
        <v>258</v>
      </c>
      <c r="P36" s="20" t="s">
        <v>258</v>
      </c>
      <c r="Q36" s="3" t="s">
        <v>258</v>
      </c>
      <c r="R36" s="3" t="s">
        <v>255</v>
      </c>
      <c r="S36" s="20" t="s">
        <v>258</v>
      </c>
      <c r="T36" s="20" t="s">
        <v>258</v>
      </c>
    </row>
    <row r="37" spans="1:20" ht="44.85">
      <c r="A37" s="4" t="s">
        <v>303</v>
      </c>
      <c r="B37" s="2">
        <v>1</v>
      </c>
      <c r="C37" s="2">
        <f t="shared" si="0"/>
        <v>126</v>
      </c>
      <c r="D37" s="2">
        <f t="shared" si="3"/>
        <v>126</v>
      </c>
      <c r="E37" s="12" t="s">
        <v>7</v>
      </c>
      <c r="F37" s="4" t="s">
        <v>236</v>
      </c>
      <c r="G37" s="4" t="s">
        <v>304</v>
      </c>
      <c r="H37" s="6" t="s">
        <v>255</v>
      </c>
      <c r="I37" s="7" t="s">
        <v>255</v>
      </c>
      <c r="J37" s="20" t="s">
        <v>258</v>
      </c>
      <c r="K37" s="20" t="s">
        <v>258</v>
      </c>
      <c r="L37" s="20" t="s">
        <v>258</v>
      </c>
      <c r="M37" s="20" t="s">
        <v>258</v>
      </c>
      <c r="N37" s="20" t="s">
        <v>258</v>
      </c>
      <c r="O37" s="35" t="s">
        <v>258</v>
      </c>
      <c r="P37" s="7" t="s">
        <v>255</v>
      </c>
      <c r="Q37" s="3" t="s">
        <v>258</v>
      </c>
      <c r="R37" s="3" t="s">
        <v>258</v>
      </c>
      <c r="S37" s="20" t="s">
        <v>255</v>
      </c>
      <c r="T37" s="20" t="s">
        <v>255</v>
      </c>
    </row>
    <row r="38" spans="1:20" ht="44.85">
      <c r="A38" s="4" t="s">
        <v>305</v>
      </c>
      <c r="B38" s="2">
        <v>1</v>
      </c>
      <c r="C38" s="2">
        <f t="shared" si="0"/>
        <v>127</v>
      </c>
      <c r="D38" s="2">
        <f t="shared" si="3"/>
        <v>127</v>
      </c>
      <c r="E38" s="12" t="s">
        <v>7</v>
      </c>
      <c r="F38" s="4" t="s">
        <v>236</v>
      </c>
      <c r="G38" s="4" t="s">
        <v>306</v>
      </c>
      <c r="H38" s="6" t="s">
        <v>255</v>
      </c>
      <c r="I38" s="20" t="s">
        <v>255</v>
      </c>
      <c r="J38" s="20" t="s">
        <v>444</v>
      </c>
      <c r="K38" s="7" t="s">
        <v>255</v>
      </c>
      <c r="L38" s="20" t="s">
        <v>258</v>
      </c>
      <c r="M38" s="20" t="s">
        <v>258</v>
      </c>
      <c r="N38" s="20" t="s">
        <v>258</v>
      </c>
      <c r="O38" s="35" t="s">
        <v>258</v>
      </c>
      <c r="P38" s="20" t="s">
        <v>258</v>
      </c>
      <c r="Q38" s="3" t="s">
        <v>258</v>
      </c>
      <c r="R38" s="3" t="s">
        <v>258</v>
      </c>
      <c r="S38" s="20" t="s">
        <v>258</v>
      </c>
      <c r="T38" s="20" t="s">
        <v>255</v>
      </c>
    </row>
    <row r="39" spans="1:20">
      <c r="A39" s="4" t="s">
        <v>307</v>
      </c>
      <c r="B39" s="2">
        <v>4</v>
      </c>
      <c r="C39" s="2">
        <f t="shared" si="0"/>
        <v>131</v>
      </c>
      <c r="D39" s="2">
        <f t="shared" si="3"/>
        <v>128</v>
      </c>
      <c r="E39" s="12" t="s">
        <v>7</v>
      </c>
      <c r="F39" s="4" t="s">
        <v>236</v>
      </c>
      <c r="G39" s="4" t="s">
        <v>308</v>
      </c>
      <c r="H39" s="6" t="s">
        <v>255</v>
      </c>
      <c r="I39" s="7" t="s">
        <v>255</v>
      </c>
      <c r="J39" s="20" t="s">
        <v>258</v>
      </c>
      <c r="K39" s="20" t="s">
        <v>258</v>
      </c>
      <c r="L39" s="34" t="s">
        <v>258</v>
      </c>
      <c r="M39" s="20" t="s">
        <v>258</v>
      </c>
      <c r="N39" s="20" t="s">
        <v>258</v>
      </c>
      <c r="O39" s="35" t="s">
        <v>258</v>
      </c>
      <c r="P39" s="20" t="s">
        <v>258</v>
      </c>
      <c r="Q39" s="3" t="s">
        <v>258</v>
      </c>
      <c r="R39" s="3" t="s">
        <v>258</v>
      </c>
      <c r="S39" s="20" t="s">
        <v>258</v>
      </c>
      <c r="T39" s="20" t="s">
        <v>258</v>
      </c>
    </row>
    <row r="40" spans="1:20">
      <c r="A40" s="4" t="s">
        <v>309</v>
      </c>
      <c r="B40" s="2">
        <v>4</v>
      </c>
      <c r="C40" s="2">
        <f t="shared" si="0"/>
        <v>135</v>
      </c>
      <c r="D40" s="2">
        <f t="shared" si="3"/>
        <v>132</v>
      </c>
      <c r="E40" s="12" t="s">
        <v>7</v>
      </c>
      <c r="F40" s="4" t="s">
        <v>236</v>
      </c>
      <c r="G40" s="4" t="s">
        <v>310</v>
      </c>
      <c r="H40" s="6" t="s">
        <v>255</v>
      </c>
      <c r="I40" s="7" t="s">
        <v>255</v>
      </c>
      <c r="J40" s="20" t="s">
        <v>258</v>
      </c>
      <c r="K40" s="20" t="s">
        <v>258</v>
      </c>
      <c r="L40" s="34" t="s">
        <v>258</v>
      </c>
      <c r="M40" s="20" t="s">
        <v>258</v>
      </c>
      <c r="N40" s="20" t="s">
        <v>258</v>
      </c>
      <c r="O40" s="35" t="s">
        <v>258</v>
      </c>
      <c r="P40" s="20" t="s">
        <v>258</v>
      </c>
      <c r="Q40" s="3" t="s">
        <v>258</v>
      </c>
      <c r="R40" s="3" t="s">
        <v>258</v>
      </c>
      <c r="S40" s="20" t="s">
        <v>258</v>
      </c>
      <c r="T40" s="20" t="s">
        <v>258</v>
      </c>
    </row>
    <row r="41" spans="1:20">
      <c r="A41" s="4" t="s">
        <v>311</v>
      </c>
      <c r="B41" s="2">
        <v>4</v>
      </c>
      <c r="C41" s="2">
        <f t="shared" si="0"/>
        <v>139</v>
      </c>
      <c r="D41" s="2">
        <f t="shared" si="3"/>
        <v>136</v>
      </c>
      <c r="E41" s="12" t="s">
        <v>7</v>
      </c>
      <c r="F41" s="4" t="s">
        <v>236</v>
      </c>
      <c r="G41" s="4" t="s">
        <v>312</v>
      </c>
      <c r="H41" s="6" t="s">
        <v>255</v>
      </c>
      <c r="I41" s="7" t="s">
        <v>255</v>
      </c>
      <c r="J41" s="20" t="s">
        <v>258</v>
      </c>
      <c r="K41" s="20" t="s">
        <v>258</v>
      </c>
      <c r="L41" s="34" t="s">
        <v>258</v>
      </c>
      <c r="M41" s="20" t="s">
        <v>258</v>
      </c>
      <c r="N41" s="20" t="s">
        <v>258</v>
      </c>
      <c r="O41" s="35" t="s">
        <v>258</v>
      </c>
      <c r="P41" s="20" t="s">
        <v>258</v>
      </c>
      <c r="Q41" s="3" t="s">
        <v>258</v>
      </c>
      <c r="R41" s="3" t="s">
        <v>258</v>
      </c>
      <c r="S41" s="20" t="s">
        <v>258</v>
      </c>
      <c r="T41" s="20" t="s">
        <v>258</v>
      </c>
    </row>
    <row r="42" spans="1:20">
      <c r="A42" s="4" t="s">
        <v>313</v>
      </c>
      <c r="B42" s="2">
        <v>4</v>
      </c>
      <c r="C42" s="2">
        <f t="shared" si="0"/>
        <v>143</v>
      </c>
      <c r="D42" s="2">
        <f t="shared" si="3"/>
        <v>140</v>
      </c>
      <c r="E42" s="12" t="s">
        <v>7</v>
      </c>
      <c r="F42" s="4" t="s">
        <v>236</v>
      </c>
      <c r="G42" s="4" t="s">
        <v>314</v>
      </c>
      <c r="H42" s="6" t="s">
        <v>255</v>
      </c>
      <c r="I42" s="7" t="s">
        <v>255</v>
      </c>
      <c r="J42" s="20" t="s">
        <v>258</v>
      </c>
      <c r="K42" s="20" t="s">
        <v>258</v>
      </c>
      <c r="L42" s="34" t="s">
        <v>258</v>
      </c>
      <c r="M42" s="20" t="s">
        <v>258</v>
      </c>
      <c r="N42" s="20" t="s">
        <v>258</v>
      </c>
      <c r="O42" s="35" t="s">
        <v>258</v>
      </c>
      <c r="P42" s="20" t="s">
        <v>258</v>
      </c>
      <c r="Q42" s="3" t="s">
        <v>258</v>
      </c>
      <c r="R42" s="3" t="s">
        <v>258</v>
      </c>
      <c r="S42" s="20" t="s">
        <v>258</v>
      </c>
      <c r="T42" s="20" t="s">
        <v>258</v>
      </c>
    </row>
    <row r="43" spans="1:20">
      <c r="A43" s="4" t="s">
        <v>315</v>
      </c>
      <c r="B43" s="2">
        <v>4</v>
      </c>
      <c r="C43" s="2">
        <f t="shared" si="0"/>
        <v>147</v>
      </c>
      <c r="D43" s="2">
        <f t="shared" si="3"/>
        <v>144</v>
      </c>
      <c r="E43" s="12" t="s">
        <v>7</v>
      </c>
      <c r="F43" s="4" t="s">
        <v>236</v>
      </c>
      <c r="G43" s="4" t="s">
        <v>316</v>
      </c>
      <c r="H43" s="6" t="s">
        <v>255</v>
      </c>
      <c r="I43" s="7" t="s">
        <v>255</v>
      </c>
      <c r="J43" s="20" t="s">
        <v>258</v>
      </c>
      <c r="K43" s="20" t="s">
        <v>258</v>
      </c>
      <c r="L43" s="34" t="s">
        <v>258</v>
      </c>
      <c r="M43" s="20" t="s">
        <v>258</v>
      </c>
      <c r="N43" s="20" t="s">
        <v>258</v>
      </c>
      <c r="O43" s="35" t="s">
        <v>258</v>
      </c>
      <c r="P43" s="20" t="s">
        <v>258</v>
      </c>
      <c r="Q43" s="3" t="s">
        <v>258</v>
      </c>
      <c r="R43" s="3" t="s">
        <v>258</v>
      </c>
      <c r="S43" s="20" t="s">
        <v>258</v>
      </c>
      <c r="T43" s="20" t="s">
        <v>258</v>
      </c>
    </row>
    <row r="44" spans="1:20">
      <c r="A44" s="4" t="s">
        <v>317</v>
      </c>
      <c r="B44" s="2">
        <v>4</v>
      </c>
      <c r="C44" s="2">
        <f t="shared" si="0"/>
        <v>151</v>
      </c>
      <c r="D44" s="2">
        <f t="shared" si="3"/>
        <v>148</v>
      </c>
      <c r="E44" s="12" t="s">
        <v>7</v>
      </c>
      <c r="F44" s="4" t="s">
        <v>236</v>
      </c>
      <c r="G44" s="4" t="s">
        <v>318</v>
      </c>
      <c r="H44" s="6" t="s">
        <v>255</v>
      </c>
      <c r="I44" s="7" t="s">
        <v>255</v>
      </c>
      <c r="J44" s="20" t="s">
        <v>258</v>
      </c>
      <c r="K44" s="20" t="s">
        <v>258</v>
      </c>
      <c r="L44" s="34" t="s">
        <v>258</v>
      </c>
      <c r="M44" s="20" t="s">
        <v>258</v>
      </c>
      <c r="N44" s="20" t="s">
        <v>258</v>
      </c>
      <c r="O44" s="35" t="s">
        <v>258</v>
      </c>
      <c r="P44" s="20" t="s">
        <v>258</v>
      </c>
      <c r="Q44" s="3" t="s">
        <v>258</v>
      </c>
      <c r="R44" s="3" t="s">
        <v>258</v>
      </c>
      <c r="S44" s="20" t="s">
        <v>258</v>
      </c>
      <c r="T44" s="20" t="s">
        <v>258</v>
      </c>
    </row>
    <row r="45" spans="1:20">
      <c r="A45" s="4" t="s">
        <v>319</v>
      </c>
      <c r="B45" s="2">
        <v>4</v>
      </c>
      <c r="C45" s="2">
        <f t="shared" si="0"/>
        <v>155</v>
      </c>
      <c r="D45" s="2">
        <f t="shared" si="3"/>
        <v>152</v>
      </c>
      <c r="E45" s="12" t="s">
        <v>7</v>
      </c>
      <c r="F45" s="4" t="s">
        <v>236</v>
      </c>
      <c r="G45" s="4" t="s">
        <v>320</v>
      </c>
      <c r="H45" s="6" t="s">
        <v>255</v>
      </c>
      <c r="I45" s="7" t="s">
        <v>255</v>
      </c>
      <c r="J45" s="20" t="s">
        <v>258</v>
      </c>
      <c r="K45" s="20" t="s">
        <v>258</v>
      </c>
      <c r="L45" s="34" t="s">
        <v>258</v>
      </c>
      <c r="M45" s="20" t="s">
        <v>258</v>
      </c>
      <c r="N45" s="20" t="s">
        <v>258</v>
      </c>
      <c r="O45" s="35" t="s">
        <v>258</v>
      </c>
      <c r="P45" s="20" t="s">
        <v>258</v>
      </c>
      <c r="Q45" s="3" t="s">
        <v>258</v>
      </c>
      <c r="R45" s="3" t="s">
        <v>258</v>
      </c>
      <c r="S45" s="20" t="s">
        <v>258</v>
      </c>
      <c r="T45" s="20" t="s">
        <v>258</v>
      </c>
    </row>
    <row r="46" spans="1:20">
      <c r="A46" s="4" t="s">
        <v>321</v>
      </c>
      <c r="B46" s="2">
        <v>4</v>
      </c>
      <c r="C46" s="2">
        <f t="shared" si="0"/>
        <v>159</v>
      </c>
      <c r="D46" s="2">
        <f t="shared" si="3"/>
        <v>156</v>
      </c>
      <c r="E46" s="12" t="s">
        <v>7</v>
      </c>
      <c r="F46" s="4" t="s">
        <v>236</v>
      </c>
      <c r="G46" s="4" t="s">
        <v>322</v>
      </c>
      <c r="H46" s="6" t="s">
        <v>255</v>
      </c>
      <c r="I46" s="7" t="s">
        <v>255</v>
      </c>
      <c r="J46" s="20" t="s">
        <v>258</v>
      </c>
      <c r="K46" s="20" t="s">
        <v>258</v>
      </c>
      <c r="L46" s="34" t="s">
        <v>258</v>
      </c>
      <c r="M46" s="20" t="s">
        <v>258</v>
      </c>
      <c r="N46" s="20" t="s">
        <v>258</v>
      </c>
      <c r="O46" s="35" t="s">
        <v>258</v>
      </c>
      <c r="P46" s="20" t="s">
        <v>258</v>
      </c>
      <c r="Q46" s="3" t="s">
        <v>258</v>
      </c>
      <c r="R46" s="3" t="s">
        <v>258</v>
      </c>
      <c r="S46" s="20" t="s">
        <v>258</v>
      </c>
      <c r="T46" s="20" t="s">
        <v>258</v>
      </c>
    </row>
    <row r="47" spans="1:20">
      <c r="A47" s="4" t="s">
        <v>323</v>
      </c>
      <c r="B47" s="2">
        <v>4</v>
      </c>
      <c r="C47" s="2">
        <f t="shared" si="0"/>
        <v>163</v>
      </c>
      <c r="D47" s="2">
        <f t="shared" si="3"/>
        <v>160</v>
      </c>
      <c r="E47" s="12" t="s">
        <v>7</v>
      </c>
      <c r="F47" s="4" t="s">
        <v>266</v>
      </c>
      <c r="G47" s="4" t="s">
        <v>324</v>
      </c>
      <c r="H47" s="6" t="s">
        <v>255</v>
      </c>
      <c r="I47" s="7" t="s">
        <v>255</v>
      </c>
      <c r="J47" s="20" t="s">
        <v>444</v>
      </c>
      <c r="K47" s="20" t="s">
        <v>444</v>
      </c>
      <c r="L47" s="34" t="s">
        <v>444</v>
      </c>
      <c r="M47" s="20" t="s">
        <v>444</v>
      </c>
      <c r="N47" s="20" t="s">
        <v>444</v>
      </c>
      <c r="O47" s="35" t="s">
        <v>444</v>
      </c>
      <c r="P47" s="20" t="s">
        <v>444</v>
      </c>
      <c r="Q47" s="3" t="s">
        <v>258</v>
      </c>
      <c r="R47" s="3" t="s">
        <v>258</v>
      </c>
      <c r="S47" s="20" t="s">
        <v>444</v>
      </c>
      <c r="T47" s="20" t="s">
        <v>444</v>
      </c>
    </row>
    <row r="48" spans="1:20">
      <c r="A48" s="4" t="s">
        <v>325</v>
      </c>
      <c r="B48" s="2">
        <v>4</v>
      </c>
      <c r="C48" s="2">
        <f t="shared" si="0"/>
        <v>167</v>
      </c>
      <c r="D48" s="2">
        <f t="shared" si="3"/>
        <v>164</v>
      </c>
      <c r="E48" s="12" t="s">
        <v>7</v>
      </c>
      <c r="F48" s="4" t="s">
        <v>266</v>
      </c>
      <c r="G48" s="4" t="s">
        <v>326</v>
      </c>
      <c r="H48" s="6" t="s">
        <v>255</v>
      </c>
      <c r="I48" s="7" t="s">
        <v>255</v>
      </c>
      <c r="J48" s="20" t="s">
        <v>444</v>
      </c>
      <c r="K48" s="20" t="s">
        <v>444</v>
      </c>
      <c r="L48" s="34" t="s">
        <v>444</v>
      </c>
      <c r="M48" s="20" t="s">
        <v>444</v>
      </c>
      <c r="N48" s="20" t="s">
        <v>444</v>
      </c>
      <c r="O48" s="35" t="s">
        <v>444</v>
      </c>
      <c r="P48" s="20" t="s">
        <v>444</v>
      </c>
      <c r="Q48" s="3" t="s">
        <v>258</v>
      </c>
      <c r="R48" s="3" t="s">
        <v>258</v>
      </c>
      <c r="S48" s="20" t="s">
        <v>444</v>
      </c>
      <c r="T48" s="20" t="s">
        <v>444</v>
      </c>
    </row>
    <row r="49" spans="1:20">
      <c r="A49" s="4" t="s">
        <v>327</v>
      </c>
      <c r="B49" s="2">
        <v>4</v>
      </c>
      <c r="C49" s="2">
        <f t="shared" ref="C49:C54" si="4">D49+B49-1</f>
        <v>171</v>
      </c>
      <c r="D49" s="2">
        <f t="shared" si="3"/>
        <v>168</v>
      </c>
      <c r="E49" s="12" t="s">
        <v>7</v>
      </c>
      <c r="F49" s="4" t="s">
        <v>236</v>
      </c>
      <c r="G49" s="4" t="s">
        <v>328</v>
      </c>
      <c r="H49" s="3" t="s">
        <v>258</v>
      </c>
      <c r="I49" s="20" t="s">
        <v>258</v>
      </c>
      <c r="J49" s="20" t="s">
        <v>258</v>
      </c>
      <c r="K49" s="20" t="s">
        <v>258</v>
      </c>
      <c r="L49" s="20" t="s">
        <v>258</v>
      </c>
      <c r="M49" s="20" t="s">
        <v>258</v>
      </c>
      <c r="N49" s="20" t="s">
        <v>258</v>
      </c>
      <c r="O49" s="35" t="s">
        <v>258</v>
      </c>
      <c r="P49" s="20" t="s">
        <v>258</v>
      </c>
      <c r="Q49" s="3" t="s">
        <v>258</v>
      </c>
      <c r="R49" s="3" t="s">
        <v>258</v>
      </c>
      <c r="S49" s="20" t="s">
        <v>258</v>
      </c>
      <c r="T49" s="20" t="s">
        <v>258</v>
      </c>
    </row>
    <row r="50" spans="1:20">
      <c r="A50" s="4" t="s">
        <v>329</v>
      </c>
      <c r="B50" s="2">
        <v>4</v>
      </c>
      <c r="C50" s="2">
        <f t="shared" si="4"/>
        <v>175</v>
      </c>
      <c r="D50" s="2">
        <f t="shared" si="3"/>
        <v>172</v>
      </c>
      <c r="E50" s="12" t="s">
        <v>7</v>
      </c>
      <c r="F50" s="4" t="s">
        <v>236</v>
      </c>
      <c r="G50" s="4" t="s">
        <v>330</v>
      </c>
      <c r="H50" s="3" t="s">
        <v>258</v>
      </c>
      <c r="I50" s="20" t="s">
        <v>258</v>
      </c>
      <c r="J50" s="20" t="s">
        <v>258</v>
      </c>
      <c r="K50" s="20" t="s">
        <v>258</v>
      </c>
      <c r="L50" s="20" t="s">
        <v>258</v>
      </c>
      <c r="M50" s="20" t="s">
        <v>258</v>
      </c>
      <c r="N50" s="20" t="s">
        <v>258</v>
      </c>
      <c r="O50" s="35" t="s">
        <v>258</v>
      </c>
      <c r="P50" s="20" t="s">
        <v>258</v>
      </c>
      <c r="Q50" s="3" t="s">
        <v>258</v>
      </c>
      <c r="R50" s="3" t="s">
        <v>258</v>
      </c>
      <c r="S50" s="20" t="s">
        <v>258</v>
      </c>
      <c r="T50" s="20" t="s">
        <v>258</v>
      </c>
    </row>
    <row r="51" spans="1:20">
      <c r="A51" s="4" t="s">
        <v>331</v>
      </c>
      <c r="B51" s="2">
        <v>4</v>
      </c>
      <c r="C51" s="2">
        <f t="shared" si="4"/>
        <v>179</v>
      </c>
      <c r="D51" s="2">
        <f t="shared" si="3"/>
        <v>176</v>
      </c>
      <c r="E51" s="12" t="s">
        <v>7</v>
      </c>
      <c r="F51" s="4" t="s">
        <v>236</v>
      </c>
      <c r="G51" s="4" t="s">
        <v>332</v>
      </c>
      <c r="H51" s="3" t="s">
        <v>258</v>
      </c>
      <c r="I51" s="20" t="s">
        <v>258</v>
      </c>
      <c r="J51" s="20" t="s">
        <v>258</v>
      </c>
      <c r="K51" s="20" t="s">
        <v>258</v>
      </c>
      <c r="L51" s="20" t="s">
        <v>258</v>
      </c>
      <c r="M51" s="20" t="s">
        <v>258</v>
      </c>
      <c r="N51" s="20" t="s">
        <v>258</v>
      </c>
      <c r="O51" s="35" t="s">
        <v>258</v>
      </c>
      <c r="P51" s="20" t="s">
        <v>258</v>
      </c>
      <c r="Q51" s="3" t="s">
        <v>258</v>
      </c>
      <c r="R51" s="3" t="s">
        <v>258</v>
      </c>
      <c r="S51" s="20" t="s">
        <v>258</v>
      </c>
      <c r="T51" s="20" t="s">
        <v>258</v>
      </c>
    </row>
    <row r="52" spans="1:20">
      <c r="A52" s="4" t="s">
        <v>333</v>
      </c>
      <c r="B52" s="2">
        <v>4</v>
      </c>
      <c r="C52" s="2">
        <f t="shared" si="4"/>
        <v>183</v>
      </c>
      <c r="D52" s="2">
        <f t="shared" si="3"/>
        <v>180</v>
      </c>
      <c r="E52" s="12" t="s">
        <v>7</v>
      </c>
      <c r="F52" s="4" t="s">
        <v>236</v>
      </c>
      <c r="G52" s="4" t="s">
        <v>334</v>
      </c>
      <c r="H52" s="3" t="s">
        <v>258</v>
      </c>
      <c r="I52" s="20" t="s">
        <v>258</v>
      </c>
      <c r="J52" s="20" t="s">
        <v>258</v>
      </c>
      <c r="K52" s="20" t="s">
        <v>258</v>
      </c>
      <c r="L52" s="20" t="s">
        <v>258</v>
      </c>
      <c r="M52" s="20" t="s">
        <v>258</v>
      </c>
      <c r="N52" s="20" t="s">
        <v>258</v>
      </c>
      <c r="O52" s="35" t="s">
        <v>258</v>
      </c>
      <c r="P52" s="20" t="s">
        <v>258</v>
      </c>
      <c r="Q52" s="3" t="s">
        <v>258</v>
      </c>
      <c r="R52" s="3" t="s">
        <v>258</v>
      </c>
      <c r="S52" s="20" t="s">
        <v>258</v>
      </c>
      <c r="T52" s="20" t="s">
        <v>258</v>
      </c>
    </row>
    <row r="53" spans="1:20">
      <c r="A53" s="4" t="s">
        <v>335</v>
      </c>
      <c r="B53" s="2">
        <v>4</v>
      </c>
      <c r="C53" s="2">
        <f t="shared" si="4"/>
        <v>187</v>
      </c>
      <c r="D53" s="2">
        <f t="shared" si="3"/>
        <v>184</v>
      </c>
      <c r="E53" s="12" t="s">
        <v>7</v>
      </c>
      <c r="F53" s="4" t="s">
        <v>236</v>
      </c>
      <c r="G53" s="4" t="s">
        <v>336</v>
      </c>
      <c r="H53" s="3" t="s">
        <v>258</v>
      </c>
      <c r="I53" s="20" t="s">
        <v>258</v>
      </c>
      <c r="J53" s="20" t="s">
        <v>258</v>
      </c>
      <c r="K53" s="20" t="s">
        <v>258</v>
      </c>
      <c r="L53" s="20" t="s">
        <v>258</v>
      </c>
      <c r="M53" s="20" t="s">
        <v>258</v>
      </c>
      <c r="N53" s="20" t="s">
        <v>258</v>
      </c>
      <c r="O53" s="35" t="s">
        <v>258</v>
      </c>
      <c r="P53" s="20" t="s">
        <v>258</v>
      </c>
      <c r="Q53" s="3" t="s">
        <v>258</v>
      </c>
      <c r="R53" s="3" t="s">
        <v>258</v>
      </c>
      <c r="S53" s="20" t="s">
        <v>258</v>
      </c>
      <c r="T53" s="20" t="s">
        <v>258</v>
      </c>
    </row>
    <row r="54" spans="1:20">
      <c r="A54" s="4" t="s">
        <v>337</v>
      </c>
      <c r="B54" s="2">
        <v>4</v>
      </c>
      <c r="C54" s="2">
        <f t="shared" si="4"/>
        <v>191</v>
      </c>
      <c r="D54" s="2">
        <f t="shared" si="3"/>
        <v>188</v>
      </c>
      <c r="E54" s="12" t="s">
        <v>7</v>
      </c>
      <c r="F54" s="4" t="s">
        <v>236</v>
      </c>
      <c r="G54" s="4" t="s">
        <v>338</v>
      </c>
      <c r="H54" s="3" t="s">
        <v>258</v>
      </c>
      <c r="I54" s="20" t="s">
        <v>258</v>
      </c>
      <c r="J54" s="20" t="s">
        <v>258</v>
      </c>
      <c r="K54" s="20" t="s">
        <v>258</v>
      </c>
      <c r="L54" s="20" t="s">
        <v>258</v>
      </c>
      <c r="M54" s="20" t="s">
        <v>258</v>
      </c>
      <c r="N54" s="20" t="s">
        <v>258</v>
      </c>
      <c r="O54" s="35" t="s">
        <v>258</v>
      </c>
      <c r="P54" s="20" t="s">
        <v>258</v>
      </c>
      <c r="Q54" s="3" t="s">
        <v>258</v>
      </c>
      <c r="R54" s="3" t="s">
        <v>258</v>
      </c>
      <c r="S54" s="20" t="s">
        <v>258</v>
      </c>
      <c r="T54" s="20" t="s">
        <v>258</v>
      </c>
    </row>
    <row r="55" spans="1:20" ht="44.85">
      <c r="A55" s="4" t="s">
        <v>339</v>
      </c>
      <c r="B55" s="2">
        <v>64</v>
      </c>
      <c r="C55" s="2">
        <f t="shared" si="0"/>
        <v>255</v>
      </c>
      <c r="D55" s="2">
        <f t="shared" si="3"/>
        <v>192</v>
      </c>
      <c r="E55" s="12" t="s">
        <v>7</v>
      </c>
      <c r="F55" s="4" t="s">
        <v>340</v>
      </c>
      <c r="G55" s="4" t="s">
        <v>341</v>
      </c>
      <c r="H55" s="6" t="s">
        <v>255</v>
      </c>
      <c r="I55" s="7" t="s">
        <v>255</v>
      </c>
      <c r="J55" s="7" t="s">
        <v>255</v>
      </c>
      <c r="K55" s="7" t="s">
        <v>255</v>
      </c>
      <c r="L55" s="7" t="s">
        <v>255</v>
      </c>
      <c r="M55" s="7" t="s">
        <v>255</v>
      </c>
      <c r="N55" s="7" t="s">
        <v>255</v>
      </c>
      <c r="O55" s="7" t="s">
        <v>255</v>
      </c>
      <c r="P55" s="7" t="s">
        <v>255</v>
      </c>
      <c r="Q55" s="6" t="s">
        <v>255</v>
      </c>
      <c r="R55" s="6" t="s">
        <v>255</v>
      </c>
      <c r="S55" s="7" t="s">
        <v>255</v>
      </c>
      <c r="T55" s="7" t="s">
        <v>255</v>
      </c>
    </row>
    <row r="56" spans="1:20" ht="74.75">
      <c r="A56" s="4" t="s">
        <v>342</v>
      </c>
      <c r="B56" s="2">
        <v>16</v>
      </c>
      <c r="C56" s="2">
        <f t="shared" si="0"/>
        <v>271</v>
      </c>
      <c r="D56" s="2">
        <f t="shared" si="3"/>
        <v>256</v>
      </c>
      <c r="E56" s="12" t="s">
        <v>7</v>
      </c>
      <c r="F56" s="4" t="s">
        <v>266</v>
      </c>
      <c r="G56" s="4" t="s">
        <v>343</v>
      </c>
      <c r="H56" s="6" t="s">
        <v>255</v>
      </c>
      <c r="I56" s="7" t="s">
        <v>255</v>
      </c>
      <c r="J56" s="7" t="s">
        <v>490</v>
      </c>
      <c r="K56" s="23" t="s">
        <v>444</v>
      </c>
      <c r="L56" s="7" t="s">
        <v>575</v>
      </c>
      <c r="M56" s="7" t="s">
        <v>255</v>
      </c>
      <c r="N56" s="7" t="s">
        <v>255</v>
      </c>
      <c r="O56" s="7" t="s">
        <v>255</v>
      </c>
      <c r="P56" s="7" t="s">
        <v>255</v>
      </c>
      <c r="Q56" s="6" t="s">
        <v>255</v>
      </c>
      <c r="R56" s="6" t="s">
        <v>255</v>
      </c>
      <c r="S56" s="7" t="s">
        <v>255</v>
      </c>
      <c r="T56" s="7" t="s">
        <v>255</v>
      </c>
    </row>
    <row r="57" spans="1:20">
      <c r="A57" s="4" t="s">
        <v>344</v>
      </c>
      <c r="B57" s="2">
        <v>16</v>
      </c>
      <c r="C57" s="2">
        <f t="shared" si="0"/>
        <v>287</v>
      </c>
      <c r="D57" s="2">
        <f t="shared" ref="D57:D63" si="5">C56+1</f>
        <v>272</v>
      </c>
      <c r="E57" s="12" t="s">
        <v>7</v>
      </c>
      <c r="F57" s="4" t="s">
        <v>266</v>
      </c>
      <c r="G57" s="4" t="s">
        <v>345</v>
      </c>
      <c r="H57" s="6" t="s">
        <v>255</v>
      </c>
      <c r="I57" s="7" t="s">
        <v>255</v>
      </c>
      <c r="J57" s="7" t="s">
        <v>255</v>
      </c>
      <c r="K57" s="7" t="s">
        <v>255</v>
      </c>
      <c r="L57" s="7" t="s">
        <v>255</v>
      </c>
      <c r="M57" s="7" t="s">
        <v>255</v>
      </c>
      <c r="N57" s="7" t="s">
        <v>255</v>
      </c>
      <c r="O57" s="7" t="s">
        <v>255</v>
      </c>
      <c r="P57" s="7" t="s">
        <v>255</v>
      </c>
      <c r="Q57" s="6" t="s">
        <v>255</v>
      </c>
      <c r="R57" s="6" t="s">
        <v>255</v>
      </c>
      <c r="S57" s="7" t="s">
        <v>255</v>
      </c>
      <c r="T57" s="7" t="s">
        <v>255</v>
      </c>
    </row>
    <row r="58" spans="1:20" ht="44.85">
      <c r="A58" s="4" t="s">
        <v>346</v>
      </c>
      <c r="B58" s="2">
        <v>16</v>
      </c>
      <c r="C58" s="2">
        <f t="shared" si="0"/>
        <v>303</v>
      </c>
      <c r="D58" s="2">
        <f t="shared" si="5"/>
        <v>288</v>
      </c>
      <c r="E58" s="12" t="s">
        <v>7</v>
      </c>
      <c r="F58" s="4" t="s">
        <v>266</v>
      </c>
      <c r="G58" s="4" t="s">
        <v>347</v>
      </c>
      <c r="H58" s="6" t="s">
        <v>255</v>
      </c>
      <c r="I58" s="7" t="s">
        <v>255</v>
      </c>
      <c r="J58" s="23" t="s">
        <v>444</v>
      </c>
      <c r="K58" s="23" t="s">
        <v>444</v>
      </c>
      <c r="L58" s="15" t="s">
        <v>444</v>
      </c>
      <c r="M58" s="7" t="s">
        <v>255</v>
      </c>
      <c r="N58" s="7" t="s">
        <v>255</v>
      </c>
      <c r="O58" s="7" t="s">
        <v>255</v>
      </c>
      <c r="P58" s="7" t="s">
        <v>255</v>
      </c>
      <c r="Q58" s="6" t="s">
        <v>255</v>
      </c>
      <c r="R58" s="6" t="s">
        <v>255</v>
      </c>
      <c r="S58" s="7" t="s">
        <v>255</v>
      </c>
      <c r="T58" s="7" t="s">
        <v>255</v>
      </c>
    </row>
    <row r="59" spans="1:20" ht="44.85">
      <c r="A59" s="4" t="s">
        <v>348</v>
      </c>
      <c r="B59" s="2">
        <v>16</v>
      </c>
      <c r="C59" s="2">
        <f t="shared" si="0"/>
        <v>319</v>
      </c>
      <c r="D59" s="2">
        <f t="shared" si="5"/>
        <v>304</v>
      </c>
      <c r="E59" s="12" t="s">
        <v>7</v>
      </c>
      <c r="F59" s="4" t="s">
        <v>266</v>
      </c>
      <c r="G59" s="4" t="s">
        <v>349</v>
      </c>
      <c r="H59" s="6" t="s">
        <v>255</v>
      </c>
      <c r="I59" s="7" t="s">
        <v>255</v>
      </c>
      <c r="J59" s="7" t="s">
        <v>255</v>
      </c>
      <c r="K59" s="7" t="s">
        <v>255</v>
      </c>
      <c r="L59" s="7" t="s">
        <v>255</v>
      </c>
      <c r="M59" s="7" t="s">
        <v>255</v>
      </c>
      <c r="N59" s="7" t="s">
        <v>255</v>
      </c>
      <c r="O59" s="7" t="s">
        <v>255</v>
      </c>
      <c r="P59" s="7" t="s">
        <v>255</v>
      </c>
      <c r="Q59" s="6" t="s">
        <v>255</v>
      </c>
      <c r="R59" s="6" t="s">
        <v>255</v>
      </c>
      <c r="S59" s="7" t="s">
        <v>255</v>
      </c>
      <c r="T59" s="7" t="s">
        <v>255</v>
      </c>
    </row>
    <row r="60" spans="1:20" ht="409.6">
      <c r="A60" s="4" t="s">
        <v>350</v>
      </c>
      <c r="B60" s="2">
        <v>16</v>
      </c>
      <c r="C60" s="2">
        <f t="shared" si="0"/>
        <v>335</v>
      </c>
      <c r="D60" s="2">
        <f t="shared" si="5"/>
        <v>320</v>
      </c>
      <c r="E60" s="12" t="s">
        <v>7</v>
      </c>
      <c r="F60" s="4" t="s">
        <v>266</v>
      </c>
      <c r="G60" s="4" t="s">
        <v>351</v>
      </c>
      <c r="H60" s="8" t="s">
        <v>459</v>
      </c>
      <c r="I60" s="15" t="s">
        <v>459</v>
      </c>
      <c r="J60" s="7" t="s">
        <v>255</v>
      </c>
      <c r="K60" s="23" t="s">
        <v>444</v>
      </c>
      <c r="L60" s="15" t="s">
        <v>444</v>
      </c>
      <c r="M60" s="23" t="s">
        <v>459</v>
      </c>
      <c r="N60" s="23" t="s">
        <v>459</v>
      </c>
      <c r="O60" s="23" t="s">
        <v>459</v>
      </c>
      <c r="P60" s="23" t="s">
        <v>459</v>
      </c>
      <c r="Q60" s="8" t="s">
        <v>459</v>
      </c>
      <c r="R60" s="8" t="s">
        <v>459</v>
      </c>
      <c r="S60" s="23" t="s">
        <v>645</v>
      </c>
      <c r="T60" s="15" t="s">
        <v>444</v>
      </c>
    </row>
    <row r="61" spans="1:20" ht="59.8">
      <c r="A61" s="4" t="s">
        <v>352</v>
      </c>
      <c r="B61" s="2">
        <v>16</v>
      </c>
      <c r="C61" s="2">
        <f t="shared" si="0"/>
        <v>351</v>
      </c>
      <c r="D61" s="2">
        <f t="shared" si="5"/>
        <v>336</v>
      </c>
      <c r="E61" s="12" t="s">
        <v>7</v>
      </c>
      <c r="F61" s="4" t="s">
        <v>266</v>
      </c>
      <c r="G61" s="4" t="s">
        <v>353</v>
      </c>
      <c r="H61" s="6" t="s">
        <v>255</v>
      </c>
      <c r="I61" s="15" t="s">
        <v>463</v>
      </c>
      <c r="J61" s="7" t="s">
        <v>255</v>
      </c>
      <c r="K61" s="23" t="s">
        <v>522</v>
      </c>
      <c r="L61" s="7" t="s">
        <v>255</v>
      </c>
      <c r="M61" s="23" t="s">
        <v>463</v>
      </c>
      <c r="N61" s="23" t="s">
        <v>463</v>
      </c>
      <c r="O61" s="23" t="s">
        <v>463</v>
      </c>
      <c r="P61" s="23" t="s">
        <v>463</v>
      </c>
      <c r="Q61" s="6" t="s">
        <v>255</v>
      </c>
      <c r="R61" s="8" t="s">
        <v>463</v>
      </c>
      <c r="S61" s="23" t="s">
        <v>463</v>
      </c>
      <c r="T61" s="23" t="s">
        <v>463</v>
      </c>
    </row>
    <row r="62" spans="1:20" ht="44.85">
      <c r="A62" s="4" t="s">
        <v>354</v>
      </c>
      <c r="B62" s="2">
        <v>16</v>
      </c>
      <c r="C62" s="2">
        <f t="shared" si="0"/>
        <v>367</v>
      </c>
      <c r="D62" s="2">
        <f t="shared" si="5"/>
        <v>352</v>
      </c>
      <c r="E62" s="12" t="s">
        <v>7</v>
      </c>
      <c r="F62" s="4" t="s">
        <v>266</v>
      </c>
      <c r="G62" s="4" t="s">
        <v>355</v>
      </c>
      <c r="H62" s="6" t="s">
        <v>255</v>
      </c>
      <c r="I62" s="7" t="s">
        <v>255</v>
      </c>
      <c r="J62" s="23" t="s">
        <v>444</v>
      </c>
      <c r="K62" s="23" t="s">
        <v>444</v>
      </c>
      <c r="L62" s="15" t="s">
        <v>444</v>
      </c>
      <c r="M62" s="23" t="s">
        <v>540</v>
      </c>
      <c r="N62" s="23" t="s">
        <v>540</v>
      </c>
      <c r="O62" s="23" t="s">
        <v>540</v>
      </c>
      <c r="P62" s="23" t="s">
        <v>540</v>
      </c>
      <c r="Q62" s="8" t="s">
        <v>540</v>
      </c>
      <c r="R62" s="8" t="s">
        <v>540</v>
      </c>
      <c r="S62" s="7" t="s">
        <v>255</v>
      </c>
      <c r="T62" s="7" t="s">
        <v>255</v>
      </c>
    </row>
    <row r="63" spans="1:20" ht="104.6">
      <c r="A63" s="4" t="s">
        <v>356</v>
      </c>
      <c r="B63" s="2">
        <v>16</v>
      </c>
      <c r="C63" s="2">
        <f t="shared" si="0"/>
        <v>383</v>
      </c>
      <c r="D63" s="2">
        <f t="shared" si="5"/>
        <v>368</v>
      </c>
      <c r="E63" s="12" t="s">
        <v>7</v>
      </c>
      <c r="F63" s="4" t="s">
        <v>266</v>
      </c>
      <c r="G63" s="4" t="s">
        <v>357</v>
      </c>
      <c r="H63" s="6" t="s">
        <v>255</v>
      </c>
      <c r="I63" s="7" t="s">
        <v>255</v>
      </c>
      <c r="J63" s="7" t="s">
        <v>255</v>
      </c>
      <c r="K63" s="23" t="s">
        <v>523</v>
      </c>
      <c r="L63" s="7" t="s">
        <v>255</v>
      </c>
      <c r="M63" s="23" t="s">
        <v>541</v>
      </c>
      <c r="N63" s="23" t="s">
        <v>541</v>
      </c>
      <c r="O63" s="23" t="s">
        <v>541</v>
      </c>
      <c r="P63" s="23" t="s">
        <v>541</v>
      </c>
      <c r="Q63" s="6" t="s">
        <v>255</v>
      </c>
      <c r="R63" s="8" t="s">
        <v>541</v>
      </c>
      <c r="S63" s="7" t="s">
        <v>255</v>
      </c>
      <c r="T63" s="23" t="s">
        <v>541</v>
      </c>
    </row>
    <row r="64" spans="1:20" ht="373.6">
      <c r="A64" s="4" t="s">
        <v>358</v>
      </c>
      <c r="B64" s="2">
        <v>16</v>
      </c>
      <c r="C64" s="2">
        <f t="shared" si="0"/>
        <v>399</v>
      </c>
      <c r="D64" s="2">
        <f t="shared" ref="D64:D89" si="6">C63+1</f>
        <v>384</v>
      </c>
      <c r="E64" s="12" t="s">
        <v>7</v>
      </c>
      <c r="F64" s="4" t="s">
        <v>266</v>
      </c>
      <c r="G64" s="4" t="s">
        <v>359</v>
      </c>
      <c r="H64" s="8" t="s">
        <v>462</v>
      </c>
      <c r="I64" s="15" t="s">
        <v>444</v>
      </c>
      <c r="J64" s="7" t="s">
        <v>1030</v>
      </c>
      <c r="K64" s="23" t="s">
        <v>444</v>
      </c>
      <c r="L64" s="15" t="s">
        <v>444</v>
      </c>
      <c r="M64" s="23" t="s">
        <v>459</v>
      </c>
      <c r="N64" s="7" t="s">
        <v>255</v>
      </c>
      <c r="O64" s="23" t="s">
        <v>444</v>
      </c>
      <c r="P64" s="23" t="s">
        <v>459</v>
      </c>
      <c r="Q64" s="3" t="s">
        <v>444</v>
      </c>
      <c r="R64" s="8" t="s">
        <v>444</v>
      </c>
      <c r="S64" s="23" t="s">
        <v>647</v>
      </c>
      <c r="T64" s="23" t="s">
        <v>459</v>
      </c>
    </row>
    <row r="65" spans="1:20">
      <c r="A65" s="4" t="s">
        <v>360</v>
      </c>
      <c r="B65" s="2">
        <v>16</v>
      </c>
      <c r="C65" s="2">
        <f t="shared" si="0"/>
        <v>415</v>
      </c>
      <c r="D65" s="2">
        <f t="shared" si="6"/>
        <v>400</v>
      </c>
      <c r="E65" s="12" t="s">
        <v>7</v>
      </c>
      <c r="F65" s="4" t="s">
        <v>266</v>
      </c>
      <c r="G65" s="4" t="s">
        <v>361</v>
      </c>
      <c r="H65" s="8" t="s">
        <v>463</v>
      </c>
      <c r="I65" s="15" t="s">
        <v>463</v>
      </c>
      <c r="J65" s="23" t="s">
        <v>463</v>
      </c>
      <c r="K65" s="7" t="s">
        <v>255</v>
      </c>
      <c r="L65" s="15" t="s">
        <v>463</v>
      </c>
      <c r="M65" s="23" t="s">
        <v>463</v>
      </c>
      <c r="N65" s="20" t="s">
        <v>444</v>
      </c>
      <c r="O65" s="23" t="s">
        <v>463</v>
      </c>
      <c r="P65" s="23" t="s">
        <v>463</v>
      </c>
      <c r="Q65" s="3" t="s">
        <v>444</v>
      </c>
      <c r="R65" s="8" t="s">
        <v>463</v>
      </c>
      <c r="S65" s="7" t="s">
        <v>255</v>
      </c>
      <c r="T65" s="23" t="s">
        <v>463</v>
      </c>
    </row>
    <row r="66" spans="1:20" ht="104.6">
      <c r="A66" s="4" t="s">
        <v>362</v>
      </c>
      <c r="B66" s="2">
        <v>16</v>
      </c>
      <c r="C66" s="2">
        <f t="shared" si="0"/>
        <v>431</v>
      </c>
      <c r="D66" s="2">
        <f t="shared" si="6"/>
        <v>416</v>
      </c>
      <c r="E66" s="12" t="s">
        <v>7</v>
      </c>
      <c r="F66" s="4" t="s">
        <v>266</v>
      </c>
      <c r="G66" s="4" t="s">
        <v>363</v>
      </c>
      <c r="H66" s="6" t="s">
        <v>255</v>
      </c>
      <c r="I66" s="7" t="s">
        <v>255</v>
      </c>
      <c r="J66" s="23" t="s">
        <v>444</v>
      </c>
      <c r="K66" s="23" t="s">
        <v>444</v>
      </c>
      <c r="L66" s="15" t="s">
        <v>444</v>
      </c>
      <c r="M66" s="23" t="s">
        <v>540</v>
      </c>
      <c r="N66" s="20" t="s">
        <v>444</v>
      </c>
      <c r="O66" s="23" t="s">
        <v>444</v>
      </c>
      <c r="P66" s="23" t="s">
        <v>540</v>
      </c>
      <c r="Q66" s="3" t="s">
        <v>444</v>
      </c>
      <c r="R66" s="8" t="s">
        <v>444</v>
      </c>
      <c r="S66" s="23" t="s">
        <v>444</v>
      </c>
      <c r="T66" s="23" t="s">
        <v>666</v>
      </c>
    </row>
    <row r="67" spans="1:20" ht="194.3">
      <c r="A67" s="4" t="s">
        <v>364</v>
      </c>
      <c r="B67" s="2">
        <v>16</v>
      </c>
      <c r="C67" s="2">
        <f t="shared" si="0"/>
        <v>447</v>
      </c>
      <c r="D67" s="2">
        <f t="shared" si="6"/>
        <v>432</v>
      </c>
      <c r="E67" s="12" t="s">
        <v>7</v>
      </c>
      <c r="F67" s="4" t="s">
        <v>266</v>
      </c>
      <c r="G67" s="4" t="s">
        <v>365</v>
      </c>
      <c r="H67" s="6" t="s">
        <v>255</v>
      </c>
      <c r="I67" s="7" t="s">
        <v>255</v>
      </c>
      <c r="J67" s="7" t="s">
        <v>255</v>
      </c>
      <c r="K67" s="7" t="s">
        <v>255</v>
      </c>
      <c r="L67" s="7" t="s">
        <v>255</v>
      </c>
      <c r="M67" s="23" t="s">
        <v>541</v>
      </c>
      <c r="N67" s="20" t="s">
        <v>444</v>
      </c>
      <c r="O67" s="23" t="s">
        <v>444</v>
      </c>
      <c r="P67" s="23" t="s">
        <v>541</v>
      </c>
      <c r="Q67" s="3" t="s">
        <v>444</v>
      </c>
      <c r="R67" s="6" t="s">
        <v>1031</v>
      </c>
      <c r="S67" s="7" t="s">
        <v>255</v>
      </c>
      <c r="T67" s="15" t="s">
        <v>444</v>
      </c>
    </row>
    <row r="68" spans="1:20" ht="164.4">
      <c r="A68" s="4" t="s">
        <v>366</v>
      </c>
      <c r="B68" s="2">
        <v>16</v>
      </c>
      <c r="C68" s="2">
        <f t="shared" si="0"/>
        <v>463</v>
      </c>
      <c r="D68" s="2">
        <f t="shared" si="6"/>
        <v>448</v>
      </c>
      <c r="E68" s="12" t="s">
        <v>7</v>
      </c>
      <c r="F68" s="4" t="s">
        <v>266</v>
      </c>
      <c r="G68" s="4" t="s">
        <v>367</v>
      </c>
      <c r="H68" s="8" t="s">
        <v>466</v>
      </c>
      <c r="I68" s="15" t="s">
        <v>466</v>
      </c>
      <c r="J68" s="23" t="s">
        <v>466</v>
      </c>
      <c r="K68" s="23" t="s">
        <v>466</v>
      </c>
      <c r="L68" s="15" t="s">
        <v>466</v>
      </c>
      <c r="M68" s="7" t="s">
        <v>1032</v>
      </c>
      <c r="N68" s="23" t="s">
        <v>466</v>
      </c>
      <c r="O68" s="23" t="s">
        <v>466</v>
      </c>
      <c r="P68" s="23" t="s">
        <v>543</v>
      </c>
      <c r="Q68" s="15" t="s">
        <v>679</v>
      </c>
      <c r="R68" s="15" t="s">
        <v>466</v>
      </c>
      <c r="S68" s="23" t="s">
        <v>466</v>
      </c>
      <c r="T68" s="23" t="s">
        <v>667</v>
      </c>
    </row>
    <row r="69" spans="1:20" ht="164.4">
      <c r="A69" s="4" t="s">
        <v>368</v>
      </c>
      <c r="B69" s="2">
        <v>16</v>
      </c>
      <c r="C69" s="2">
        <f t="shared" si="0"/>
        <v>479</v>
      </c>
      <c r="D69" s="2">
        <f t="shared" si="6"/>
        <v>464</v>
      </c>
      <c r="E69" s="12" t="s">
        <v>7</v>
      </c>
      <c r="F69" s="4" t="s">
        <v>266</v>
      </c>
      <c r="G69" s="4" t="s">
        <v>369</v>
      </c>
      <c r="H69" s="8" t="s">
        <v>467</v>
      </c>
      <c r="I69" s="15" t="s">
        <v>467</v>
      </c>
      <c r="J69" s="23" t="s">
        <v>497</v>
      </c>
      <c r="K69" s="23" t="s">
        <v>467</v>
      </c>
      <c r="L69" s="15" t="s">
        <v>467</v>
      </c>
      <c r="M69" s="7" t="s">
        <v>883</v>
      </c>
      <c r="N69" s="23" t="s">
        <v>467</v>
      </c>
      <c r="O69" s="23" t="s">
        <v>467</v>
      </c>
      <c r="P69" s="23" t="s">
        <v>497</v>
      </c>
      <c r="Q69" s="15" t="s">
        <v>680</v>
      </c>
      <c r="R69" s="15" t="s">
        <v>467</v>
      </c>
      <c r="S69" s="23" t="s">
        <v>467</v>
      </c>
      <c r="T69" s="23" t="s">
        <v>668</v>
      </c>
    </row>
    <row r="70" spans="1:20" ht="149.44999999999999">
      <c r="A70" s="4" t="s">
        <v>370</v>
      </c>
      <c r="B70" s="2">
        <v>16</v>
      </c>
      <c r="C70" s="2">
        <f t="shared" si="0"/>
        <v>495</v>
      </c>
      <c r="D70" s="2">
        <f t="shared" si="6"/>
        <v>480</v>
      </c>
      <c r="E70" s="12" t="s">
        <v>7</v>
      </c>
      <c r="F70" s="4" t="s">
        <v>266</v>
      </c>
      <c r="G70" s="4" t="s">
        <v>371</v>
      </c>
      <c r="H70" s="8" t="s">
        <v>468</v>
      </c>
      <c r="I70" s="15" t="s">
        <v>526</v>
      </c>
      <c r="J70" s="23" t="s">
        <v>498</v>
      </c>
      <c r="K70" s="23" t="s">
        <v>526</v>
      </c>
      <c r="L70" s="15" t="s">
        <v>444</v>
      </c>
      <c r="M70" s="7" t="s">
        <v>591</v>
      </c>
      <c r="N70" s="23" t="s">
        <v>526</v>
      </c>
      <c r="O70" s="23" t="s">
        <v>526</v>
      </c>
      <c r="P70" s="23" t="s">
        <v>544</v>
      </c>
      <c r="Q70" s="15" t="s">
        <v>498</v>
      </c>
      <c r="R70" s="15" t="s">
        <v>526</v>
      </c>
      <c r="S70" s="23" t="s">
        <v>649</v>
      </c>
      <c r="T70" s="23" t="s">
        <v>669</v>
      </c>
    </row>
    <row r="71" spans="1:20" ht="119.55">
      <c r="A71" s="4" t="s">
        <v>372</v>
      </c>
      <c r="B71" s="2">
        <v>16</v>
      </c>
      <c r="C71" s="2">
        <f t="shared" si="0"/>
        <v>511</v>
      </c>
      <c r="D71" s="2">
        <f t="shared" si="6"/>
        <v>496</v>
      </c>
      <c r="E71" s="12" t="s">
        <v>7</v>
      </c>
      <c r="F71" s="4" t="s">
        <v>266</v>
      </c>
      <c r="G71" s="4" t="s">
        <v>373</v>
      </c>
      <c r="H71" s="8" t="s">
        <v>469</v>
      </c>
      <c r="I71" s="15" t="s">
        <v>527</v>
      </c>
      <c r="J71" s="23" t="s">
        <v>499</v>
      </c>
      <c r="K71" s="23" t="s">
        <v>527</v>
      </c>
      <c r="L71" s="15" t="s">
        <v>527</v>
      </c>
      <c r="M71" s="7" t="s">
        <v>592</v>
      </c>
      <c r="N71" s="23" t="s">
        <v>527</v>
      </c>
      <c r="O71" s="23" t="s">
        <v>527</v>
      </c>
      <c r="P71" s="23" t="s">
        <v>545</v>
      </c>
      <c r="Q71" s="15" t="s">
        <v>499</v>
      </c>
      <c r="R71" s="15" t="s">
        <v>527</v>
      </c>
      <c r="S71" s="23" t="s">
        <v>650</v>
      </c>
      <c r="T71" s="23" t="s">
        <v>1033</v>
      </c>
    </row>
    <row r="72" spans="1:20" ht="104.6">
      <c r="A72" s="4" t="s">
        <v>374</v>
      </c>
      <c r="B72" s="2">
        <v>16</v>
      </c>
      <c r="C72" s="2">
        <f t="shared" si="0"/>
        <v>527</v>
      </c>
      <c r="D72" s="2">
        <f t="shared" si="6"/>
        <v>512</v>
      </c>
      <c r="E72" s="12" t="s">
        <v>7</v>
      </c>
      <c r="F72" s="4" t="s">
        <v>266</v>
      </c>
      <c r="G72" s="4" t="s">
        <v>375</v>
      </c>
      <c r="H72" s="8" t="s">
        <v>1034</v>
      </c>
      <c r="I72" s="15" t="s">
        <v>444</v>
      </c>
      <c r="J72" s="23" t="s">
        <v>500</v>
      </c>
      <c r="K72" s="23" t="s">
        <v>528</v>
      </c>
      <c r="L72" s="15" t="s">
        <v>444</v>
      </c>
      <c r="M72" s="7" t="s">
        <v>593</v>
      </c>
      <c r="N72" s="23" t="s">
        <v>444</v>
      </c>
      <c r="O72" s="23" t="s">
        <v>444</v>
      </c>
      <c r="P72" s="23" t="s">
        <v>500</v>
      </c>
      <c r="Q72" s="3" t="s">
        <v>444</v>
      </c>
      <c r="R72" s="15" t="s">
        <v>528</v>
      </c>
      <c r="S72" s="23" t="s">
        <v>651</v>
      </c>
      <c r="T72" s="23" t="s">
        <v>528</v>
      </c>
    </row>
    <row r="73" spans="1:20" ht="104.6">
      <c r="A73" s="4" t="s">
        <v>376</v>
      </c>
      <c r="B73" s="2">
        <v>16</v>
      </c>
      <c r="C73" s="2">
        <f t="shared" ref="C73:C75" si="7">D73+B73-1</f>
        <v>543</v>
      </c>
      <c r="D73" s="2">
        <f t="shared" si="6"/>
        <v>528</v>
      </c>
      <c r="E73" s="12" t="s">
        <v>7</v>
      </c>
      <c r="F73" s="4" t="s">
        <v>266</v>
      </c>
      <c r="G73" s="4" t="s">
        <v>375</v>
      </c>
      <c r="H73" s="8" t="s">
        <v>1035</v>
      </c>
      <c r="I73" s="15" t="s">
        <v>618</v>
      </c>
      <c r="J73" s="23" t="s">
        <v>501</v>
      </c>
      <c r="K73" s="23" t="s">
        <v>529</v>
      </c>
      <c r="L73" s="15" t="s">
        <v>529</v>
      </c>
      <c r="M73" s="7" t="s">
        <v>594</v>
      </c>
      <c r="N73" s="23" t="s">
        <v>444</v>
      </c>
      <c r="O73" s="23" t="s">
        <v>444</v>
      </c>
      <c r="P73" s="23" t="s">
        <v>501</v>
      </c>
      <c r="Q73" s="3" t="s">
        <v>444</v>
      </c>
      <c r="R73" s="15" t="s">
        <v>618</v>
      </c>
      <c r="S73" s="23" t="s">
        <v>652</v>
      </c>
      <c r="T73" s="23" t="s">
        <v>529</v>
      </c>
    </row>
    <row r="74" spans="1:20" ht="29.9">
      <c r="A74" s="4" t="s">
        <v>377</v>
      </c>
      <c r="B74" s="2">
        <v>16</v>
      </c>
      <c r="C74" s="2">
        <f t="shared" si="7"/>
        <v>559</v>
      </c>
      <c r="D74" s="2">
        <f t="shared" si="6"/>
        <v>544</v>
      </c>
      <c r="E74" s="12" t="s">
        <v>7</v>
      </c>
      <c r="F74" s="4" t="s">
        <v>266</v>
      </c>
      <c r="G74" s="4" t="s">
        <v>378</v>
      </c>
      <c r="H74" s="8" t="s">
        <v>255</v>
      </c>
      <c r="I74" s="20" t="s">
        <v>255</v>
      </c>
      <c r="J74" s="7" t="s">
        <v>255</v>
      </c>
      <c r="K74" s="20" t="s">
        <v>255</v>
      </c>
      <c r="L74" s="7" t="s">
        <v>255</v>
      </c>
      <c r="M74" s="7" t="s">
        <v>255</v>
      </c>
      <c r="N74" s="7" t="s">
        <v>255</v>
      </c>
      <c r="O74" s="23" t="s">
        <v>444</v>
      </c>
      <c r="P74" s="23" t="s">
        <v>546</v>
      </c>
      <c r="Q74" s="3" t="s">
        <v>444</v>
      </c>
      <c r="R74" s="6" t="s">
        <v>255</v>
      </c>
      <c r="S74" s="20" t="s">
        <v>444</v>
      </c>
      <c r="T74" s="20" t="s">
        <v>444</v>
      </c>
    </row>
    <row r="75" spans="1:20" ht="44.85">
      <c r="A75" s="4" t="s">
        <v>379</v>
      </c>
      <c r="B75" s="2">
        <v>16</v>
      </c>
      <c r="C75" s="2">
        <f t="shared" si="7"/>
        <v>575</v>
      </c>
      <c r="D75" s="2">
        <f t="shared" si="6"/>
        <v>560</v>
      </c>
      <c r="E75" s="12" t="s">
        <v>7</v>
      </c>
      <c r="F75" s="4" t="s">
        <v>266</v>
      </c>
      <c r="G75" s="4" t="s">
        <v>380</v>
      </c>
      <c r="H75" s="8" t="s">
        <v>444</v>
      </c>
      <c r="I75" s="20" t="s">
        <v>444</v>
      </c>
      <c r="J75" s="23" t="s">
        <v>547</v>
      </c>
      <c r="K75" s="23" t="s">
        <v>1036</v>
      </c>
      <c r="L75" s="20" t="s">
        <v>444</v>
      </c>
      <c r="M75" s="23" t="s">
        <v>255</v>
      </c>
      <c r="N75" s="20" t="s">
        <v>444</v>
      </c>
      <c r="O75" s="23" t="s">
        <v>444</v>
      </c>
      <c r="P75" s="23" t="s">
        <v>547</v>
      </c>
      <c r="Q75" s="3" t="s">
        <v>444</v>
      </c>
      <c r="R75" s="15" t="s">
        <v>444</v>
      </c>
      <c r="S75" s="20" t="s">
        <v>444</v>
      </c>
      <c r="T75" s="20" t="s">
        <v>444</v>
      </c>
    </row>
    <row r="76" spans="1:20">
      <c r="A76" s="4" t="s">
        <v>381</v>
      </c>
      <c r="B76" s="2">
        <v>32</v>
      </c>
      <c r="C76" s="2">
        <f t="shared" ref="C76:C89" si="8">D76+B76-1</f>
        <v>607</v>
      </c>
      <c r="D76" s="2">
        <f t="shared" si="6"/>
        <v>576</v>
      </c>
      <c r="E76" s="12" t="s">
        <v>7</v>
      </c>
      <c r="F76" s="4" t="s">
        <v>236</v>
      </c>
      <c r="G76" s="4" t="s">
        <v>382</v>
      </c>
      <c r="H76" s="6" t="s">
        <v>255</v>
      </c>
      <c r="I76" s="7" t="s">
        <v>255</v>
      </c>
      <c r="J76" s="7" t="s">
        <v>255</v>
      </c>
      <c r="K76" s="7" t="s">
        <v>255</v>
      </c>
      <c r="L76" s="7" t="s">
        <v>255</v>
      </c>
      <c r="M76" s="7" t="s">
        <v>255</v>
      </c>
      <c r="N76" s="7" t="s">
        <v>255</v>
      </c>
      <c r="O76" s="7" t="s">
        <v>255</v>
      </c>
      <c r="P76" s="7" t="s">
        <v>255</v>
      </c>
      <c r="Q76" s="6" t="s">
        <v>255</v>
      </c>
      <c r="R76" s="6" t="s">
        <v>255</v>
      </c>
      <c r="S76" s="7" t="s">
        <v>255</v>
      </c>
      <c r="T76" s="7" t="s">
        <v>255</v>
      </c>
    </row>
    <row r="77" spans="1:20" ht="29.9">
      <c r="A77" s="4" t="s">
        <v>383</v>
      </c>
      <c r="B77" s="2">
        <v>32</v>
      </c>
      <c r="C77" s="2">
        <f t="shared" si="8"/>
        <v>639</v>
      </c>
      <c r="D77" s="2">
        <f t="shared" si="6"/>
        <v>608</v>
      </c>
      <c r="E77" s="12" t="s">
        <v>7</v>
      </c>
      <c r="F77" s="4" t="s">
        <v>236</v>
      </c>
      <c r="G77" s="4" t="s">
        <v>384</v>
      </c>
      <c r="H77" s="6" t="s">
        <v>255</v>
      </c>
      <c r="I77" s="7" t="s">
        <v>255</v>
      </c>
      <c r="J77" s="7" t="s">
        <v>255</v>
      </c>
      <c r="K77" s="7" t="s">
        <v>255</v>
      </c>
      <c r="L77" s="7" t="s">
        <v>255</v>
      </c>
      <c r="M77" s="7" t="s">
        <v>255</v>
      </c>
      <c r="N77" s="7" t="s">
        <v>255</v>
      </c>
      <c r="O77" s="7" t="s">
        <v>255</v>
      </c>
      <c r="P77" s="7" t="s">
        <v>255</v>
      </c>
      <c r="Q77" s="6" t="s">
        <v>255</v>
      </c>
      <c r="R77" s="6" t="s">
        <v>255</v>
      </c>
      <c r="S77" s="7" t="s">
        <v>255</v>
      </c>
      <c r="T77" s="7" t="s">
        <v>255</v>
      </c>
    </row>
    <row r="78" spans="1:20" ht="29.9">
      <c r="A78" s="4" t="s">
        <v>385</v>
      </c>
      <c r="B78" s="2">
        <v>32</v>
      </c>
      <c r="C78" s="2">
        <f t="shared" si="8"/>
        <v>671</v>
      </c>
      <c r="D78" s="2">
        <f t="shared" si="6"/>
        <v>640</v>
      </c>
      <c r="E78" s="12" t="s">
        <v>7</v>
      </c>
      <c r="F78" s="4" t="s">
        <v>236</v>
      </c>
      <c r="G78" s="4" t="s">
        <v>386</v>
      </c>
      <c r="H78" s="6" t="s">
        <v>255</v>
      </c>
      <c r="I78" s="7" t="s">
        <v>255</v>
      </c>
      <c r="J78" s="7" t="s">
        <v>255</v>
      </c>
      <c r="K78" s="7" t="s">
        <v>255</v>
      </c>
      <c r="L78" s="7" t="s">
        <v>255</v>
      </c>
      <c r="M78" s="7" t="s">
        <v>258</v>
      </c>
      <c r="N78" s="7" t="s">
        <v>255</v>
      </c>
      <c r="O78" s="7" t="s">
        <v>255</v>
      </c>
      <c r="P78" s="7" t="s">
        <v>255</v>
      </c>
      <c r="Q78" s="3" t="s">
        <v>258</v>
      </c>
      <c r="R78" s="6" t="s">
        <v>255</v>
      </c>
      <c r="S78" s="7" t="s">
        <v>255</v>
      </c>
      <c r="T78" s="7" t="s">
        <v>255</v>
      </c>
    </row>
    <row r="79" spans="1:20" ht="29.9">
      <c r="A79" s="4" t="s">
        <v>387</v>
      </c>
      <c r="B79" s="2">
        <v>32</v>
      </c>
      <c r="C79" s="2">
        <f t="shared" si="8"/>
        <v>703</v>
      </c>
      <c r="D79" s="2">
        <f t="shared" si="6"/>
        <v>672</v>
      </c>
      <c r="E79" s="12" t="s">
        <v>7</v>
      </c>
      <c r="F79" s="4" t="s">
        <v>236</v>
      </c>
      <c r="G79" s="4" t="s">
        <v>388</v>
      </c>
      <c r="H79" s="6" t="s">
        <v>255</v>
      </c>
      <c r="I79" s="7" t="s">
        <v>255</v>
      </c>
      <c r="J79" s="7" t="s">
        <v>255</v>
      </c>
      <c r="K79" s="7" t="s">
        <v>255</v>
      </c>
      <c r="L79" s="20" t="s">
        <v>255</v>
      </c>
      <c r="M79" s="7" t="s">
        <v>255</v>
      </c>
      <c r="N79" s="20" t="s">
        <v>258</v>
      </c>
      <c r="O79" s="7" t="s">
        <v>255</v>
      </c>
      <c r="P79" s="7" t="s">
        <v>255</v>
      </c>
      <c r="Q79" s="3" t="s">
        <v>258</v>
      </c>
      <c r="R79" s="6" t="s">
        <v>255</v>
      </c>
      <c r="S79" s="7" t="s">
        <v>255</v>
      </c>
      <c r="T79" s="7" t="s">
        <v>255</v>
      </c>
    </row>
    <row r="80" spans="1:20" ht="239.1">
      <c r="A80" s="4" t="s">
        <v>389</v>
      </c>
      <c r="B80" s="2">
        <v>32</v>
      </c>
      <c r="C80" s="2">
        <f t="shared" si="8"/>
        <v>735</v>
      </c>
      <c r="D80" s="2">
        <f t="shared" si="6"/>
        <v>704</v>
      </c>
      <c r="E80" s="12" t="s">
        <v>7</v>
      </c>
      <c r="F80" s="4" t="s">
        <v>266</v>
      </c>
      <c r="G80" s="4" t="s">
        <v>390</v>
      </c>
      <c r="H80" s="8" t="s">
        <v>1037</v>
      </c>
      <c r="I80" s="15" t="s">
        <v>1037</v>
      </c>
      <c r="J80" s="23" t="s">
        <v>1037</v>
      </c>
      <c r="K80" s="23" t="s">
        <v>1037</v>
      </c>
      <c r="L80" s="15" t="s">
        <v>1037</v>
      </c>
      <c r="M80" s="7" t="s">
        <v>1038</v>
      </c>
      <c r="N80" s="23" t="s">
        <v>1037</v>
      </c>
      <c r="O80" s="23" t="s">
        <v>1037</v>
      </c>
      <c r="P80" s="23" t="s">
        <v>1037</v>
      </c>
      <c r="Q80" s="15" t="s">
        <v>748</v>
      </c>
      <c r="R80" s="15" t="s">
        <v>1037</v>
      </c>
      <c r="S80" s="23" t="s">
        <v>1037</v>
      </c>
      <c r="T80" s="23" t="s">
        <v>1039</v>
      </c>
    </row>
    <row r="81" spans="1:20" ht="179.35">
      <c r="A81" s="4" t="s">
        <v>391</v>
      </c>
      <c r="B81" s="2">
        <v>32</v>
      </c>
      <c r="C81" s="2">
        <f t="shared" si="8"/>
        <v>767</v>
      </c>
      <c r="D81" s="2">
        <f t="shared" si="6"/>
        <v>736</v>
      </c>
      <c r="E81" s="12" t="s">
        <v>7</v>
      </c>
      <c r="F81" s="4" t="s">
        <v>266</v>
      </c>
      <c r="G81" s="4" t="s">
        <v>392</v>
      </c>
      <c r="H81" s="8" t="s">
        <v>749</v>
      </c>
      <c r="I81" s="15" t="s">
        <v>749</v>
      </c>
      <c r="J81" s="23" t="s">
        <v>749</v>
      </c>
      <c r="K81" s="23" t="s">
        <v>749</v>
      </c>
      <c r="L81" s="15" t="s">
        <v>749</v>
      </c>
      <c r="M81" s="7" t="s">
        <v>1040</v>
      </c>
      <c r="N81" s="23" t="s">
        <v>749</v>
      </c>
      <c r="O81" s="23" t="s">
        <v>749</v>
      </c>
      <c r="P81" s="23" t="s">
        <v>749</v>
      </c>
      <c r="Q81" s="15" t="s">
        <v>751</v>
      </c>
      <c r="R81" s="15" t="s">
        <v>749</v>
      </c>
      <c r="S81" s="23" t="s">
        <v>749</v>
      </c>
      <c r="T81" s="23" t="s">
        <v>750</v>
      </c>
    </row>
    <row r="82" spans="1:20" ht="194.3">
      <c r="A82" s="4" t="s">
        <v>393</v>
      </c>
      <c r="B82" s="2">
        <v>32</v>
      </c>
      <c r="C82" s="2">
        <f t="shared" si="8"/>
        <v>799</v>
      </c>
      <c r="D82" s="2">
        <f t="shared" si="6"/>
        <v>768</v>
      </c>
      <c r="E82" s="12" t="s">
        <v>7</v>
      </c>
      <c r="F82" s="4" t="s">
        <v>266</v>
      </c>
      <c r="G82" s="4" t="s">
        <v>394</v>
      </c>
      <c r="H82" s="8" t="s">
        <v>752</v>
      </c>
      <c r="I82" s="15" t="s">
        <v>754</v>
      </c>
      <c r="J82" s="23" t="s">
        <v>753</v>
      </c>
      <c r="K82" s="23" t="s">
        <v>753</v>
      </c>
      <c r="L82" s="15" t="s">
        <v>560</v>
      </c>
      <c r="M82" s="7" t="s">
        <v>596</v>
      </c>
      <c r="N82" s="23" t="s">
        <v>754</v>
      </c>
      <c r="O82" s="23" t="s">
        <v>753</v>
      </c>
      <c r="P82" s="23" t="s">
        <v>550</v>
      </c>
      <c r="Q82" s="15" t="s">
        <v>754</v>
      </c>
      <c r="R82" s="15" t="s">
        <v>754</v>
      </c>
      <c r="S82" s="23" t="s">
        <v>755</v>
      </c>
      <c r="T82" s="23" t="s">
        <v>756</v>
      </c>
    </row>
    <row r="83" spans="1:20" ht="149.44999999999999">
      <c r="A83" s="4" t="s">
        <v>395</v>
      </c>
      <c r="B83" s="2">
        <v>32</v>
      </c>
      <c r="C83" s="2">
        <f t="shared" si="8"/>
        <v>831</v>
      </c>
      <c r="D83" s="2">
        <f t="shared" si="6"/>
        <v>800</v>
      </c>
      <c r="E83" s="12" t="s">
        <v>7</v>
      </c>
      <c r="F83" s="4" t="s">
        <v>266</v>
      </c>
      <c r="G83" s="4" t="s">
        <v>396</v>
      </c>
      <c r="H83" s="8" t="s">
        <v>757</v>
      </c>
      <c r="I83" s="15" t="s">
        <v>758</v>
      </c>
      <c r="J83" s="23" t="s">
        <v>758</v>
      </c>
      <c r="K83" s="23" t="s">
        <v>758</v>
      </c>
      <c r="L83" s="15" t="s">
        <v>758</v>
      </c>
      <c r="M83" s="7" t="s">
        <v>597</v>
      </c>
      <c r="N83" s="23" t="s">
        <v>758</v>
      </c>
      <c r="O83" s="23" t="s">
        <v>758</v>
      </c>
      <c r="P83" s="23" t="s">
        <v>551</v>
      </c>
      <c r="Q83" s="15" t="s">
        <v>758</v>
      </c>
      <c r="R83" s="15" t="s">
        <v>758</v>
      </c>
      <c r="S83" s="23" t="s">
        <v>759</v>
      </c>
      <c r="T83" s="23" t="s">
        <v>760</v>
      </c>
    </row>
    <row r="84" spans="1:20" ht="164.4">
      <c r="A84" s="4" t="s">
        <v>397</v>
      </c>
      <c r="B84" s="2">
        <v>32</v>
      </c>
      <c r="C84" s="2">
        <f t="shared" si="8"/>
        <v>863</v>
      </c>
      <c r="D84" s="2">
        <f t="shared" si="6"/>
        <v>832</v>
      </c>
      <c r="E84" s="12" t="s">
        <v>7</v>
      </c>
      <c r="F84" s="4" t="s">
        <v>266</v>
      </c>
      <c r="G84" s="4" t="s">
        <v>398</v>
      </c>
      <c r="H84" s="8" t="s">
        <v>1041</v>
      </c>
      <c r="I84" s="15" t="s">
        <v>1042</v>
      </c>
      <c r="J84" s="23" t="s">
        <v>761</v>
      </c>
      <c r="K84" s="23" t="s">
        <v>761</v>
      </c>
      <c r="L84" s="15" t="s">
        <v>578</v>
      </c>
      <c r="M84" s="7" t="s">
        <v>598</v>
      </c>
      <c r="N84" s="23" t="s">
        <v>444</v>
      </c>
      <c r="O84" s="23" t="s">
        <v>444</v>
      </c>
      <c r="P84" s="23" t="s">
        <v>762</v>
      </c>
      <c r="Q84" s="3" t="s">
        <v>444</v>
      </c>
      <c r="R84" s="15" t="s">
        <v>763</v>
      </c>
      <c r="S84" s="23" t="s">
        <v>764</v>
      </c>
      <c r="T84" s="23" t="s">
        <v>765</v>
      </c>
    </row>
    <row r="85" spans="1:20" ht="134.5">
      <c r="A85" s="4" t="s">
        <v>399</v>
      </c>
      <c r="B85" s="2">
        <v>32</v>
      </c>
      <c r="C85" s="2">
        <f t="shared" si="8"/>
        <v>895</v>
      </c>
      <c r="D85" s="2">
        <f t="shared" si="6"/>
        <v>864</v>
      </c>
      <c r="E85" s="12" t="s">
        <v>7</v>
      </c>
      <c r="F85" s="4" t="s">
        <v>266</v>
      </c>
      <c r="G85" s="4" t="s">
        <v>400</v>
      </c>
      <c r="H85" s="8" t="s">
        <v>1043</v>
      </c>
      <c r="I85" s="15" t="s">
        <v>1044</v>
      </c>
      <c r="J85" s="23" t="s">
        <v>766</v>
      </c>
      <c r="K85" s="23" t="s">
        <v>766</v>
      </c>
      <c r="L85" s="15" t="s">
        <v>766</v>
      </c>
      <c r="M85" s="7" t="s">
        <v>599</v>
      </c>
      <c r="N85" s="23" t="s">
        <v>444</v>
      </c>
      <c r="O85" s="23" t="s">
        <v>444</v>
      </c>
      <c r="P85" s="23" t="s">
        <v>766</v>
      </c>
      <c r="Q85" s="3" t="s">
        <v>444</v>
      </c>
      <c r="R85" s="15" t="s">
        <v>767</v>
      </c>
      <c r="S85" s="23" t="s">
        <v>768</v>
      </c>
      <c r="T85" s="23" t="s">
        <v>766</v>
      </c>
    </row>
    <row r="86" spans="1:20" ht="74.75">
      <c r="A86" s="4" t="s">
        <v>401</v>
      </c>
      <c r="B86" s="2">
        <v>32</v>
      </c>
      <c r="C86" s="2">
        <f t="shared" si="8"/>
        <v>927</v>
      </c>
      <c r="D86" s="2">
        <f t="shared" si="6"/>
        <v>896</v>
      </c>
      <c r="E86" s="12" t="s">
        <v>7</v>
      </c>
      <c r="F86" s="4" t="s">
        <v>266</v>
      </c>
      <c r="G86" s="4" t="s">
        <v>402</v>
      </c>
      <c r="H86" s="8" t="s">
        <v>444</v>
      </c>
      <c r="I86" s="20" t="s">
        <v>444</v>
      </c>
      <c r="J86" s="23" t="s">
        <v>444</v>
      </c>
      <c r="K86" s="23" t="s">
        <v>444</v>
      </c>
      <c r="L86" s="20" t="s">
        <v>444</v>
      </c>
      <c r="M86" s="23" t="s">
        <v>444</v>
      </c>
      <c r="N86" s="20" t="s">
        <v>444</v>
      </c>
      <c r="O86" s="23" t="s">
        <v>444</v>
      </c>
      <c r="P86" s="23" t="s">
        <v>769</v>
      </c>
      <c r="Q86" s="3" t="s">
        <v>444</v>
      </c>
      <c r="R86" s="15" t="s">
        <v>444</v>
      </c>
      <c r="S86" s="20" t="s">
        <v>444</v>
      </c>
      <c r="T86" s="20" t="s">
        <v>444</v>
      </c>
    </row>
    <row r="87" spans="1:20" ht="59.8">
      <c r="A87" s="4" t="s">
        <v>403</v>
      </c>
      <c r="B87" s="2">
        <v>32</v>
      </c>
      <c r="C87" s="2">
        <f t="shared" si="8"/>
        <v>959</v>
      </c>
      <c r="D87" s="2">
        <f t="shared" si="6"/>
        <v>928</v>
      </c>
      <c r="E87" s="12" t="s">
        <v>7</v>
      </c>
      <c r="F87" s="4" t="s">
        <v>266</v>
      </c>
      <c r="G87" s="4" t="s">
        <v>404</v>
      </c>
      <c r="H87" s="8" t="s">
        <v>444</v>
      </c>
      <c r="I87" s="20" t="s">
        <v>444</v>
      </c>
      <c r="J87" s="23" t="s">
        <v>444</v>
      </c>
      <c r="K87" s="23" t="s">
        <v>444</v>
      </c>
      <c r="L87" s="20" t="s">
        <v>444</v>
      </c>
      <c r="M87" s="23" t="s">
        <v>444</v>
      </c>
      <c r="N87" s="20" t="s">
        <v>444</v>
      </c>
      <c r="O87" s="23" t="s">
        <v>444</v>
      </c>
      <c r="P87" s="23" t="s">
        <v>770</v>
      </c>
      <c r="Q87" s="3" t="s">
        <v>444</v>
      </c>
      <c r="R87" s="15" t="s">
        <v>444</v>
      </c>
      <c r="S87" s="20" t="s">
        <v>444</v>
      </c>
      <c r="T87" s="20" t="s">
        <v>444</v>
      </c>
    </row>
    <row r="88" spans="1:20">
      <c r="A88" s="4" t="s">
        <v>405</v>
      </c>
      <c r="B88" s="2">
        <v>32</v>
      </c>
      <c r="C88" s="2">
        <f t="shared" si="8"/>
        <v>991</v>
      </c>
      <c r="D88" s="2">
        <f t="shared" si="6"/>
        <v>960</v>
      </c>
      <c r="E88" s="12" t="s">
        <v>7</v>
      </c>
      <c r="F88" s="4" t="s">
        <v>236</v>
      </c>
      <c r="G88" s="4" t="s">
        <v>406</v>
      </c>
      <c r="H88" s="6" t="s">
        <v>255</v>
      </c>
      <c r="I88" s="7" t="s">
        <v>255</v>
      </c>
      <c r="J88" s="20" t="s">
        <v>258</v>
      </c>
      <c r="K88" s="20" t="s">
        <v>258</v>
      </c>
      <c r="L88" s="20" t="s">
        <v>258</v>
      </c>
      <c r="M88" s="20" t="s">
        <v>255</v>
      </c>
      <c r="N88" s="20" t="s">
        <v>258</v>
      </c>
      <c r="O88" s="20" t="s">
        <v>258</v>
      </c>
      <c r="P88" s="7" t="s">
        <v>255</v>
      </c>
      <c r="Q88" s="3" t="s">
        <v>258</v>
      </c>
      <c r="R88" s="3" t="s">
        <v>258</v>
      </c>
      <c r="S88" s="7" t="s">
        <v>255</v>
      </c>
      <c r="T88" s="7" t="s">
        <v>255</v>
      </c>
    </row>
    <row r="89" spans="1:20" ht="29.9">
      <c r="A89" s="69" t="s">
        <v>407</v>
      </c>
      <c r="B89" s="2">
        <v>32</v>
      </c>
      <c r="C89" s="2">
        <f t="shared" si="8"/>
        <v>1023</v>
      </c>
      <c r="D89" s="2">
        <f t="shared" si="6"/>
        <v>992</v>
      </c>
      <c r="E89" s="12" t="s">
        <v>7</v>
      </c>
      <c r="F89" s="4" t="s">
        <v>236</v>
      </c>
      <c r="G89" s="4" t="s">
        <v>408</v>
      </c>
      <c r="H89" s="6" t="s">
        <v>255</v>
      </c>
      <c r="I89" s="7" t="s">
        <v>255</v>
      </c>
      <c r="J89" s="7" t="s">
        <v>258</v>
      </c>
      <c r="K89" s="20" t="s">
        <v>258</v>
      </c>
      <c r="L89" s="20" t="s">
        <v>258</v>
      </c>
      <c r="M89" s="20" t="s">
        <v>258</v>
      </c>
      <c r="N89" s="20" t="s">
        <v>258</v>
      </c>
      <c r="O89" s="20" t="s">
        <v>258</v>
      </c>
      <c r="P89" s="7" t="s">
        <v>255</v>
      </c>
      <c r="Q89" s="3" t="s">
        <v>258</v>
      </c>
      <c r="R89" s="3" t="s">
        <v>258</v>
      </c>
      <c r="S89" s="7" t="s">
        <v>255</v>
      </c>
      <c r="T89" s="20" t="s">
        <v>258</v>
      </c>
    </row>
    <row r="90" spans="1:20">
      <c r="A90" s="70"/>
      <c r="B90" s="50"/>
      <c r="C90" s="50"/>
      <c r="D90" s="50"/>
      <c r="E90" s="71"/>
      <c r="F90" s="50"/>
      <c r="G90" s="50"/>
      <c r="H90" s="50"/>
      <c r="I90" s="27"/>
      <c r="J90" s="27"/>
      <c r="K90" s="27"/>
      <c r="L90" s="27"/>
      <c r="M90" s="27"/>
      <c r="N90" s="87"/>
      <c r="O90" s="88"/>
      <c r="P90" s="88"/>
      <c r="Q90" s="88"/>
      <c r="R90" s="88"/>
      <c r="S90" s="88"/>
      <c r="T90" s="88"/>
    </row>
    <row r="91" spans="1:20">
      <c r="A91" s="72"/>
      <c r="B91" s="50"/>
      <c r="C91" s="50"/>
      <c r="D91" s="50"/>
      <c r="E91" s="71"/>
      <c r="F91" s="50"/>
      <c r="G91" s="50"/>
      <c r="H91" s="50"/>
      <c r="I91" s="27"/>
      <c r="J91" s="27"/>
      <c r="K91" s="27"/>
      <c r="L91" s="27"/>
      <c r="M91" s="27"/>
      <c r="N91" s="87"/>
      <c r="O91" s="88"/>
      <c r="P91" s="88"/>
      <c r="Q91" s="88"/>
      <c r="R91" s="88"/>
      <c r="S91" s="88"/>
      <c r="T91" s="88"/>
    </row>
    <row r="92" spans="1:20">
      <c r="A92" s="73"/>
      <c r="B92" s="74"/>
      <c r="C92" s="74"/>
      <c r="D92" s="74"/>
      <c r="E92" s="75"/>
      <c r="F92" s="74"/>
      <c r="G92" s="76" t="s">
        <v>409</v>
      </c>
      <c r="H92" s="50"/>
      <c r="I92" s="27"/>
      <c r="J92" s="27"/>
      <c r="K92" s="27"/>
      <c r="L92" s="27"/>
      <c r="M92" s="27"/>
      <c r="N92" s="87"/>
      <c r="O92" s="88"/>
      <c r="P92" s="88"/>
      <c r="Q92" s="88"/>
      <c r="R92" s="88"/>
      <c r="S92" s="88"/>
      <c r="T92" s="88"/>
    </row>
    <row r="93" spans="1:20">
      <c r="A93" s="77"/>
      <c r="B93" s="16"/>
      <c r="C93" s="16"/>
      <c r="D93" s="16"/>
      <c r="E93" s="78"/>
      <c r="F93" s="16"/>
      <c r="G93" s="79" t="s">
        <v>410</v>
      </c>
      <c r="H93" s="50"/>
      <c r="I93" s="27"/>
      <c r="J93" s="27"/>
      <c r="K93" s="27"/>
      <c r="L93" s="27"/>
      <c r="M93" s="27"/>
      <c r="N93" s="87"/>
      <c r="O93" s="88"/>
      <c r="P93" s="88"/>
      <c r="Q93" s="88"/>
      <c r="R93" s="88"/>
      <c r="S93" s="88"/>
      <c r="T93" s="88"/>
    </row>
    <row r="94" spans="1:20">
      <c r="A94" s="80"/>
      <c r="B94" s="81"/>
      <c r="C94" s="81"/>
      <c r="D94" s="81"/>
      <c r="E94" s="82"/>
      <c r="F94" s="81"/>
      <c r="G94" s="83" t="s">
        <v>411</v>
      </c>
      <c r="H94" s="50"/>
      <c r="I94" s="27"/>
      <c r="J94" s="27"/>
      <c r="K94" s="27"/>
      <c r="L94" s="27"/>
      <c r="M94" s="27"/>
      <c r="N94" s="87"/>
      <c r="O94" s="88"/>
      <c r="P94" s="88"/>
      <c r="Q94" s="88"/>
      <c r="R94" s="88"/>
      <c r="S94" s="88"/>
      <c r="T94" s="88"/>
    </row>
    <row r="96" spans="1:20" ht="15.65" customHeight="1">
      <c r="A96" s="235" t="s">
        <v>412</v>
      </c>
      <c r="B96" s="236"/>
      <c r="C96" s="236"/>
      <c r="D96" s="236"/>
      <c r="E96" s="236"/>
      <c r="F96" s="236"/>
      <c r="G96" s="236"/>
      <c r="H96" s="236"/>
      <c r="I96" s="236"/>
      <c r="J96" s="236"/>
      <c r="K96" s="236"/>
      <c r="L96" s="236"/>
      <c r="M96" s="236"/>
      <c r="N96" s="236"/>
      <c r="O96" s="236"/>
      <c r="P96" s="236"/>
      <c r="Q96" s="40"/>
      <c r="R96" s="40"/>
      <c r="S96" s="40"/>
      <c r="T96" s="40"/>
    </row>
    <row r="97" spans="1:20" ht="15.65" customHeight="1">
      <c r="A97" s="233" t="s">
        <v>413</v>
      </c>
      <c r="B97" s="234"/>
      <c r="C97" s="234"/>
      <c r="D97" s="234"/>
      <c r="E97" s="234"/>
      <c r="F97" s="234"/>
      <c r="G97" s="234"/>
      <c r="H97" s="234"/>
      <c r="I97" s="234"/>
      <c r="J97" s="234"/>
      <c r="K97" s="234"/>
      <c r="L97" s="234"/>
      <c r="M97" s="234"/>
      <c r="N97" s="234"/>
      <c r="O97" s="234"/>
      <c r="P97" s="234"/>
      <c r="Q97" s="40"/>
      <c r="R97" s="40"/>
      <c r="S97" s="40"/>
      <c r="T97" s="40"/>
    </row>
    <row r="98" spans="1:20" ht="15.65" customHeight="1">
      <c r="A98" s="85"/>
      <c r="B98" s="38"/>
      <c r="C98" s="38"/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38"/>
      <c r="P98" s="38"/>
      <c r="Q98" s="38"/>
      <c r="R98" s="38"/>
      <c r="S98" s="38"/>
      <c r="T98" s="38"/>
    </row>
    <row r="99" spans="1:20" ht="15.65" customHeight="1">
      <c r="A99" s="233" t="s">
        <v>414</v>
      </c>
      <c r="B99" s="234"/>
      <c r="C99" s="234"/>
      <c r="D99" s="234"/>
      <c r="E99" s="234"/>
      <c r="F99" s="234"/>
      <c r="G99" s="234"/>
      <c r="H99" s="234"/>
      <c r="I99" s="234"/>
      <c r="J99" s="234"/>
      <c r="K99" s="234"/>
      <c r="L99" s="234"/>
      <c r="M99" s="234"/>
      <c r="N99" s="234"/>
      <c r="O99" s="234"/>
      <c r="P99" s="234"/>
      <c r="Q99" s="40"/>
      <c r="R99" s="40"/>
      <c r="S99" s="40"/>
      <c r="T99" s="40"/>
    </row>
    <row r="100" spans="1:20" ht="15.65" customHeight="1">
      <c r="A100" s="233" t="s">
        <v>415</v>
      </c>
      <c r="B100" s="234"/>
      <c r="C100" s="234"/>
      <c r="D100" s="234"/>
      <c r="E100" s="234"/>
      <c r="F100" s="234"/>
      <c r="G100" s="234"/>
      <c r="H100" s="234"/>
      <c r="I100" s="234"/>
      <c r="J100" s="234"/>
      <c r="K100" s="234"/>
      <c r="L100" s="234"/>
      <c r="M100" s="234"/>
      <c r="N100" s="234"/>
      <c r="O100" s="234"/>
      <c r="P100" s="234"/>
      <c r="Q100" s="40"/>
      <c r="R100" s="40"/>
      <c r="S100" s="40"/>
      <c r="T100" s="40"/>
    </row>
    <row r="101" spans="1:20" ht="15.65" customHeight="1">
      <c r="A101" s="85"/>
      <c r="B101" s="38"/>
      <c r="C101" s="38"/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38"/>
      <c r="P101" s="38"/>
      <c r="Q101" s="38"/>
      <c r="R101" s="38"/>
      <c r="S101" s="38"/>
      <c r="T101" s="38"/>
    </row>
    <row r="102" spans="1:20" ht="15.65" customHeight="1">
      <c r="A102" s="233" t="s">
        <v>416</v>
      </c>
      <c r="B102" s="234"/>
      <c r="C102" s="234"/>
      <c r="D102" s="234"/>
      <c r="E102" s="234"/>
      <c r="F102" s="234"/>
      <c r="G102" s="234"/>
      <c r="H102" s="234"/>
      <c r="I102" s="234"/>
      <c r="J102" s="234"/>
      <c r="K102" s="234"/>
      <c r="L102" s="234"/>
      <c r="M102" s="234"/>
      <c r="N102" s="234"/>
      <c r="O102" s="234"/>
      <c r="P102" s="234"/>
      <c r="Q102" s="40"/>
      <c r="R102" s="40"/>
      <c r="S102" s="40"/>
      <c r="T102" s="40"/>
    </row>
    <row r="103" spans="1:20" ht="15.65" customHeight="1">
      <c r="A103" s="233" t="s">
        <v>417</v>
      </c>
      <c r="B103" s="234"/>
      <c r="C103" s="234"/>
      <c r="D103" s="234"/>
      <c r="E103" s="234"/>
      <c r="F103" s="234"/>
      <c r="G103" s="234"/>
      <c r="H103" s="234"/>
      <c r="I103" s="234"/>
      <c r="J103" s="234"/>
      <c r="K103" s="234"/>
      <c r="L103" s="234"/>
      <c r="M103" s="234"/>
      <c r="N103" s="234"/>
      <c r="O103" s="234"/>
      <c r="P103" s="234"/>
      <c r="Q103" s="40"/>
      <c r="R103" s="40"/>
      <c r="S103" s="40"/>
      <c r="T103" s="40"/>
    </row>
    <row r="104" spans="1:20" ht="15.65" customHeight="1">
      <c r="A104" s="233" t="s">
        <v>418</v>
      </c>
      <c r="B104" s="234"/>
      <c r="C104" s="234"/>
      <c r="D104" s="234"/>
      <c r="E104" s="234"/>
      <c r="F104" s="234"/>
      <c r="G104" s="234"/>
      <c r="H104" s="234"/>
      <c r="I104" s="234"/>
      <c r="J104" s="234"/>
      <c r="K104" s="234"/>
      <c r="L104" s="234"/>
      <c r="M104" s="234"/>
      <c r="N104" s="234"/>
      <c r="O104" s="234"/>
      <c r="P104" s="234"/>
      <c r="Q104" s="40"/>
      <c r="R104" s="40"/>
      <c r="S104" s="40"/>
      <c r="T104" s="40"/>
    </row>
    <row r="105" spans="1:20">
      <c r="A105" s="86"/>
    </row>
    <row r="106" spans="1:20" ht="15.65" customHeight="1">
      <c r="A106" s="233" t="s">
        <v>419</v>
      </c>
      <c r="B106" s="234"/>
      <c r="C106" s="234"/>
      <c r="D106" s="234"/>
      <c r="E106" s="234"/>
      <c r="F106" s="234"/>
      <c r="G106" s="234"/>
      <c r="H106" s="234"/>
      <c r="I106" s="234"/>
      <c r="J106" s="234"/>
      <c r="K106" s="234"/>
      <c r="L106" s="234"/>
      <c r="M106" s="234"/>
      <c r="N106" s="234"/>
      <c r="O106" s="234"/>
      <c r="P106" s="234"/>
      <c r="Q106" s="40"/>
      <c r="R106" s="40"/>
      <c r="S106" s="40"/>
      <c r="T106" s="40"/>
    </row>
    <row r="107" spans="1:20" ht="15.65" customHeight="1">
      <c r="A107" s="233" t="s">
        <v>420</v>
      </c>
      <c r="B107" s="234"/>
      <c r="C107" s="234"/>
      <c r="D107" s="234"/>
      <c r="E107" s="234"/>
      <c r="F107" s="234"/>
      <c r="G107" s="234"/>
      <c r="H107" s="234"/>
      <c r="I107" s="234"/>
      <c r="J107" s="234"/>
      <c r="K107" s="234"/>
      <c r="L107" s="234"/>
      <c r="M107" s="234"/>
      <c r="N107" s="234"/>
      <c r="O107" s="234"/>
      <c r="P107" s="234"/>
      <c r="Q107" s="40"/>
      <c r="R107" s="40"/>
      <c r="S107" s="40"/>
      <c r="T107" s="40"/>
    </row>
    <row r="108" spans="1:20" ht="15.65" customHeight="1">
      <c r="A108" s="233" t="s">
        <v>421</v>
      </c>
      <c r="B108" s="234"/>
      <c r="C108" s="234"/>
      <c r="D108" s="234"/>
      <c r="E108" s="234"/>
      <c r="F108" s="234"/>
      <c r="G108" s="234"/>
      <c r="H108" s="234"/>
      <c r="I108" s="234"/>
      <c r="J108" s="234"/>
      <c r="K108" s="234"/>
      <c r="L108" s="234"/>
      <c r="M108" s="234"/>
      <c r="N108" s="234"/>
      <c r="O108" s="234"/>
      <c r="P108" s="234"/>
      <c r="Q108" s="40"/>
      <c r="R108" s="40"/>
      <c r="S108" s="40"/>
      <c r="T108" s="40"/>
    </row>
    <row r="109" spans="1:20" ht="15.65" customHeight="1">
      <c r="A109" s="85"/>
      <c r="B109" s="38"/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</row>
    <row r="110" spans="1:20" ht="15.65" customHeight="1">
      <c r="A110" s="233" t="s">
        <v>422</v>
      </c>
      <c r="B110" s="234"/>
      <c r="C110" s="234"/>
      <c r="D110" s="234"/>
      <c r="E110" s="234"/>
      <c r="F110" s="234"/>
      <c r="G110" s="234"/>
      <c r="H110" s="234"/>
      <c r="I110" s="234"/>
      <c r="J110" s="234"/>
      <c r="K110" s="234"/>
      <c r="L110" s="234"/>
      <c r="M110" s="234"/>
      <c r="N110" s="234"/>
      <c r="O110" s="234"/>
      <c r="P110" s="234"/>
      <c r="Q110" s="40"/>
      <c r="R110" s="40"/>
      <c r="S110" s="40"/>
      <c r="T110" s="40"/>
    </row>
    <row r="111" spans="1:20" ht="15.65" customHeight="1">
      <c r="A111" s="233" t="s">
        <v>423</v>
      </c>
      <c r="B111" s="234"/>
      <c r="C111" s="234"/>
      <c r="D111" s="234"/>
      <c r="E111" s="234"/>
      <c r="F111" s="234"/>
      <c r="G111" s="234"/>
      <c r="H111" s="234"/>
      <c r="I111" s="234"/>
      <c r="J111" s="234"/>
      <c r="K111" s="234"/>
      <c r="L111" s="234"/>
      <c r="M111" s="234"/>
      <c r="N111" s="234"/>
      <c r="O111" s="234"/>
      <c r="P111" s="234"/>
      <c r="Q111" s="40"/>
      <c r="R111" s="40"/>
      <c r="S111" s="40"/>
      <c r="T111" s="40"/>
    </row>
    <row r="112" spans="1:20">
      <c r="A112" s="86"/>
    </row>
    <row r="113" spans="1:20" ht="15.65" customHeight="1">
      <c r="A113" s="233" t="s">
        <v>424</v>
      </c>
      <c r="B113" s="234"/>
      <c r="C113" s="234"/>
      <c r="D113" s="234"/>
      <c r="E113" s="234"/>
      <c r="F113" s="234"/>
      <c r="G113" s="234"/>
      <c r="H113" s="234"/>
      <c r="I113" s="234"/>
      <c r="J113" s="234"/>
      <c r="K113" s="234"/>
      <c r="L113" s="234"/>
      <c r="M113" s="234"/>
      <c r="N113" s="234"/>
      <c r="O113" s="234"/>
      <c r="P113" s="234"/>
      <c r="Q113" s="40"/>
      <c r="R113" s="40"/>
      <c r="S113" s="40"/>
      <c r="T113" s="40"/>
    </row>
    <row r="114" spans="1:20" ht="15.65" customHeight="1">
      <c r="A114" s="233" t="s">
        <v>425</v>
      </c>
      <c r="B114" s="234"/>
      <c r="C114" s="234"/>
      <c r="D114" s="234"/>
      <c r="E114" s="234"/>
      <c r="F114" s="234"/>
      <c r="G114" s="234"/>
      <c r="H114" s="234"/>
      <c r="I114" s="234"/>
      <c r="J114" s="234"/>
      <c r="K114" s="234"/>
      <c r="L114" s="234"/>
      <c r="M114" s="234"/>
      <c r="N114" s="234"/>
      <c r="O114" s="234"/>
      <c r="P114" s="234"/>
      <c r="Q114" s="40"/>
      <c r="R114" s="40"/>
      <c r="S114" s="40"/>
      <c r="T114" s="40"/>
    </row>
    <row r="115" spans="1:20">
      <c r="A115" s="86"/>
    </row>
    <row r="116" spans="1:20" ht="15.65" customHeight="1">
      <c r="A116" s="233" t="s">
        <v>426</v>
      </c>
      <c r="B116" s="234"/>
      <c r="C116" s="234"/>
      <c r="D116" s="234"/>
      <c r="E116" s="234"/>
      <c r="F116" s="234"/>
      <c r="G116" s="234"/>
      <c r="H116" s="234"/>
      <c r="I116" s="234"/>
      <c r="J116" s="234"/>
      <c r="K116" s="234"/>
      <c r="L116" s="234"/>
      <c r="M116" s="234"/>
      <c r="N116" s="234"/>
      <c r="O116" s="234"/>
      <c r="P116" s="234"/>
      <c r="Q116" s="40"/>
      <c r="R116" s="40"/>
      <c r="S116" s="40"/>
      <c r="T116" s="40"/>
    </row>
    <row r="117" spans="1:20" ht="15.65" customHeight="1">
      <c r="A117" s="225" t="s">
        <v>427</v>
      </c>
      <c r="B117" s="226"/>
      <c r="C117" s="226"/>
      <c r="D117" s="226"/>
      <c r="E117" s="226"/>
      <c r="F117" s="226"/>
      <c r="G117" s="226"/>
      <c r="H117" s="226"/>
      <c r="I117" s="226"/>
      <c r="J117" s="226"/>
      <c r="K117" s="226"/>
      <c r="L117" s="226"/>
      <c r="M117" s="226"/>
      <c r="N117" s="226"/>
      <c r="O117" s="226"/>
      <c r="P117" s="226"/>
      <c r="Q117" s="40"/>
      <c r="R117" s="40"/>
      <c r="S117" s="40"/>
      <c r="T117" s="40"/>
    </row>
    <row r="118" spans="1:20" ht="15.65" customHeight="1">
      <c r="A118" s="38"/>
      <c r="B118" s="38"/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</row>
    <row r="119" spans="1:20" ht="15.65" customHeight="1">
      <c r="A119" s="84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</row>
    <row r="120" spans="1:20">
      <c r="A120" s="227"/>
      <c r="B120" s="228"/>
      <c r="C120" s="228"/>
      <c r="D120" s="228"/>
      <c r="E120" s="228"/>
      <c r="F120" s="228"/>
      <c r="G120" s="228"/>
      <c r="H120" s="228"/>
      <c r="I120" s="228"/>
      <c r="J120" s="228"/>
      <c r="K120" s="228"/>
      <c r="L120" s="228"/>
      <c r="M120" s="228"/>
      <c r="N120" s="228"/>
      <c r="O120" s="228"/>
      <c r="P120" s="228"/>
      <c r="Q120" s="40"/>
      <c r="R120" s="40"/>
      <c r="S120" s="40"/>
      <c r="T120" s="40"/>
    </row>
    <row r="121" spans="1:20">
      <c r="A121" s="227"/>
      <c r="B121" s="228"/>
      <c r="C121" s="228"/>
      <c r="D121" s="228"/>
      <c r="E121" s="228"/>
      <c r="F121" s="228"/>
      <c r="G121" s="228"/>
      <c r="H121" s="228"/>
      <c r="I121" s="228"/>
      <c r="J121" s="228"/>
      <c r="K121" s="228"/>
      <c r="L121" s="228"/>
      <c r="M121" s="228"/>
      <c r="N121" s="228"/>
      <c r="O121" s="228"/>
      <c r="P121" s="228"/>
      <c r="Q121" s="40"/>
      <c r="R121" s="40"/>
      <c r="S121" s="40"/>
      <c r="T121" s="40"/>
    </row>
    <row r="122" spans="1:20">
      <c r="A122" s="229"/>
      <c r="B122" s="230"/>
      <c r="C122" s="230"/>
      <c r="D122" s="230"/>
      <c r="E122" s="230"/>
      <c r="F122" s="230"/>
      <c r="G122" s="230"/>
      <c r="H122" s="230"/>
      <c r="I122" s="230"/>
      <c r="J122" s="230"/>
      <c r="K122" s="230"/>
      <c r="L122" s="230"/>
      <c r="M122" s="230"/>
      <c r="N122" s="230"/>
      <c r="O122" s="230"/>
      <c r="P122" s="230"/>
      <c r="Q122" s="40"/>
      <c r="R122" s="40"/>
      <c r="S122" s="40"/>
      <c r="T122" s="40"/>
    </row>
    <row r="123" spans="1:20" ht="148.6" customHeight="1">
      <c r="A123" s="231"/>
      <c r="B123" s="232"/>
      <c r="C123" s="232"/>
    </row>
  </sheetData>
  <customSheetViews>
    <customSheetView guid="{465993EB-2174-44B8-8988-073286CA386F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  <customSheetView guid="{C03D8012-5FAF-4C48-B7E4-56A55E52A74B}" fitToPage="1" topLeftCell="A25">
      <pane xSplit="1" topLeftCell="G1" activePane="topRight" state="frozen"/>
      <selection pane="topRight" activeCell="I10" sqref="I10"/>
      <pageMargins left="0.25" right="0.25" top="0.75" bottom="0.75" header="0.3" footer="0.3"/>
      <pageSetup paperSize="9" scale="39" fitToHeight="0" orientation="landscape"/>
    </customSheetView>
  </customSheetViews>
  <mergeCells count="20">
    <mergeCell ref="A96:P96"/>
    <mergeCell ref="A97:P97"/>
    <mergeCell ref="A99:P99"/>
    <mergeCell ref="A100:P100"/>
    <mergeCell ref="A102:P102"/>
    <mergeCell ref="A103:P103"/>
    <mergeCell ref="A104:P104"/>
    <mergeCell ref="A106:P106"/>
    <mergeCell ref="A107:P107"/>
    <mergeCell ref="A108:P108"/>
    <mergeCell ref="A110:P110"/>
    <mergeCell ref="A111:P111"/>
    <mergeCell ref="A113:P113"/>
    <mergeCell ref="A114:P114"/>
    <mergeCell ref="A116:P116"/>
    <mergeCell ref="A117:P117"/>
    <mergeCell ref="A120:P120"/>
    <mergeCell ref="A121:P121"/>
    <mergeCell ref="A122:P122"/>
    <mergeCell ref="A123:C123"/>
  </mergeCells>
  <phoneticPr fontId="16" type="noConversion"/>
  <pageMargins left="0.25" right="0.25" top="0.75" bottom="0.75" header="0.3" footer="0.3"/>
  <pageSetup paperSize="9" scale="39" fitToHeight="0" orientation="landscape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zoomScale="70" zoomScaleNormal="70" workbookViewId="0">
      <selection activeCell="G24" sqref="G24:G25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8.5" customWidth="1"/>
    <col min="7" max="7" width="82" customWidth="1"/>
    <col min="8" max="8" width="66.125" customWidth="1"/>
    <col min="10" max="10" width="20" bestFit="1" customWidth="1"/>
  </cols>
  <sheetData>
    <row r="1" spans="1:9" ht="67.9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" t="s">
        <v>9</v>
      </c>
      <c r="H1" s="57" t="s">
        <v>428</v>
      </c>
      <c r="I1" s="57" t="s">
        <v>429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8" t="s">
        <v>7</v>
      </c>
      <c r="F2" s="18" t="str">
        <f>'Command register base=0x0'!F2</f>
        <v>0x0</v>
      </c>
      <c r="G2" s="2" t="s">
        <v>475</v>
      </c>
      <c r="H2" s="6" t="s">
        <v>255</v>
      </c>
      <c r="I2">
        <v>0</v>
      </c>
    </row>
    <row r="3" spans="1:9" ht="44.85">
      <c r="A3" s="18" t="s">
        <v>301</v>
      </c>
      <c r="B3" s="19">
        <v>1</v>
      </c>
      <c r="C3" s="19">
        <f>D3+B3-1</f>
        <v>1</v>
      </c>
      <c r="D3" s="19">
        <f>C2+1</f>
        <v>1</v>
      </c>
      <c r="E3" s="18" t="s">
        <v>7</v>
      </c>
      <c r="F3" s="18" t="s">
        <v>236</v>
      </c>
      <c r="G3" s="12" t="s">
        <v>302</v>
      </c>
      <c r="H3" s="6" t="s">
        <v>255</v>
      </c>
      <c r="I3">
        <v>0</v>
      </c>
    </row>
    <row r="4" spans="1:9" ht="44.85">
      <c r="A4" s="18" t="s">
        <v>269</v>
      </c>
      <c r="B4" s="19">
        <v>1</v>
      </c>
      <c r="C4" s="19">
        <f t="shared" ref="C4:C59" si="0">D4+B4-1</f>
        <v>2</v>
      </c>
      <c r="D4" s="19">
        <f t="shared" ref="D4:D7" si="1">C3+1</f>
        <v>2</v>
      </c>
      <c r="E4" s="18" t="s">
        <v>7</v>
      </c>
      <c r="F4" s="18" t="s">
        <v>236</v>
      </c>
      <c r="G4" s="12" t="s">
        <v>436</v>
      </c>
      <c r="H4" s="6" t="s">
        <v>255</v>
      </c>
      <c r="I4">
        <v>0</v>
      </c>
    </row>
    <row r="5" spans="1:9" ht="44.85">
      <c r="A5" s="18" t="s">
        <v>305</v>
      </c>
      <c r="B5" s="19">
        <v>1</v>
      </c>
      <c r="C5" s="19">
        <f t="shared" si="0"/>
        <v>3</v>
      </c>
      <c r="D5" s="19">
        <f t="shared" si="1"/>
        <v>3</v>
      </c>
      <c r="E5" s="18" t="s">
        <v>7</v>
      </c>
      <c r="F5" s="18" t="s">
        <v>236</v>
      </c>
      <c r="G5" s="12" t="s">
        <v>306</v>
      </c>
      <c r="H5" s="6" t="s">
        <v>255</v>
      </c>
      <c r="I5">
        <v>0</v>
      </c>
    </row>
    <row r="6" spans="1:9" ht="44.85">
      <c r="A6" s="18" t="s">
        <v>265</v>
      </c>
      <c r="B6" s="19">
        <v>1</v>
      </c>
      <c r="C6" s="19">
        <f t="shared" si="0"/>
        <v>4</v>
      </c>
      <c r="D6" s="19">
        <f t="shared" si="1"/>
        <v>4</v>
      </c>
      <c r="E6" s="18" t="s">
        <v>7</v>
      </c>
      <c r="F6" s="18" t="s">
        <v>236</v>
      </c>
      <c r="G6" s="12" t="s">
        <v>435</v>
      </c>
      <c r="H6" s="6" t="s">
        <v>255</v>
      </c>
      <c r="I6">
        <v>0</v>
      </c>
    </row>
    <row r="7" spans="1:9" ht="44.85">
      <c r="A7" s="18" t="s">
        <v>245</v>
      </c>
      <c r="B7" s="19">
        <v>1</v>
      </c>
      <c r="C7" s="19">
        <f t="shared" si="0"/>
        <v>5</v>
      </c>
      <c r="D7" s="19">
        <f t="shared" si="1"/>
        <v>5</v>
      </c>
      <c r="E7" s="18" t="s">
        <v>7</v>
      </c>
      <c r="F7" s="18" t="s">
        <v>236</v>
      </c>
      <c r="G7" s="12" t="s">
        <v>432</v>
      </c>
      <c r="H7" s="6" t="s">
        <v>255</v>
      </c>
      <c r="I7">
        <v>0</v>
      </c>
    </row>
    <row r="8" spans="1:9" ht="89.7">
      <c r="A8" s="18" t="s">
        <v>377</v>
      </c>
      <c r="B8" s="19">
        <v>3</v>
      </c>
      <c r="C8" s="19">
        <f t="shared" si="0"/>
        <v>8</v>
      </c>
      <c r="D8" s="19">
        <f t="shared" ref="D8:D59" si="2">C7+1</f>
        <v>6</v>
      </c>
      <c r="E8" s="18" t="s">
        <v>7</v>
      </c>
      <c r="F8" s="18" t="str">
        <f>'Command register base=0x0'!F13</f>
        <v>0x0</v>
      </c>
      <c r="G8" s="4" t="s">
        <v>470</v>
      </c>
      <c r="H8" s="6" t="s">
        <v>255</v>
      </c>
      <c r="I8">
        <v>0</v>
      </c>
    </row>
    <row r="9" spans="1:9" ht="134.5">
      <c r="A9" s="18" t="s">
        <v>281</v>
      </c>
      <c r="B9" s="19">
        <v>3</v>
      </c>
      <c r="C9" s="19">
        <f t="shared" si="0"/>
        <v>11</v>
      </c>
      <c r="D9" s="19">
        <f t="shared" si="2"/>
        <v>9</v>
      </c>
      <c r="E9" s="18" t="s">
        <v>7</v>
      </c>
      <c r="F9" s="18" t="str">
        <f>'Command register base=0x0'!F14</f>
        <v>0x0</v>
      </c>
      <c r="G9" s="4" t="s">
        <v>1045</v>
      </c>
      <c r="H9" s="6" t="s">
        <v>255</v>
      </c>
      <c r="I9">
        <v>0</v>
      </c>
    </row>
    <row r="10" spans="1:9" ht="15.65">
      <c r="A10" s="18" t="str">
        <f>'Command register base=0x0'!A3</f>
        <v>des_op_code</v>
      </c>
      <c r="B10" s="19">
        <v>5</v>
      </c>
      <c r="C10" s="19">
        <f t="shared" si="0"/>
        <v>16</v>
      </c>
      <c r="D10" s="19">
        <f t="shared" si="2"/>
        <v>12</v>
      </c>
      <c r="E10" s="18" t="s">
        <v>7</v>
      </c>
      <c r="F10" s="18" t="str">
        <f>'Command register base=0x0'!F3</f>
        <v>0x0</v>
      </c>
      <c r="G10" s="2" t="s">
        <v>257</v>
      </c>
      <c r="H10" s="58" t="s">
        <v>258</v>
      </c>
      <c r="I10">
        <v>2</v>
      </c>
    </row>
    <row r="11" spans="1:9" ht="30.6" thickBot="1">
      <c r="A11" s="18" t="str">
        <f>'Command register base=0x0'!A4</f>
        <v>des_cmd_id_dep</v>
      </c>
      <c r="B11" s="19">
        <f>'Command register base=0x0'!B4</f>
        <v>23</v>
      </c>
      <c r="C11" s="19">
        <f t="shared" si="0"/>
        <v>39</v>
      </c>
      <c r="D11" s="19">
        <f t="shared" si="2"/>
        <v>17</v>
      </c>
      <c r="E11" s="18" t="s">
        <v>7</v>
      </c>
      <c r="F11" s="18" t="str">
        <f>'Command register base=0x0'!F4</f>
        <v>0x0</v>
      </c>
      <c r="G11" s="2" t="s">
        <v>241</v>
      </c>
      <c r="H11" s="6" t="s">
        <v>255</v>
      </c>
      <c r="I11">
        <v>0</v>
      </c>
    </row>
    <row r="12" spans="1:9" ht="16.3" thickBot="1">
      <c r="A12" s="18" t="str">
        <f>'Command register base=0x0'!A5</f>
        <v>des_dbg_mode</v>
      </c>
      <c r="B12" s="19">
        <f>'Command register base=0x0'!B5</f>
        <v>1</v>
      </c>
      <c r="C12" s="19">
        <f t="shared" ref="C12:C13" si="3">D12+B12-1</f>
        <v>40</v>
      </c>
      <c r="D12" s="19">
        <f t="shared" ref="D12:D13" si="4">C11+1</f>
        <v>40</v>
      </c>
      <c r="E12" s="18" t="s">
        <v>7</v>
      </c>
      <c r="F12" s="18" t="str">
        <f>'Command register base=0x0'!F5</f>
        <v>0x0</v>
      </c>
      <c r="G12" s="4" t="s">
        <v>900</v>
      </c>
      <c r="H12" s="6" t="s">
        <v>255</v>
      </c>
    </row>
    <row r="13" spans="1:9" ht="30.6" thickBot="1">
      <c r="A13" s="18" t="str">
        <f>'Command register base=0x0'!A6</f>
        <v>des_tsk_typ</v>
      </c>
      <c r="B13" s="19">
        <f>'Command register base=0x0'!B6</f>
        <v>4</v>
      </c>
      <c r="C13" s="19">
        <f t="shared" si="3"/>
        <v>44</v>
      </c>
      <c r="D13" s="19">
        <f t="shared" si="4"/>
        <v>41</v>
      </c>
      <c r="E13" s="18" t="s">
        <v>7</v>
      </c>
      <c r="F13" s="18" t="str">
        <f>'Command register base=0x0'!F6</f>
        <v>0x0</v>
      </c>
      <c r="G13" s="2" t="s">
        <v>431</v>
      </c>
      <c r="H13" s="6" t="s">
        <v>255</v>
      </c>
      <c r="I13">
        <v>0</v>
      </c>
    </row>
    <row r="14" spans="1:9" ht="45.55" thickBot="1">
      <c r="A14" s="18" t="str">
        <f>'Command register base=0x0'!A7</f>
        <v>des_tsk_eu_typ</v>
      </c>
      <c r="B14" s="19">
        <f>'Command register base=0x0'!B7</f>
        <v>5</v>
      </c>
      <c r="C14" s="19">
        <f t="shared" si="0"/>
        <v>49</v>
      </c>
      <c r="D14" s="19">
        <f>C13+1</f>
        <v>45</v>
      </c>
      <c r="E14" s="18" t="s">
        <v>7</v>
      </c>
      <c r="F14" s="18" t="str">
        <f>'Command register base=0x0'!F7</f>
        <v>0x0</v>
      </c>
      <c r="G14" s="4" t="s">
        <v>1046</v>
      </c>
      <c r="H14" s="6" t="s">
        <v>255</v>
      </c>
      <c r="I14">
        <v>0</v>
      </c>
    </row>
    <row r="15" spans="1:9" ht="44.85">
      <c r="A15" s="18" t="str">
        <f>'Command register base=0x0'!A20</f>
        <v>des_opt_opd0_sign</v>
      </c>
      <c r="B15" s="19">
        <f>'Command register base=0x0'!B20</f>
        <v>1</v>
      </c>
      <c r="C15" s="19">
        <f t="shared" si="0"/>
        <v>50</v>
      </c>
      <c r="D15" s="19">
        <f t="shared" si="2"/>
        <v>50</v>
      </c>
      <c r="E15" s="18" t="s">
        <v>7</v>
      </c>
      <c r="F15" s="18" t="str">
        <f>'Command register base=0x0'!F20</f>
        <v>0x0</v>
      </c>
      <c r="G15" s="2" t="s">
        <v>438</v>
      </c>
      <c r="H15" s="6" t="s">
        <v>255</v>
      </c>
      <c r="I15">
        <v>0</v>
      </c>
    </row>
    <row r="16" spans="1:9" ht="44.85">
      <c r="A16" s="18" t="s">
        <v>275</v>
      </c>
      <c r="B16" s="19">
        <f>'Command register base=0x0'!B21</f>
        <v>1</v>
      </c>
      <c r="C16" s="19">
        <f t="shared" si="0"/>
        <v>51</v>
      </c>
      <c r="D16" s="19">
        <f t="shared" si="2"/>
        <v>51</v>
      </c>
      <c r="E16" s="18" t="s">
        <v>7</v>
      </c>
      <c r="F16" s="18" t="str">
        <f>'Command register base=0x0'!F21</f>
        <v>0x1</v>
      </c>
      <c r="G16" s="2" t="s">
        <v>439</v>
      </c>
      <c r="H16" s="6" t="s">
        <v>255</v>
      </c>
      <c r="I16">
        <v>0</v>
      </c>
    </row>
    <row r="17" spans="1:19" ht="44.85">
      <c r="A17" s="18" t="s">
        <v>277</v>
      </c>
      <c r="B17" s="19">
        <f>'Command register base=0x0'!B22</f>
        <v>1</v>
      </c>
      <c r="C17" s="19">
        <f t="shared" si="0"/>
        <v>52</v>
      </c>
      <c r="D17" s="19">
        <f t="shared" si="2"/>
        <v>52</v>
      </c>
      <c r="E17" s="18" t="s">
        <v>7</v>
      </c>
      <c r="F17" s="18" t="str">
        <f>'Command register base=0x0'!F22</f>
        <v>0x1</v>
      </c>
      <c r="G17" s="2" t="s">
        <v>440</v>
      </c>
      <c r="H17" s="6" t="s">
        <v>255</v>
      </c>
      <c r="I17">
        <v>0</v>
      </c>
    </row>
    <row r="18" spans="1:19" ht="74.75">
      <c r="A18" s="18" t="s">
        <v>250</v>
      </c>
      <c r="B18" s="19">
        <v>2</v>
      </c>
      <c r="C18" s="19">
        <f t="shared" si="0"/>
        <v>54</v>
      </c>
      <c r="D18" s="19">
        <f t="shared" si="2"/>
        <v>53</v>
      </c>
      <c r="E18" s="18" t="s">
        <v>7</v>
      </c>
      <c r="F18" s="18" t="s">
        <v>236</v>
      </c>
      <c r="G18" s="2" t="s">
        <v>433</v>
      </c>
      <c r="H18" s="6" t="s">
        <v>255</v>
      </c>
      <c r="I18">
        <v>0</v>
      </c>
    </row>
    <row r="19" spans="1:19" s="56" customFormat="1" ht="89.7">
      <c r="A19" s="28" t="s">
        <v>252</v>
      </c>
      <c r="B19" s="29">
        <v>1</v>
      </c>
      <c r="C19" s="29">
        <f t="shared" si="0"/>
        <v>55</v>
      </c>
      <c r="D19" s="29">
        <f t="shared" si="2"/>
        <v>55</v>
      </c>
      <c r="E19" s="28" t="s">
        <v>476</v>
      </c>
      <c r="F19" s="28" t="s">
        <v>477</v>
      </c>
      <c r="G19" s="25" t="s">
        <v>862</v>
      </c>
      <c r="H19" s="6" t="s">
        <v>255</v>
      </c>
      <c r="I19">
        <v>0</v>
      </c>
      <c r="J19"/>
      <c r="K19"/>
      <c r="L19"/>
      <c r="M19"/>
      <c r="N19"/>
      <c r="O19"/>
      <c r="P19"/>
      <c r="Q19"/>
      <c r="R19"/>
      <c r="S19"/>
    </row>
    <row r="20" spans="1:19" s="56" customFormat="1" ht="134.5">
      <c r="A20" s="28" t="s">
        <v>863</v>
      </c>
      <c r="B20" s="29">
        <v>3</v>
      </c>
      <c r="C20" s="29">
        <f t="shared" si="0"/>
        <v>58</v>
      </c>
      <c r="D20" s="29">
        <f t="shared" si="2"/>
        <v>56</v>
      </c>
      <c r="E20" s="28" t="s">
        <v>7</v>
      </c>
      <c r="F20" s="28" t="str">
        <f>'Command register base=0x0'!F12</f>
        <v>0x0</v>
      </c>
      <c r="G20" s="30" t="s">
        <v>864</v>
      </c>
      <c r="H20" s="6" t="s">
        <v>255</v>
      </c>
      <c r="I20">
        <v>0</v>
      </c>
      <c r="J20"/>
      <c r="K20"/>
      <c r="L20"/>
      <c r="M20"/>
      <c r="N20"/>
      <c r="O20"/>
      <c r="P20"/>
      <c r="Q20"/>
      <c r="R20"/>
      <c r="S20"/>
    </row>
    <row r="21" spans="1:19" ht="15.65">
      <c r="A21" s="18" t="s">
        <v>259</v>
      </c>
      <c r="B21" s="19">
        <v>4</v>
      </c>
      <c r="C21" s="19">
        <f t="shared" si="0"/>
        <v>62</v>
      </c>
      <c r="D21" s="19">
        <f t="shared" si="2"/>
        <v>59</v>
      </c>
      <c r="E21" s="18" t="s">
        <v>7</v>
      </c>
      <c r="F21" s="18" t="s">
        <v>236</v>
      </c>
      <c r="G21" s="2" t="s">
        <v>260</v>
      </c>
      <c r="H21" s="6" t="s">
        <v>255</v>
      </c>
      <c r="I21">
        <v>0</v>
      </c>
    </row>
    <row r="22" spans="1:19" ht="59.8">
      <c r="A22" s="18" t="s">
        <v>263</v>
      </c>
      <c r="B22" s="19">
        <v>1</v>
      </c>
      <c r="C22" s="19">
        <f t="shared" si="0"/>
        <v>63</v>
      </c>
      <c r="D22" s="19">
        <f t="shared" si="2"/>
        <v>63</v>
      </c>
      <c r="E22" s="18" t="s">
        <v>7</v>
      </c>
      <c r="F22" s="18" t="s">
        <v>236</v>
      </c>
      <c r="G22" s="2" t="s">
        <v>434</v>
      </c>
      <c r="H22" s="6" t="s">
        <v>255</v>
      </c>
      <c r="I22">
        <v>0</v>
      </c>
    </row>
    <row r="23" spans="1:19" ht="15.65">
      <c r="A23" s="18" t="str">
        <f>'Command register base=0x0'!A19</f>
        <v>des_opt_kernel_rotate</v>
      </c>
      <c r="B23" s="19">
        <f>'Command register base=0x0'!B19</f>
        <v>1</v>
      </c>
      <c r="C23" s="19">
        <f t="shared" si="0"/>
        <v>64</v>
      </c>
      <c r="D23" s="19">
        <f t="shared" si="2"/>
        <v>64</v>
      </c>
      <c r="E23" s="18" t="s">
        <v>7</v>
      </c>
      <c r="F23" s="18" t="str">
        <f>'Command register base=0x0'!F19</f>
        <v>0x0</v>
      </c>
      <c r="G23" s="2" t="s">
        <v>437</v>
      </c>
      <c r="H23" s="6" t="s">
        <v>255</v>
      </c>
      <c r="I23">
        <v>0</v>
      </c>
    </row>
    <row r="24" spans="1:19" ht="134.5">
      <c r="A24" s="18" t="str">
        <f>'Command register base=0x0'!A23</f>
        <v>des_opt_res0_prec</v>
      </c>
      <c r="B24" s="19">
        <f>'Command register base=0x0'!B23</f>
        <v>3</v>
      </c>
      <c r="C24" s="19">
        <f t="shared" si="0"/>
        <v>67</v>
      </c>
      <c r="D24" s="19">
        <f t="shared" si="2"/>
        <v>65</v>
      </c>
      <c r="E24" s="18" t="s">
        <v>7</v>
      </c>
      <c r="F24" s="18" t="str">
        <f>'Command register base=0x0'!F23</f>
        <v>0x2</v>
      </c>
      <c r="G24" s="2" t="s">
        <v>1047</v>
      </c>
      <c r="H24" s="6" t="s">
        <v>255</v>
      </c>
      <c r="I24">
        <v>0</v>
      </c>
    </row>
    <row r="25" spans="1:19" ht="134.5">
      <c r="A25" s="18" t="str">
        <f>'Command register base=0x0'!A24</f>
        <v>des_opt_opd0_prec</v>
      </c>
      <c r="B25" s="19">
        <f>'Command register base=0x0'!B24</f>
        <v>3</v>
      </c>
      <c r="C25" s="19">
        <f t="shared" si="0"/>
        <v>70</v>
      </c>
      <c r="D25" s="19">
        <f t="shared" si="2"/>
        <v>68</v>
      </c>
      <c r="E25" s="18" t="s">
        <v>7</v>
      </c>
      <c r="F25" s="18" t="str">
        <f>'Command register base=0x0'!F24</f>
        <v>0x2</v>
      </c>
      <c r="G25" s="2" t="s">
        <v>1048</v>
      </c>
      <c r="H25" s="6" t="s">
        <v>255</v>
      </c>
      <c r="I25">
        <v>0</v>
      </c>
    </row>
    <row r="26" spans="1:19" ht="29.9">
      <c r="A26" s="18" t="str">
        <f>'Command register base=0x0'!A28</f>
        <v>des_opt_opd1_const</v>
      </c>
      <c r="B26" s="19">
        <f>'Command register base=0x0'!B28</f>
        <v>1</v>
      </c>
      <c r="C26" s="19">
        <f t="shared" si="0"/>
        <v>71</v>
      </c>
      <c r="D26" s="19">
        <f t="shared" si="2"/>
        <v>71</v>
      </c>
      <c r="E26" s="18" t="s">
        <v>7</v>
      </c>
      <c r="F26" s="18" t="str">
        <f>'Command register base=0x0'!F28</f>
        <v>0x0</v>
      </c>
      <c r="G26" s="2" t="s">
        <v>441</v>
      </c>
      <c r="H26" s="6" t="s">
        <v>255</v>
      </c>
      <c r="I26">
        <v>0</v>
      </c>
    </row>
    <row r="27" spans="1:19" ht="29.9">
      <c r="A27" s="18" t="str">
        <f>'Command register base=0x0'!A29</f>
        <v>des_opt_opd2_const</v>
      </c>
      <c r="B27" s="19">
        <f>'Command register base=0x0'!B29</f>
        <v>1</v>
      </c>
      <c r="C27" s="19">
        <f t="shared" si="0"/>
        <v>72</v>
      </c>
      <c r="D27" s="19">
        <f t="shared" si="2"/>
        <v>72</v>
      </c>
      <c r="E27" s="18" t="s">
        <v>7</v>
      </c>
      <c r="F27" s="18" t="str">
        <f>'Command register base=0x0'!F29</f>
        <v>0x0</v>
      </c>
      <c r="G27" s="2" t="s">
        <v>442</v>
      </c>
      <c r="H27" s="6" t="s">
        <v>255</v>
      </c>
      <c r="I27">
        <v>0</v>
      </c>
    </row>
    <row r="28" spans="1:19" ht="15.65">
      <c r="A28" s="18" t="str">
        <f>'Command register base=0x0'!A43</f>
        <v>des_opd0_up_pad</v>
      </c>
      <c r="B28" s="19">
        <f>'Command register base=0x0'!B43</f>
        <v>4</v>
      </c>
      <c r="C28" s="19">
        <f t="shared" si="0"/>
        <v>76</v>
      </c>
      <c r="D28" s="19">
        <f t="shared" si="2"/>
        <v>73</v>
      </c>
      <c r="E28" s="18" t="s">
        <v>7</v>
      </c>
      <c r="F28" s="18" t="str">
        <f>'Command register base=0x0'!F43</f>
        <v>0x0</v>
      </c>
      <c r="G28" s="2" t="s">
        <v>450</v>
      </c>
      <c r="H28" s="6" t="s">
        <v>255</v>
      </c>
      <c r="I28">
        <v>0</v>
      </c>
    </row>
    <row r="29" spans="1:19" ht="15.65">
      <c r="A29" s="18" t="str">
        <f>'Command register base=0x0'!A44</f>
        <v>des_opd0_dn_pad</v>
      </c>
      <c r="B29" s="19">
        <f>'Command register base=0x0'!B44</f>
        <v>4</v>
      </c>
      <c r="C29" s="19">
        <f t="shared" si="0"/>
        <v>80</v>
      </c>
      <c r="D29" s="19">
        <f t="shared" si="2"/>
        <v>77</v>
      </c>
      <c r="E29" s="18" t="s">
        <v>7</v>
      </c>
      <c r="F29" s="18" t="str">
        <f>'Command register base=0x0'!F44</f>
        <v>0x0</v>
      </c>
      <c r="G29" s="2" t="s">
        <v>451</v>
      </c>
      <c r="H29" s="6" t="s">
        <v>255</v>
      </c>
      <c r="I29">
        <v>0</v>
      </c>
    </row>
    <row r="30" spans="1:19" ht="15.65">
      <c r="A30" s="18" t="str">
        <f>'Command register base=0x0'!A45</f>
        <v>des_opd0_lf_pad</v>
      </c>
      <c r="B30" s="19">
        <f>'Command register base=0x0'!B45</f>
        <v>4</v>
      </c>
      <c r="C30" s="19">
        <f t="shared" si="0"/>
        <v>84</v>
      </c>
      <c r="D30" s="19">
        <f t="shared" si="2"/>
        <v>81</v>
      </c>
      <c r="E30" s="18" t="s">
        <v>7</v>
      </c>
      <c r="F30" s="18" t="str">
        <f>'Command register base=0x0'!F45</f>
        <v>0x0</v>
      </c>
      <c r="G30" s="2" t="s">
        <v>452</v>
      </c>
      <c r="H30" s="6" t="s">
        <v>255</v>
      </c>
      <c r="I30">
        <v>0</v>
      </c>
    </row>
    <row r="31" spans="1:19" ht="15.65">
      <c r="A31" s="18" t="str">
        <f>'Command register base=0x0'!A46</f>
        <v>des_opd0_rt_pad</v>
      </c>
      <c r="B31" s="19">
        <f>'Command register base=0x0'!B46</f>
        <v>4</v>
      </c>
      <c r="C31" s="19">
        <f t="shared" si="0"/>
        <v>88</v>
      </c>
      <c r="D31" s="19">
        <f t="shared" si="2"/>
        <v>85</v>
      </c>
      <c r="E31" s="18" t="s">
        <v>7</v>
      </c>
      <c r="F31" s="18" t="str">
        <f>'Command register base=0x0'!F46</f>
        <v>0x0</v>
      </c>
      <c r="G31" s="2" t="s">
        <v>453</v>
      </c>
      <c r="H31" s="6" t="s">
        <v>255</v>
      </c>
      <c r="I31">
        <v>0</v>
      </c>
    </row>
    <row r="32" spans="1:19" ht="15.65">
      <c r="A32" s="18" t="str">
        <f>'Command register base=0x0'!A47</f>
        <v>des_res_op_x_str</v>
      </c>
      <c r="B32" s="19">
        <f>'Command register base=0x0'!B47</f>
        <v>4</v>
      </c>
      <c r="C32" s="19">
        <f t="shared" si="0"/>
        <v>92</v>
      </c>
      <c r="D32" s="19">
        <f t="shared" si="2"/>
        <v>89</v>
      </c>
      <c r="E32" s="18" t="s">
        <v>7</v>
      </c>
      <c r="F32" s="18" t="str">
        <f>'Command register base=0x0'!F47</f>
        <v>0x1</v>
      </c>
      <c r="G32" s="2" t="s">
        <v>454</v>
      </c>
      <c r="H32" s="6" t="s">
        <v>255</v>
      </c>
      <c r="I32">
        <v>0</v>
      </c>
    </row>
    <row r="33" spans="1:10" ht="15.65">
      <c r="A33" s="18" t="str">
        <f>'Command register base=0x0'!A48</f>
        <v>des_res_op_y_str</v>
      </c>
      <c r="B33" s="19">
        <f>'Command register base=0x0'!B48</f>
        <v>4</v>
      </c>
      <c r="C33" s="19">
        <f t="shared" si="0"/>
        <v>96</v>
      </c>
      <c r="D33" s="19">
        <f t="shared" si="2"/>
        <v>93</v>
      </c>
      <c r="E33" s="18" t="s">
        <v>7</v>
      </c>
      <c r="F33" s="18" t="str">
        <f>'Command register base=0x0'!F48</f>
        <v>0x1</v>
      </c>
      <c r="G33" s="2" t="s">
        <v>455</v>
      </c>
      <c r="H33" s="6" t="s">
        <v>255</v>
      </c>
      <c r="I33">
        <v>0</v>
      </c>
    </row>
    <row r="34" spans="1:10" ht="44.85">
      <c r="A34" s="18" t="str">
        <f>'Command register base=0x0'!A37</f>
        <v>des_opt_opd3_const</v>
      </c>
      <c r="B34" s="19">
        <f>'Command register base=0x0'!B37</f>
        <v>1</v>
      </c>
      <c r="C34" s="19">
        <f t="shared" si="0"/>
        <v>97</v>
      </c>
      <c r="D34" s="19">
        <f t="shared" si="2"/>
        <v>97</v>
      </c>
      <c r="E34" s="18" t="s">
        <v>7</v>
      </c>
      <c r="F34" s="18" t="str">
        <f>'Command register base=0x0'!F37</f>
        <v>0x0</v>
      </c>
      <c r="G34" s="2" t="s">
        <v>445</v>
      </c>
      <c r="H34" s="6" t="s">
        <v>255</v>
      </c>
      <c r="I34">
        <v>0</v>
      </c>
    </row>
    <row r="35" spans="1:10" ht="119.55">
      <c r="A35" s="18" t="s">
        <v>292</v>
      </c>
      <c r="B35" s="19">
        <v>3</v>
      </c>
      <c r="C35" s="19">
        <f t="shared" si="0"/>
        <v>100</v>
      </c>
      <c r="D35" s="19">
        <f t="shared" si="2"/>
        <v>98</v>
      </c>
      <c r="E35" s="18" t="s">
        <v>7</v>
      </c>
      <c r="F35" s="18" t="str">
        <f>'Command register base=0x0'!F38</f>
        <v>0x0</v>
      </c>
      <c r="G35" s="59" t="s">
        <v>479</v>
      </c>
      <c r="H35" s="6" t="s">
        <v>255</v>
      </c>
      <c r="I35">
        <v>0</v>
      </c>
    </row>
    <row r="36" spans="1:10" ht="15.65">
      <c r="A36" s="18" t="str">
        <f>'Command register base=0x0'!A76</f>
        <v>des_res0_addr</v>
      </c>
      <c r="B36" s="19">
        <v>26</v>
      </c>
      <c r="C36" s="19">
        <f t="shared" si="0"/>
        <v>126</v>
      </c>
      <c r="D36" s="19">
        <f t="shared" si="2"/>
        <v>101</v>
      </c>
      <c r="E36" s="18" t="s">
        <v>7</v>
      </c>
      <c r="F36" s="18" t="str">
        <f>'Command register base=0x0'!F76</f>
        <v>0x0</v>
      </c>
      <c r="G36" s="2" t="s">
        <v>382</v>
      </c>
      <c r="H36" s="6" t="s">
        <v>255</v>
      </c>
      <c r="I36">
        <v>0</v>
      </c>
    </row>
    <row r="37" spans="1:10" ht="29.9">
      <c r="A37" s="18" t="s">
        <v>261</v>
      </c>
      <c r="B37" s="19">
        <v>1</v>
      </c>
      <c r="C37" s="19">
        <f t="shared" si="0"/>
        <v>127</v>
      </c>
      <c r="D37" s="19">
        <f t="shared" si="2"/>
        <v>127</v>
      </c>
      <c r="E37" s="18" t="s">
        <v>7</v>
      </c>
      <c r="F37" s="18" t="s">
        <v>236</v>
      </c>
      <c r="G37" s="2" t="s">
        <v>262</v>
      </c>
      <c r="H37" s="6" t="s">
        <v>255</v>
      </c>
      <c r="I37">
        <v>0</v>
      </c>
    </row>
    <row r="38" spans="1:10" ht="15.65">
      <c r="A38" s="18" t="str">
        <f>'Command register base=0x0'!A39</f>
        <v>des_opd0_x_ins0</v>
      </c>
      <c r="B38" s="19">
        <f>'Command register base=0x0'!B39</f>
        <v>4</v>
      </c>
      <c r="C38" s="19">
        <f t="shared" si="0"/>
        <v>131</v>
      </c>
      <c r="D38" s="19">
        <f t="shared" si="2"/>
        <v>128</v>
      </c>
      <c r="E38" s="18" t="s">
        <v>7</v>
      </c>
      <c r="F38" s="18" t="str">
        <f>'Command register base=0x0'!F39</f>
        <v>0x0</v>
      </c>
      <c r="G38" s="2" t="s">
        <v>446</v>
      </c>
      <c r="H38" s="6" t="s">
        <v>255</v>
      </c>
      <c r="I38">
        <v>0</v>
      </c>
    </row>
    <row r="39" spans="1:10" ht="15.65">
      <c r="A39" s="18" t="str">
        <f>'Command register base=0x0'!A40</f>
        <v>des_opd0_y_ins0</v>
      </c>
      <c r="B39" s="19">
        <f>'Command register base=0x0'!B40</f>
        <v>4</v>
      </c>
      <c r="C39" s="19">
        <f t="shared" si="0"/>
        <v>135</v>
      </c>
      <c r="D39" s="19">
        <f t="shared" si="2"/>
        <v>132</v>
      </c>
      <c r="E39" s="18" t="s">
        <v>7</v>
      </c>
      <c r="F39" s="18" t="str">
        <f>'Command register base=0x0'!F40</f>
        <v>0x0</v>
      </c>
      <c r="G39" s="2" t="s">
        <v>447</v>
      </c>
      <c r="H39" s="6" t="s">
        <v>255</v>
      </c>
      <c r="I39">
        <v>0</v>
      </c>
    </row>
    <row r="40" spans="1:10" ht="15.65">
      <c r="A40" s="18" t="str">
        <f>'Command register base=0x0'!A41</f>
        <v>des_opd1_x_ins0</v>
      </c>
      <c r="B40" s="19">
        <f>'Command register base=0x0'!B41</f>
        <v>4</v>
      </c>
      <c r="C40" s="19">
        <f t="shared" si="0"/>
        <v>139</v>
      </c>
      <c r="D40" s="19">
        <f t="shared" si="2"/>
        <v>136</v>
      </c>
      <c r="E40" s="18" t="s">
        <v>7</v>
      </c>
      <c r="F40" s="18" t="str">
        <f>'Command register base=0x0'!F41</f>
        <v>0x0</v>
      </c>
      <c r="G40" s="2" t="s">
        <v>448</v>
      </c>
      <c r="H40" s="6" t="s">
        <v>255</v>
      </c>
      <c r="I40">
        <v>0</v>
      </c>
    </row>
    <row r="41" spans="1:10" ht="15.65">
      <c r="A41" s="18" t="str">
        <f>'Command register base=0x0'!A42</f>
        <v>des_opd1_y_ins0</v>
      </c>
      <c r="B41" s="19">
        <f>'Command register base=0x0'!B42</f>
        <v>4</v>
      </c>
      <c r="C41" s="19">
        <f t="shared" si="0"/>
        <v>143</v>
      </c>
      <c r="D41" s="19">
        <f t="shared" si="2"/>
        <v>140</v>
      </c>
      <c r="E41" s="18" t="s">
        <v>7</v>
      </c>
      <c r="F41" s="18" t="str">
        <f>'Command register base=0x0'!F42</f>
        <v>0x0</v>
      </c>
      <c r="G41" s="2" t="s">
        <v>449</v>
      </c>
      <c r="H41" s="6" t="s">
        <v>255</v>
      </c>
      <c r="I41">
        <v>0</v>
      </c>
    </row>
    <row r="42" spans="1:10" ht="15.65">
      <c r="A42" s="18" t="s">
        <v>370</v>
      </c>
      <c r="B42" s="19">
        <v>16</v>
      </c>
      <c r="C42" s="19">
        <f t="shared" si="0"/>
        <v>159</v>
      </c>
      <c r="D42" s="19">
        <f t="shared" si="2"/>
        <v>144</v>
      </c>
      <c r="E42" s="18" t="s">
        <v>7</v>
      </c>
      <c r="F42" s="18" t="s">
        <v>236</v>
      </c>
      <c r="G42" s="2" t="s">
        <v>137</v>
      </c>
      <c r="H42" s="6" t="s">
        <v>255</v>
      </c>
      <c r="I42">
        <v>0</v>
      </c>
    </row>
    <row r="43" spans="1:10" ht="15.65">
      <c r="A43" s="18" t="str">
        <f>'Command register base=0x0'!A56</f>
        <v>des_res0_n</v>
      </c>
      <c r="B43" s="132">
        <f>'Command register base=0x0'!B56</f>
        <v>16</v>
      </c>
      <c r="C43" s="132">
        <f t="shared" si="0"/>
        <v>175</v>
      </c>
      <c r="D43" s="132">
        <f t="shared" si="2"/>
        <v>160</v>
      </c>
      <c r="E43" s="131" t="s">
        <v>7</v>
      </c>
      <c r="F43" s="131" t="str">
        <f>'Command register base=0x0'!F56</f>
        <v>0x1</v>
      </c>
      <c r="G43" s="133" t="s">
        <v>970</v>
      </c>
      <c r="H43" s="6" t="s">
        <v>255</v>
      </c>
      <c r="I43">
        <v>0</v>
      </c>
      <c r="J43" s="134"/>
    </row>
    <row r="44" spans="1:10" ht="15.65">
      <c r="A44" s="18" t="str">
        <f>'Command register base=0x0'!A57</f>
        <v>des_res0_c</v>
      </c>
      <c r="B44" s="19">
        <f>'Command register base=0x0'!B57</f>
        <v>16</v>
      </c>
      <c r="C44" s="19">
        <f t="shared" si="0"/>
        <v>191</v>
      </c>
      <c r="D44" s="19">
        <f t="shared" si="2"/>
        <v>176</v>
      </c>
      <c r="E44" s="18" t="s">
        <v>7</v>
      </c>
      <c r="F44" s="18" t="str">
        <f>'Command register base=0x0'!F57</f>
        <v>0x1</v>
      </c>
      <c r="G44" s="2" t="s">
        <v>345</v>
      </c>
      <c r="H44" s="6" t="s">
        <v>255</v>
      </c>
      <c r="I44">
        <v>0</v>
      </c>
    </row>
    <row r="45" spans="1:10" ht="16.3" thickBot="1">
      <c r="A45" s="18" t="str">
        <f>'Command register base=0x0'!A58</f>
        <v>des_res0_h</v>
      </c>
      <c r="B45" s="19">
        <f>'Command register base=0x0'!B58</f>
        <v>16</v>
      </c>
      <c r="C45" s="19">
        <f t="shared" si="0"/>
        <v>207</v>
      </c>
      <c r="D45" s="19">
        <f t="shared" si="2"/>
        <v>192</v>
      </c>
      <c r="E45" s="18" t="s">
        <v>7</v>
      </c>
      <c r="F45" s="18" t="str">
        <f>'Command register base=0x0'!F58</f>
        <v>0x1</v>
      </c>
      <c r="G45" s="2" t="s">
        <v>457</v>
      </c>
      <c r="H45" s="6" t="s">
        <v>255</v>
      </c>
      <c r="I45">
        <v>0</v>
      </c>
    </row>
    <row r="46" spans="1:10" ht="16.3" thickBot="1">
      <c r="A46" s="18" t="str">
        <f>'Command register base=0x0'!A59</f>
        <v>des_res0_w</v>
      </c>
      <c r="B46" s="19">
        <f>'Command register base=0x0'!B59</f>
        <v>16</v>
      </c>
      <c r="C46" s="19">
        <f t="shared" si="0"/>
        <v>223</v>
      </c>
      <c r="D46" s="19">
        <f>C45+1</f>
        <v>208</v>
      </c>
      <c r="E46" s="18" t="s">
        <v>7</v>
      </c>
      <c r="F46" s="18" t="str">
        <f>'Command register base=0x0'!F59</f>
        <v>0x1</v>
      </c>
      <c r="G46" s="2" t="s">
        <v>458</v>
      </c>
      <c r="H46" s="6" t="s">
        <v>255</v>
      </c>
      <c r="I46">
        <v>0</v>
      </c>
    </row>
    <row r="47" spans="1:10" ht="16.3" thickBot="1">
      <c r="A47" s="18" t="str">
        <f>'Command register base=0x0'!A61</f>
        <v>des_opd0_c</v>
      </c>
      <c r="B47" s="19">
        <f>'Command register base=0x0'!B61</f>
        <v>16</v>
      </c>
      <c r="C47" s="19">
        <f t="shared" si="0"/>
        <v>239</v>
      </c>
      <c r="D47" s="19">
        <f>C46+1</f>
        <v>224</v>
      </c>
      <c r="E47" s="18" t="s">
        <v>7</v>
      </c>
      <c r="F47" s="18" t="str">
        <f>'Command register base=0x0'!F61</f>
        <v>0x1</v>
      </c>
      <c r="G47" s="2" t="s">
        <v>353</v>
      </c>
      <c r="H47" s="6" t="s">
        <v>255</v>
      </c>
      <c r="I47">
        <v>0</v>
      </c>
    </row>
    <row r="48" spans="1:10" ht="15.65">
      <c r="A48" s="18" t="str">
        <f>'Command register base=0x0'!A62</f>
        <v>des_opd0_h</v>
      </c>
      <c r="B48" s="19">
        <f>'Command register base=0x0'!B62</f>
        <v>16</v>
      </c>
      <c r="C48" s="19">
        <f t="shared" si="0"/>
        <v>255</v>
      </c>
      <c r="D48" s="19">
        <f t="shared" si="2"/>
        <v>240</v>
      </c>
      <c r="E48" s="18" t="s">
        <v>7</v>
      </c>
      <c r="F48" s="18" t="str">
        <f>'Command register base=0x0'!F62</f>
        <v>0x1</v>
      </c>
      <c r="G48" s="2" t="s">
        <v>460</v>
      </c>
      <c r="H48" s="6" t="s">
        <v>255</v>
      </c>
      <c r="I48">
        <v>0</v>
      </c>
    </row>
    <row r="49" spans="1:9" ht="15.65">
      <c r="A49" s="18" t="str">
        <f>'Command register base=0x0'!A63</f>
        <v>des_opd0_w</v>
      </c>
      <c r="B49" s="19">
        <f>'Command register base=0x0'!B63</f>
        <v>16</v>
      </c>
      <c r="C49" s="19">
        <f t="shared" si="0"/>
        <v>271</v>
      </c>
      <c r="D49" s="19">
        <f t="shared" si="2"/>
        <v>256</v>
      </c>
      <c r="E49" s="18" t="s">
        <v>7</v>
      </c>
      <c r="F49" s="18" t="str">
        <f>'Command register base=0x0'!F63</f>
        <v>0x1</v>
      </c>
      <c r="G49" s="2" t="s">
        <v>461</v>
      </c>
      <c r="H49" s="6" t="s">
        <v>255</v>
      </c>
      <c r="I49">
        <v>0</v>
      </c>
    </row>
    <row r="50" spans="1:9" ht="15.65">
      <c r="A50" s="18" t="str">
        <f>'Command register base=0x0'!A66</f>
        <v>des_opd1_h</v>
      </c>
      <c r="B50" s="19">
        <f>'Command register base=0x0'!B66</f>
        <v>16</v>
      </c>
      <c r="C50" s="19">
        <f t="shared" si="0"/>
        <v>287</v>
      </c>
      <c r="D50" s="19">
        <f t="shared" si="2"/>
        <v>272</v>
      </c>
      <c r="E50" s="18" t="s">
        <v>7</v>
      </c>
      <c r="F50" s="18" t="str">
        <f>'Command register base=0x0'!F66</f>
        <v>0x1</v>
      </c>
      <c r="G50" s="2" t="s">
        <v>464</v>
      </c>
      <c r="H50" s="6" t="s">
        <v>255</v>
      </c>
      <c r="I50">
        <v>0</v>
      </c>
    </row>
    <row r="51" spans="1:9" ht="15.65">
      <c r="A51" s="18" t="str">
        <f>'Command register base=0x0'!A67</f>
        <v>des_opd1_w</v>
      </c>
      <c r="B51" s="19">
        <f>'Command register base=0x0'!B67</f>
        <v>16</v>
      </c>
      <c r="C51" s="19">
        <f t="shared" si="0"/>
        <v>303</v>
      </c>
      <c r="D51" s="19">
        <f t="shared" si="2"/>
        <v>288</v>
      </c>
      <c r="E51" s="18" t="s">
        <v>7</v>
      </c>
      <c r="F51" s="18" t="str">
        <f>'Command register base=0x0'!F67</f>
        <v>0x1</v>
      </c>
      <c r="G51" s="2" t="s">
        <v>465</v>
      </c>
      <c r="H51" s="6" t="s">
        <v>255</v>
      </c>
      <c r="I51">
        <v>0</v>
      </c>
    </row>
    <row r="52" spans="1:9" ht="15.65">
      <c r="A52" s="18" t="s">
        <v>372</v>
      </c>
      <c r="B52" s="19">
        <v>16</v>
      </c>
      <c r="C52" s="19">
        <f t="shared" si="0"/>
        <v>319</v>
      </c>
      <c r="D52" s="19">
        <f t="shared" si="2"/>
        <v>304</v>
      </c>
      <c r="E52" s="18" t="s">
        <v>7</v>
      </c>
      <c r="F52" s="18" t="s">
        <v>236</v>
      </c>
      <c r="G52" s="2" t="s">
        <v>135</v>
      </c>
      <c r="H52" s="6" t="s">
        <v>255</v>
      </c>
      <c r="I52">
        <v>0</v>
      </c>
    </row>
    <row r="53" spans="1:9" ht="15.65">
      <c r="A53" s="18" t="str">
        <f>'Command register base=0x0'!A77</f>
        <v>des_opd0_addr</v>
      </c>
      <c r="B53" s="19">
        <f>'Command register base=0x0'!B77</f>
        <v>32</v>
      </c>
      <c r="C53" s="19">
        <f t="shared" si="0"/>
        <v>351</v>
      </c>
      <c r="D53" s="19">
        <f t="shared" si="2"/>
        <v>320</v>
      </c>
      <c r="E53" s="18" t="s">
        <v>7</v>
      </c>
      <c r="F53" s="18" t="str">
        <f>'Command register base=0x0'!F77</f>
        <v>0x0</v>
      </c>
      <c r="G53" s="2" t="s">
        <v>471</v>
      </c>
      <c r="H53" s="6" t="s">
        <v>255</v>
      </c>
      <c r="I53">
        <v>0</v>
      </c>
    </row>
    <row r="54" spans="1:9" ht="29.9">
      <c r="A54" s="18" t="str">
        <f>'Command register base=0x0'!A78</f>
        <v>des_opd1_addr</v>
      </c>
      <c r="B54" s="19">
        <f>'Command register base=0x0'!B78</f>
        <v>32</v>
      </c>
      <c r="C54" s="19">
        <f t="shared" si="0"/>
        <v>383</v>
      </c>
      <c r="D54" s="19">
        <f t="shared" si="2"/>
        <v>352</v>
      </c>
      <c r="E54" s="18" t="s">
        <v>7</v>
      </c>
      <c r="F54" s="18" t="str">
        <f>'Command register base=0x0'!F78</f>
        <v>0x0</v>
      </c>
      <c r="G54" s="2" t="s">
        <v>472</v>
      </c>
      <c r="H54" s="6" t="s">
        <v>255</v>
      </c>
      <c r="I54">
        <v>0</v>
      </c>
    </row>
    <row r="55" spans="1:9" ht="29.9">
      <c r="A55" s="18" t="str">
        <f>'Command register base=0x0'!A79</f>
        <v>des_opd2_addr</v>
      </c>
      <c r="B55" s="19">
        <f>'Command register base=0x0'!B79</f>
        <v>32</v>
      </c>
      <c r="C55" s="19">
        <f t="shared" si="0"/>
        <v>415</v>
      </c>
      <c r="D55" s="19">
        <f t="shared" si="2"/>
        <v>384</v>
      </c>
      <c r="E55" s="18" t="s">
        <v>7</v>
      </c>
      <c r="F55" s="18" t="str">
        <f>'Command register base=0x0'!F79</f>
        <v>0x0</v>
      </c>
      <c r="G55" s="2" t="s">
        <v>388</v>
      </c>
      <c r="H55" s="6" t="s">
        <v>255</v>
      </c>
      <c r="I55">
        <v>0</v>
      </c>
    </row>
    <row r="56" spans="1:9" ht="15.65">
      <c r="A56" s="18" t="str">
        <f>'Command register base=0x0'!A88</f>
        <v>des_res1_addr</v>
      </c>
      <c r="B56" s="19">
        <f>'Command register base=0x0'!B88</f>
        <v>32</v>
      </c>
      <c r="C56" s="19">
        <f t="shared" si="0"/>
        <v>447</v>
      </c>
      <c r="D56" s="19">
        <f t="shared" si="2"/>
        <v>416</v>
      </c>
      <c r="E56" s="18" t="s">
        <v>7</v>
      </c>
      <c r="F56" s="18" t="str">
        <f>'Command register base=0x0'!F88</f>
        <v>0x0</v>
      </c>
      <c r="G56" s="60" t="s">
        <v>473</v>
      </c>
      <c r="H56" s="6" t="s">
        <v>255</v>
      </c>
      <c r="I56">
        <v>0</v>
      </c>
    </row>
    <row r="57" spans="1:9" ht="15.65">
      <c r="A57" s="18" t="str">
        <f>'Command register base=0x0'!A89</f>
        <v>des_opd3_addr</v>
      </c>
      <c r="B57" s="19">
        <f>'Command register base=0x0'!B89</f>
        <v>32</v>
      </c>
      <c r="C57" s="19">
        <f t="shared" si="0"/>
        <v>479</v>
      </c>
      <c r="D57" s="19">
        <f t="shared" si="2"/>
        <v>448</v>
      </c>
      <c r="E57" s="18" t="s">
        <v>7</v>
      </c>
      <c r="F57" s="18" t="str">
        <f>'Command register base=0x0'!F89</f>
        <v>0x0</v>
      </c>
      <c r="G57" s="61" t="s">
        <v>474</v>
      </c>
      <c r="H57" s="6" t="s">
        <v>255</v>
      </c>
      <c r="I57">
        <v>0</v>
      </c>
    </row>
    <row r="58" spans="1:9" ht="15.65">
      <c r="A58" s="18" t="s">
        <v>393</v>
      </c>
      <c r="B58" s="19">
        <v>16</v>
      </c>
      <c r="C58" s="19">
        <f t="shared" si="0"/>
        <v>495</v>
      </c>
      <c r="D58" s="19">
        <f t="shared" si="2"/>
        <v>480</v>
      </c>
      <c r="E58" s="18" t="s">
        <v>7</v>
      </c>
      <c r="F58" s="18" t="s">
        <v>236</v>
      </c>
      <c r="G58" s="2" t="s">
        <v>133</v>
      </c>
      <c r="H58" s="6" t="s">
        <v>255</v>
      </c>
      <c r="I58">
        <v>0</v>
      </c>
    </row>
    <row r="59" spans="1:9" ht="15.65">
      <c r="A59" s="18" t="s">
        <v>395</v>
      </c>
      <c r="B59" s="19">
        <v>16</v>
      </c>
      <c r="C59" s="19">
        <f t="shared" si="0"/>
        <v>511</v>
      </c>
      <c r="D59" s="19">
        <f t="shared" si="2"/>
        <v>496</v>
      </c>
      <c r="E59" s="18" t="s">
        <v>7</v>
      </c>
      <c r="F59" s="18" t="s">
        <v>236</v>
      </c>
      <c r="G59" s="2" t="s">
        <v>131</v>
      </c>
      <c r="H59" s="6" t="s">
        <v>255</v>
      </c>
      <c r="I59">
        <v>0</v>
      </c>
    </row>
  </sheetData>
  <customSheetViews>
    <customSheetView guid="{465993EB-2174-44B8-8988-073286CA386F}" topLeftCell="A46">
      <selection activeCell="G19" sqref="G19"/>
      <pageMargins left="0.7" right="0.7" top="0.75" bottom="0.75" header="0.3" footer="0.3"/>
      <pageSetup paperSize="9" orientation="portrait"/>
    </customSheetView>
    <customSheetView guid="{C03D8012-5FAF-4C48-B7E4-56A55E52A74B}" topLeftCell="A46">
      <selection activeCell="G19" sqref="G19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9"/>
  <sheetViews>
    <sheetView topLeftCell="A28" zoomScaleNormal="100" workbookViewId="0">
      <selection activeCell="G25" sqref="G25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8.5" customWidth="1"/>
    <col min="7" max="7" width="82" customWidth="1"/>
    <col min="8" max="8" width="66.125" customWidth="1"/>
  </cols>
  <sheetData>
    <row r="1" spans="1:9" ht="68.599999999999994" thickBot="1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" t="s">
        <v>9</v>
      </c>
      <c r="H1" s="57" t="s">
        <v>428</v>
      </c>
      <c r="I1" s="57" t="s">
        <v>429</v>
      </c>
    </row>
    <row r="2" spans="1:9" ht="16.3" thickBot="1">
      <c r="A2" s="18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8" t="s">
        <v>7</v>
      </c>
      <c r="F2" s="18" t="str">
        <f>'Command register base=0x0'!F2</f>
        <v>0x0</v>
      </c>
      <c r="G2" s="2" t="s">
        <v>475</v>
      </c>
      <c r="H2" s="6" t="s">
        <v>255</v>
      </c>
      <c r="I2">
        <v>0</v>
      </c>
    </row>
    <row r="3" spans="1:9" ht="45.55" thickBot="1">
      <c r="A3" s="18" t="s">
        <v>301</v>
      </c>
      <c r="B3" s="19">
        <v>1</v>
      </c>
      <c r="C3" s="19">
        <f>D3+B3-1</f>
        <v>1</v>
      </c>
      <c r="D3" s="19">
        <f>C2+1</f>
        <v>1</v>
      </c>
      <c r="E3" s="18" t="s">
        <v>7</v>
      </c>
      <c r="F3" s="18" t="s">
        <v>236</v>
      </c>
      <c r="G3" s="12" t="s">
        <v>302</v>
      </c>
      <c r="H3" s="6" t="s">
        <v>255</v>
      </c>
      <c r="I3">
        <v>0</v>
      </c>
    </row>
    <row r="4" spans="1:9" ht="45.55" thickBot="1">
      <c r="A4" s="18" t="s">
        <v>269</v>
      </c>
      <c r="B4" s="19">
        <v>1</v>
      </c>
      <c r="C4" s="19">
        <f t="shared" ref="C4:C59" si="0">D4+B4-1</f>
        <v>2</v>
      </c>
      <c r="D4" s="19">
        <f t="shared" ref="D4:D59" si="1">C3+1</f>
        <v>2</v>
      </c>
      <c r="E4" s="18" t="s">
        <v>7</v>
      </c>
      <c r="F4" s="18" t="s">
        <v>236</v>
      </c>
      <c r="G4" s="12" t="s">
        <v>436</v>
      </c>
      <c r="H4" s="6" t="s">
        <v>255</v>
      </c>
      <c r="I4">
        <v>0</v>
      </c>
    </row>
    <row r="5" spans="1:9" ht="45.55" thickBot="1">
      <c r="A5" s="18" t="s">
        <v>305</v>
      </c>
      <c r="B5" s="19">
        <v>1</v>
      </c>
      <c r="C5" s="19">
        <f t="shared" si="0"/>
        <v>3</v>
      </c>
      <c r="D5" s="19">
        <f t="shared" si="1"/>
        <v>3</v>
      </c>
      <c r="E5" s="18" t="s">
        <v>7</v>
      </c>
      <c r="F5" s="18" t="s">
        <v>236</v>
      </c>
      <c r="G5" s="12" t="s">
        <v>306</v>
      </c>
      <c r="H5" s="6" t="s">
        <v>255</v>
      </c>
      <c r="I5">
        <v>0</v>
      </c>
    </row>
    <row r="6" spans="1:9" ht="45.55" thickBot="1">
      <c r="A6" s="18" t="s">
        <v>265</v>
      </c>
      <c r="B6" s="19">
        <v>1</v>
      </c>
      <c r="C6" s="19">
        <f t="shared" si="0"/>
        <v>4</v>
      </c>
      <c r="D6" s="19">
        <f t="shared" si="1"/>
        <v>4</v>
      </c>
      <c r="E6" s="18" t="s">
        <v>7</v>
      </c>
      <c r="F6" s="18" t="s">
        <v>236</v>
      </c>
      <c r="G6" s="12" t="s">
        <v>435</v>
      </c>
      <c r="H6" s="6" t="s">
        <v>255</v>
      </c>
      <c r="I6">
        <v>0</v>
      </c>
    </row>
    <row r="7" spans="1:9" ht="45.55" thickBot="1">
      <c r="A7" s="18" t="s">
        <v>245</v>
      </c>
      <c r="B7" s="19">
        <v>1</v>
      </c>
      <c r="C7" s="19">
        <f t="shared" si="0"/>
        <v>5</v>
      </c>
      <c r="D7" s="19">
        <f t="shared" si="1"/>
        <v>5</v>
      </c>
      <c r="E7" s="18" t="s">
        <v>7</v>
      </c>
      <c r="F7" s="18" t="s">
        <v>236</v>
      </c>
      <c r="G7" s="12" t="s">
        <v>432</v>
      </c>
      <c r="H7" s="6" t="s">
        <v>255</v>
      </c>
      <c r="I7">
        <v>0</v>
      </c>
    </row>
    <row r="8" spans="1:9" ht="90.35" thickBot="1">
      <c r="A8" s="18" t="s">
        <v>377</v>
      </c>
      <c r="B8" s="19">
        <v>3</v>
      </c>
      <c r="C8" s="19">
        <f t="shared" si="0"/>
        <v>8</v>
      </c>
      <c r="D8" s="19">
        <f t="shared" si="1"/>
        <v>6</v>
      </c>
      <c r="E8" s="18" t="s">
        <v>7</v>
      </c>
      <c r="F8" s="18" t="str">
        <f>'Command register base=0x0'!F13</f>
        <v>0x0</v>
      </c>
      <c r="G8" s="4" t="s">
        <v>470</v>
      </c>
      <c r="H8" s="6" t="s">
        <v>255</v>
      </c>
      <c r="I8">
        <v>0</v>
      </c>
    </row>
    <row r="9" spans="1:9" ht="135.19999999999999" thickBot="1">
      <c r="A9" s="18" t="s">
        <v>281</v>
      </c>
      <c r="B9" s="19">
        <v>3</v>
      </c>
      <c r="C9" s="19">
        <f t="shared" si="0"/>
        <v>11</v>
      </c>
      <c r="D9" s="19">
        <f t="shared" si="1"/>
        <v>9</v>
      </c>
      <c r="E9" s="18" t="s">
        <v>7</v>
      </c>
      <c r="F9" s="18" t="str">
        <f>'Command register base=0x0'!F14</f>
        <v>0x0</v>
      </c>
      <c r="G9" s="4" t="s">
        <v>1045</v>
      </c>
      <c r="H9" s="6" t="s">
        <v>255</v>
      </c>
      <c r="I9">
        <v>0</v>
      </c>
    </row>
    <row r="10" spans="1:9" ht="16.3" thickBot="1">
      <c r="A10" s="18" t="str">
        <f>'Command register base=0x0'!A3</f>
        <v>des_op_code</v>
      </c>
      <c r="B10" s="19">
        <v>5</v>
      </c>
      <c r="C10" s="19">
        <f t="shared" si="0"/>
        <v>16</v>
      </c>
      <c r="D10" s="19">
        <f t="shared" si="1"/>
        <v>12</v>
      </c>
      <c r="E10" s="18" t="s">
        <v>7</v>
      </c>
      <c r="F10" s="18" t="str">
        <f>'Command register base=0x0'!F3</f>
        <v>0x0</v>
      </c>
      <c r="G10" s="2" t="s">
        <v>257</v>
      </c>
      <c r="H10" s="58" t="s">
        <v>258</v>
      </c>
      <c r="I10">
        <v>2</v>
      </c>
    </row>
    <row r="11" spans="1:9" ht="30.6" thickBot="1">
      <c r="A11" s="18" t="str">
        <f>'Command register base=0x0'!A4</f>
        <v>des_cmd_id_dep</v>
      </c>
      <c r="B11" s="19">
        <f>'Command register base=0x0'!B4</f>
        <v>23</v>
      </c>
      <c r="C11" s="19">
        <f t="shared" si="0"/>
        <v>39</v>
      </c>
      <c r="D11" s="19">
        <f t="shared" si="1"/>
        <v>17</v>
      </c>
      <c r="E11" s="18" t="s">
        <v>7</v>
      </c>
      <c r="F11" s="18" t="str">
        <f>'Command register base=0x0'!F4</f>
        <v>0x0</v>
      </c>
      <c r="G11" s="2" t="s">
        <v>241</v>
      </c>
      <c r="H11" s="6" t="s">
        <v>255</v>
      </c>
      <c r="I11">
        <v>0</v>
      </c>
    </row>
    <row r="12" spans="1:9" ht="16.3" thickBot="1">
      <c r="A12" s="18" t="str">
        <f>'Command register base=0x0'!A5</f>
        <v>des_dbg_mode</v>
      </c>
      <c r="B12" s="19">
        <f>'Command register base=0x0'!B5</f>
        <v>1</v>
      </c>
      <c r="C12" s="19">
        <f t="shared" ref="C12:C13" si="2">D12+B12-1</f>
        <v>40</v>
      </c>
      <c r="D12" s="19">
        <f t="shared" ref="D12:D13" si="3">C11+1</f>
        <v>40</v>
      </c>
      <c r="E12" s="18" t="s">
        <v>7</v>
      </c>
      <c r="F12" s="18" t="str">
        <f>'Command register base=0x0'!F5</f>
        <v>0x0</v>
      </c>
      <c r="G12" s="4" t="s">
        <v>900</v>
      </c>
      <c r="H12" s="6" t="s">
        <v>255</v>
      </c>
    </row>
    <row r="13" spans="1:9" ht="30.6" thickBot="1">
      <c r="A13" s="18" t="str">
        <f>'Command register base=0x0'!A6</f>
        <v>des_tsk_typ</v>
      </c>
      <c r="B13" s="19">
        <f>'Command register base=0x0'!B6</f>
        <v>4</v>
      </c>
      <c r="C13" s="19">
        <f t="shared" si="2"/>
        <v>44</v>
      </c>
      <c r="D13" s="19">
        <f t="shared" si="3"/>
        <v>41</v>
      </c>
      <c r="E13" s="18" t="s">
        <v>7</v>
      </c>
      <c r="F13" s="18" t="str">
        <f>'Command register base=0x0'!F6</f>
        <v>0x0</v>
      </c>
      <c r="G13" s="2" t="s">
        <v>431</v>
      </c>
      <c r="H13" s="6" t="s">
        <v>255</v>
      </c>
      <c r="I13">
        <v>0</v>
      </c>
    </row>
    <row r="14" spans="1:9" ht="45.55" thickBot="1">
      <c r="A14" s="18" t="str">
        <f>'Command register base=0x0'!A7</f>
        <v>des_tsk_eu_typ</v>
      </c>
      <c r="B14" s="19">
        <f>'Command register base=0x0'!B7</f>
        <v>5</v>
      </c>
      <c r="C14" s="19">
        <f t="shared" si="0"/>
        <v>49</v>
      </c>
      <c r="D14" s="19">
        <f t="shared" si="1"/>
        <v>45</v>
      </c>
      <c r="E14" s="18" t="s">
        <v>7</v>
      </c>
      <c r="F14" s="18" t="str">
        <f>'Command register base=0x0'!F7</f>
        <v>0x0</v>
      </c>
      <c r="G14" s="4" t="s">
        <v>1049</v>
      </c>
      <c r="H14" s="6" t="s">
        <v>255</v>
      </c>
      <c r="I14">
        <v>0</v>
      </c>
    </row>
    <row r="15" spans="1:9" ht="45.55" thickBot="1">
      <c r="A15" s="18" t="str">
        <f>'Command register base=0x0'!A20</f>
        <v>des_opt_opd0_sign</v>
      </c>
      <c r="B15" s="19">
        <f>'Command register base=0x0'!B20</f>
        <v>1</v>
      </c>
      <c r="C15" s="19">
        <f t="shared" si="0"/>
        <v>50</v>
      </c>
      <c r="D15" s="19">
        <f t="shared" si="1"/>
        <v>50</v>
      </c>
      <c r="E15" s="18" t="s">
        <v>7</v>
      </c>
      <c r="F15" s="18" t="str">
        <f>'Command register base=0x0'!F20</f>
        <v>0x0</v>
      </c>
      <c r="G15" s="2" t="s">
        <v>438</v>
      </c>
      <c r="H15" s="6" t="s">
        <v>255</v>
      </c>
      <c r="I15">
        <v>0</v>
      </c>
    </row>
    <row r="16" spans="1:9" ht="45.55" thickBot="1">
      <c r="A16" s="18" t="s">
        <v>275</v>
      </c>
      <c r="B16" s="19">
        <f>'Command register base=0x0'!B21</f>
        <v>1</v>
      </c>
      <c r="C16" s="19">
        <f t="shared" si="0"/>
        <v>51</v>
      </c>
      <c r="D16" s="19">
        <f t="shared" si="1"/>
        <v>51</v>
      </c>
      <c r="E16" s="18" t="s">
        <v>7</v>
      </c>
      <c r="F16" s="18" t="str">
        <f>'Command register base=0x0'!F21</f>
        <v>0x1</v>
      </c>
      <c r="G16" s="2" t="s">
        <v>439</v>
      </c>
      <c r="H16" s="6" t="s">
        <v>255</v>
      </c>
      <c r="I16">
        <v>0</v>
      </c>
    </row>
    <row r="17" spans="1:19" ht="45.55" thickBot="1">
      <c r="A17" s="18" t="s">
        <v>277</v>
      </c>
      <c r="B17" s="19">
        <f>'Command register base=0x0'!B22</f>
        <v>1</v>
      </c>
      <c r="C17" s="19">
        <f t="shared" si="0"/>
        <v>52</v>
      </c>
      <c r="D17" s="19">
        <f t="shared" si="1"/>
        <v>52</v>
      </c>
      <c r="E17" s="18" t="s">
        <v>7</v>
      </c>
      <c r="F17" s="18" t="str">
        <f>'Command register base=0x0'!F22</f>
        <v>0x1</v>
      </c>
      <c r="G17" s="2" t="s">
        <v>440</v>
      </c>
      <c r="H17" s="6" t="s">
        <v>255</v>
      </c>
      <c r="I17">
        <v>0</v>
      </c>
    </row>
    <row r="18" spans="1:19" ht="75.400000000000006" thickBot="1">
      <c r="A18" s="18" t="s">
        <v>250</v>
      </c>
      <c r="B18" s="19">
        <v>2</v>
      </c>
      <c r="C18" s="19">
        <f t="shared" si="0"/>
        <v>54</v>
      </c>
      <c r="D18" s="19">
        <f t="shared" si="1"/>
        <v>53</v>
      </c>
      <c r="E18" s="18" t="s">
        <v>7</v>
      </c>
      <c r="F18" s="18" t="s">
        <v>236</v>
      </c>
      <c r="G18" s="2" t="s">
        <v>433</v>
      </c>
      <c r="H18" s="6" t="s">
        <v>255</v>
      </c>
      <c r="I18">
        <v>0</v>
      </c>
    </row>
    <row r="19" spans="1:19" s="56" customFormat="1" ht="90.35" thickBot="1">
      <c r="A19" s="28" t="s">
        <v>252</v>
      </c>
      <c r="B19" s="29">
        <v>1</v>
      </c>
      <c r="C19" s="29">
        <f t="shared" si="0"/>
        <v>55</v>
      </c>
      <c r="D19" s="29">
        <f t="shared" si="1"/>
        <v>55</v>
      </c>
      <c r="E19" s="28" t="s">
        <v>476</v>
      </c>
      <c r="F19" s="28" t="s">
        <v>477</v>
      </c>
      <c r="G19" s="25" t="s">
        <v>862</v>
      </c>
      <c r="H19" s="6" t="s">
        <v>255</v>
      </c>
      <c r="I19">
        <v>0</v>
      </c>
      <c r="J19"/>
      <c r="K19"/>
      <c r="L19"/>
      <c r="M19"/>
      <c r="N19"/>
      <c r="O19"/>
      <c r="P19"/>
      <c r="Q19"/>
      <c r="R19"/>
      <c r="S19"/>
    </row>
    <row r="20" spans="1:19" s="56" customFormat="1" ht="135.19999999999999" thickBot="1">
      <c r="A20" s="28" t="s">
        <v>863</v>
      </c>
      <c r="B20" s="29">
        <v>3</v>
      </c>
      <c r="C20" s="29">
        <f t="shared" si="0"/>
        <v>58</v>
      </c>
      <c r="D20" s="29">
        <f t="shared" si="1"/>
        <v>56</v>
      </c>
      <c r="E20" s="28" t="s">
        <v>7</v>
      </c>
      <c r="F20" s="28" t="str">
        <f>'Command register base=0x0'!F12</f>
        <v>0x0</v>
      </c>
      <c r="G20" s="30" t="s">
        <v>858</v>
      </c>
      <c r="H20" s="6" t="s">
        <v>255</v>
      </c>
      <c r="I20">
        <v>0</v>
      </c>
      <c r="J20"/>
      <c r="K20"/>
      <c r="L20"/>
      <c r="M20"/>
      <c r="N20"/>
      <c r="O20"/>
      <c r="P20"/>
      <c r="Q20"/>
      <c r="R20"/>
      <c r="S20"/>
    </row>
    <row r="21" spans="1:19" ht="16.3" thickBot="1">
      <c r="A21" s="18" t="s">
        <v>259</v>
      </c>
      <c r="B21" s="19">
        <v>4</v>
      </c>
      <c r="C21" s="19">
        <f t="shared" si="0"/>
        <v>62</v>
      </c>
      <c r="D21" s="19">
        <f t="shared" si="1"/>
        <v>59</v>
      </c>
      <c r="E21" s="18" t="s">
        <v>7</v>
      </c>
      <c r="F21" s="18" t="s">
        <v>236</v>
      </c>
      <c r="G21" s="2" t="s">
        <v>260</v>
      </c>
      <c r="H21" s="6" t="s">
        <v>255</v>
      </c>
      <c r="I21">
        <v>0</v>
      </c>
    </row>
    <row r="22" spans="1:19" ht="60.45" thickBot="1">
      <c r="A22" s="18" t="s">
        <v>263</v>
      </c>
      <c r="B22" s="19">
        <v>1</v>
      </c>
      <c r="C22" s="19">
        <f t="shared" si="0"/>
        <v>63</v>
      </c>
      <c r="D22" s="19">
        <f t="shared" si="1"/>
        <v>63</v>
      </c>
      <c r="E22" s="18" t="s">
        <v>7</v>
      </c>
      <c r="F22" s="18" t="s">
        <v>236</v>
      </c>
      <c r="G22" s="2" t="s">
        <v>434</v>
      </c>
      <c r="H22" s="6" t="s">
        <v>255</v>
      </c>
      <c r="I22">
        <v>0</v>
      </c>
    </row>
    <row r="23" spans="1:19" ht="16.3" thickBot="1">
      <c r="A23" s="18" t="str">
        <f>'Command register base=0x0'!A19</f>
        <v>des_opt_kernel_rotate</v>
      </c>
      <c r="B23" s="19">
        <f>'Command register base=0x0'!B19</f>
        <v>1</v>
      </c>
      <c r="C23" s="19">
        <f t="shared" si="0"/>
        <v>64</v>
      </c>
      <c r="D23" s="19">
        <f t="shared" si="1"/>
        <v>64</v>
      </c>
      <c r="E23" s="18" t="s">
        <v>7</v>
      </c>
      <c r="F23" s="18" t="str">
        <f>'Command register base=0x0'!F19</f>
        <v>0x0</v>
      </c>
      <c r="G23" s="2" t="s">
        <v>437</v>
      </c>
      <c r="H23" s="6" t="s">
        <v>255</v>
      </c>
      <c r="I23">
        <v>0</v>
      </c>
    </row>
    <row r="24" spans="1:19" ht="135.19999999999999" thickBot="1">
      <c r="A24" s="18" t="str">
        <f>'Command register base=0x0'!A23</f>
        <v>des_opt_res0_prec</v>
      </c>
      <c r="B24" s="19">
        <f>'Command register base=0x0'!B23</f>
        <v>3</v>
      </c>
      <c r="C24" s="19">
        <f t="shared" si="0"/>
        <v>67</v>
      </c>
      <c r="D24" s="19">
        <f t="shared" si="1"/>
        <v>65</v>
      </c>
      <c r="E24" s="18" t="s">
        <v>7</v>
      </c>
      <c r="F24" s="18" t="str">
        <f>'Command register base=0x0'!F23</f>
        <v>0x2</v>
      </c>
      <c r="G24" s="2" t="s">
        <v>1047</v>
      </c>
      <c r="H24" s="6" t="s">
        <v>255</v>
      </c>
      <c r="I24">
        <v>0</v>
      </c>
    </row>
    <row r="25" spans="1:19" ht="135.19999999999999" thickBot="1">
      <c r="A25" s="18" t="str">
        <f>'Command register base=0x0'!A24</f>
        <v>des_opt_opd0_prec</v>
      </c>
      <c r="B25" s="19">
        <f>'Command register base=0x0'!B24</f>
        <v>3</v>
      </c>
      <c r="C25" s="19">
        <f t="shared" si="0"/>
        <v>70</v>
      </c>
      <c r="D25" s="19">
        <f t="shared" si="1"/>
        <v>68</v>
      </c>
      <c r="E25" s="18" t="s">
        <v>7</v>
      </c>
      <c r="F25" s="18" t="str">
        <f>'Command register base=0x0'!F24</f>
        <v>0x2</v>
      </c>
      <c r="G25" s="2" t="s">
        <v>1048</v>
      </c>
      <c r="H25" s="6" t="s">
        <v>255</v>
      </c>
      <c r="I25">
        <v>0</v>
      </c>
    </row>
    <row r="26" spans="1:19" ht="30.6" thickBot="1">
      <c r="A26" s="18" t="str">
        <f>'Command register base=0x0'!A28</f>
        <v>des_opt_opd1_const</v>
      </c>
      <c r="B26" s="19">
        <f>'Command register base=0x0'!B28</f>
        <v>1</v>
      </c>
      <c r="C26" s="19">
        <f t="shared" si="0"/>
        <v>71</v>
      </c>
      <c r="D26" s="19">
        <f t="shared" si="1"/>
        <v>71</v>
      </c>
      <c r="E26" s="18" t="s">
        <v>7</v>
      </c>
      <c r="F26" s="18" t="str">
        <f>'Command register base=0x0'!F28</f>
        <v>0x0</v>
      </c>
      <c r="G26" s="2" t="s">
        <v>441</v>
      </c>
      <c r="H26" s="6" t="s">
        <v>255</v>
      </c>
      <c r="I26">
        <v>0</v>
      </c>
    </row>
    <row r="27" spans="1:19" ht="30.6" thickBot="1">
      <c r="A27" s="18" t="str">
        <f>'Command register base=0x0'!A29</f>
        <v>des_opt_opd2_const</v>
      </c>
      <c r="B27" s="19">
        <f>'Command register base=0x0'!B29</f>
        <v>1</v>
      </c>
      <c r="C27" s="19">
        <f t="shared" si="0"/>
        <v>72</v>
      </c>
      <c r="D27" s="19">
        <f t="shared" si="1"/>
        <v>72</v>
      </c>
      <c r="E27" s="18" t="s">
        <v>7</v>
      </c>
      <c r="F27" s="18" t="str">
        <f>'Command register base=0x0'!F29</f>
        <v>0x0</v>
      </c>
      <c r="G27" s="2" t="s">
        <v>442</v>
      </c>
      <c r="H27" s="6" t="s">
        <v>255</v>
      </c>
      <c r="I27">
        <v>0</v>
      </c>
    </row>
    <row r="28" spans="1:19" ht="16.3" thickBot="1">
      <c r="A28" s="18" t="str">
        <f>'Command register base=0x0'!A43</f>
        <v>des_opd0_up_pad</v>
      </c>
      <c r="B28" s="19">
        <f>'Command register base=0x0'!B43</f>
        <v>4</v>
      </c>
      <c r="C28" s="19">
        <f t="shared" si="0"/>
        <v>76</v>
      </c>
      <c r="D28" s="19">
        <f t="shared" si="1"/>
        <v>73</v>
      </c>
      <c r="E28" s="18" t="s">
        <v>7</v>
      </c>
      <c r="F28" s="18" t="str">
        <f>'Command register base=0x0'!F43</f>
        <v>0x0</v>
      </c>
      <c r="G28" s="2" t="s">
        <v>450</v>
      </c>
      <c r="H28" s="6" t="s">
        <v>255</v>
      </c>
      <c r="I28">
        <v>0</v>
      </c>
    </row>
    <row r="29" spans="1:19" ht="16.3" thickBot="1">
      <c r="A29" s="18" t="str">
        <f>'Command register base=0x0'!A44</f>
        <v>des_opd0_dn_pad</v>
      </c>
      <c r="B29" s="19">
        <f>'Command register base=0x0'!B44</f>
        <v>4</v>
      </c>
      <c r="C29" s="19">
        <f t="shared" si="0"/>
        <v>80</v>
      </c>
      <c r="D29" s="19">
        <f t="shared" si="1"/>
        <v>77</v>
      </c>
      <c r="E29" s="18" t="s">
        <v>7</v>
      </c>
      <c r="F29" s="18" t="str">
        <f>'Command register base=0x0'!F44</f>
        <v>0x0</v>
      </c>
      <c r="G29" s="2" t="s">
        <v>451</v>
      </c>
      <c r="H29" s="6" t="s">
        <v>255</v>
      </c>
      <c r="I29">
        <v>0</v>
      </c>
    </row>
    <row r="30" spans="1:19" ht="16.3" thickBot="1">
      <c r="A30" s="18" t="str">
        <f>'Command register base=0x0'!A45</f>
        <v>des_opd0_lf_pad</v>
      </c>
      <c r="B30" s="19">
        <f>'Command register base=0x0'!B45</f>
        <v>4</v>
      </c>
      <c r="C30" s="19">
        <f t="shared" si="0"/>
        <v>84</v>
      </c>
      <c r="D30" s="19">
        <f t="shared" si="1"/>
        <v>81</v>
      </c>
      <c r="E30" s="18" t="s">
        <v>7</v>
      </c>
      <c r="F30" s="18" t="str">
        <f>'Command register base=0x0'!F45</f>
        <v>0x0</v>
      </c>
      <c r="G30" s="2" t="s">
        <v>452</v>
      </c>
      <c r="H30" s="6" t="s">
        <v>255</v>
      </c>
      <c r="I30">
        <v>0</v>
      </c>
    </row>
    <row r="31" spans="1:19" ht="16.3" thickBot="1">
      <c r="A31" s="18" t="str">
        <f>'Command register base=0x0'!A46</f>
        <v>des_opd0_rt_pad</v>
      </c>
      <c r="B31" s="19">
        <f>'Command register base=0x0'!B46</f>
        <v>4</v>
      </c>
      <c r="C31" s="19">
        <f t="shared" si="0"/>
        <v>88</v>
      </c>
      <c r="D31" s="19">
        <f t="shared" si="1"/>
        <v>85</v>
      </c>
      <c r="E31" s="18" t="s">
        <v>7</v>
      </c>
      <c r="F31" s="18" t="str">
        <f>'Command register base=0x0'!F46</f>
        <v>0x0</v>
      </c>
      <c r="G31" s="2" t="s">
        <v>453</v>
      </c>
      <c r="H31" s="6" t="s">
        <v>255</v>
      </c>
      <c r="I31">
        <v>0</v>
      </c>
    </row>
    <row r="32" spans="1:19" ht="16.3" thickBot="1">
      <c r="A32" s="18" t="str">
        <f>'Command register base=0x0'!A47</f>
        <v>des_res_op_x_str</v>
      </c>
      <c r="B32" s="19">
        <f>'Command register base=0x0'!B47</f>
        <v>4</v>
      </c>
      <c r="C32" s="19">
        <f t="shared" si="0"/>
        <v>92</v>
      </c>
      <c r="D32" s="19">
        <f t="shared" si="1"/>
        <v>89</v>
      </c>
      <c r="E32" s="18" t="s">
        <v>7</v>
      </c>
      <c r="F32" s="18" t="str">
        <f>'Command register base=0x0'!F47</f>
        <v>0x1</v>
      </c>
      <c r="G32" s="2" t="s">
        <v>454</v>
      </c>
      <c r="H32" s="6" t="s">
        <v>255</v>
      </c>
      <c r="I32">
        <v>0</v>
      </c>
    </row>
    <row r="33" spans="1:9" ht="16.3" thickBot="1">
      <c r="A33" s="18" t="str">
        <f>'Command register base=0x0'!A48</f>
        <v>des_res_op_y_str</v>
      </c>
      <c r="B33" s="19">
        <f>'Command register base=0x0'!B48</f>
        <v>4</v>
      </c>
      <c r="C33" s="19">
        <f t="shared" si="0"/>
        <v>96</v>
      </c>
      <c r="D33" s="19">
        <f t="shared" si="1"/>
        <v>93</v>
      </c>
      <c r="E33" s="18" t="s">
        <v>7</v>
      </c>
      <c r="F33" s="18" t="str">
        <f>'Command register base=0x0'!F48</f>
        <v>0x1</v>
      </c>
      <c r="G33" s="2" t="s">
        <v>455</v>
      </c>
      <c r="H33" s="6" t="s">
        <v>255</v>
      </c>
      <c r="I33">
        <v>0</v>
      </c>
    </row>
    <row r="34" spans="1:9" ht="45.55" thickBot="1">
      <c r="A34" s="18" t="str">
        <f>'Command register base=0x0'!A37</f>
        <v>des_opt_opd3_const</v>
      </c>
      <c r="B34" s="19">
        <f>'Command register base=0x0'!B37</f>
        <v>1</v>
      </c>
      <c r="C34" s="19">
        <f t="shared" si="0"/>
        <v>97</v>
      </c>
      <c r="D34" s="19">
        <f t="shared" si="1"/>
        <v>97</v>
      </c>
      <c r="E34" s="18" t="s">
        <v>7</v>
      </c>
      <c r="F34" s="18" t="str">
        <f>'Command register base=0x0'!F37</f>
        <v>0x0</v>
      </c>
      <c r="G34" s="2" t="s">
        <v>445</v>
      </c>
      <c r="H34" s="6" t="s">
        <v>255</v>
      </c>
      <c r="I34">
        <v>0</v>
      </c>
    </row>
    <row r="35" spans="1:9" ht="120.25" thickBot="1">
      <c r="A35" s="18" t="s">
        <v>292</v>
      </c>
      <c r="B35" s="19">
        <v>3</v>
      </c>
      <c r="C35" s="19">
        <f t="shared" si="0"/>
        <v>100</v>
      </c>
      <c r="D35" s="19">
        <f t="shared" si="1"/>
        <v>98</v>
      </c>
      <c r="E35" s="18" t="s">
        <v>7</v>
      </c>
      <c r="F35" s="18" t="str">
        <f>'Command register base=0x0'!F38</f>
        <v>0x0</v>
      </c>
      <c r="G35" s="59" t="s">
        <v>479</v>
      </c>
      <c r="H35" s="6" t="s">
        <v>255</v>
      </c>
      <c r="I35">
        <v>0</v>
      </c>
    </row>
    <row r="36" spans="1:9" ht="16.3" thickBot="1">
      <c r="A36" s="18" t="str">
        <f>'Command register base=0x0'!A76</f>
        <v>des_res0_addr</v>
      </c>
      <c r="B36" s="19">
        <v>26</v>
      </c>
      <c r="C36" s="19">
        <f t="shared" si="0"/>
        <v>126</v>
      </c>
      <c r="D36" s="19">
        <f t="shared" si="1"/>
        <v>101</v>
      </c>
      <c r="E36" s="18" t="s">
        <v>7</v>
      </c>
      <c r="F36" s="18" t="str">
        <f>'Command register base=0x0'!F76</f>
        <v>0x0</v>
      </c>
      <c r="G36" s="2" t="s">
        <v>382</v>
      </c>
      <c r="H36" s="6" t="s">
        <v>255</v>
      </c>
      <c r="I36">
        <v>0</v>
      </c>
    </row>
    <row r="37" spans="1:9" ht="30.6" thickBot="1">
      <c r="A37" s="18" t="s">
        <v>261</v>
      </c>
      <c r="B37" s="19">
        <v>1</v>
      </c>
      <c r="C37" s="19">
        <f t="shared" si="0"/>
        <v>127</v>
      </c>
      <c r="D37" s="19">
        <f t="shared" si="1"/>
        <v>127</v>
      </c>
      <c r="E37" s="18" t="s">
        <v>7</v>
      </c>
      <c r="F37" s="18" t="s">
        <v>236</v>
      </c>
      <c r="G37" s="2" t="s">
        <v>262</v>
      </c>
      <c r="H37" s="6" t="s">
        <v>255</v>
      </c>
      <c r="I37">
        <v>0</v>
      </c>
    </row>
    <row r="38" spans="1:9" ht="16.3" thickBot="1">
      <c r="A38" s="18" t="str">
        <f>'Command register base=0x0'!A39</f>
        <v>des_opd0_x_ins0</v>
      </c>
      <c r="B38" s="19">
        <f>'Command register base=0x0'!B39</f>
        <v>4</v>
      </c>
      <c r="C38" s="19">
        <f t="shared" si="0"/>
        <v>131</v>
      </c>
      <c r="D38" s="19">
        <f t="shared" si="1"/>
        <v>128</v>
      </c>
      <c r="E38" s="18" t="s">
        <v>7</v>
      </c>
      <c r="F38" s="18" t="str">
        <f>'Command register base=0x0'!F39</f>
        <v>0x0</v>
      </c>
      <c r="G38" s="2" t="s">
        <v>446</v>
      </c>
      <c r="H38" s="6" t="s">
        <v>255</v>
      </c>
      <c r="I38">
        <v>0</v>
      </c>
    </row>
    <row r="39" spans="1:9" ht="16.3" thickBot="1">
      <c r="A39" s="18" t="str">
        <f>'Command register base=0x0'!A40</f>
        <v>des_opd0_y_ins0</v>
      </c>
      <c r="B39" s="19">
        <f>'Command register base=0x0'!B40</f>
        <v>4</v>
      </c>
      <c r="C39" s="19">
        <f t="shared" si="0"/>
        <v>135</v>
      </c>
      <c r="D39" s="19">
        <f t="shared" si="1"/>
        <v>132</v>
      </c>
      <c r="E39" s="18" t="s">
        <v>7</v>
      </c>
      <c r="F39" s="18" t="str">
        <f>'Command register base=0x0'!F40</f>
        <v>0x0</v>
      </c>
      <c r="G39" s="2" t="s">
        <v>447</v>
      </c>
      <c r="H39" s="6" t="s">
        <v>255</v>
      </c>
      <c r="I39">
        <v>0</v>
      </c>
    </row>
    <row r="40" spans="1:9" ht="16.3" thickBot="1">
      <c r="A40" s="18" t="str">
        <f>'Command register base=0x0'!A41</f>
        <v>des_opd1_x_ins0</v>
      </c>
      <c r="B40" s="19">
        <f>'Command register base=0x0'!B41</f>
        <v>4</v>
      </c>
      <c r="C40" s="19">
        <f t="shared" si="0"/>
        <v>139</v>
      </c>
      <c r="D40" s="19">
        <f t="shared" si="1"/>
        <v>136</v>
      </c>
      <c r="E40" s="18" t="s">
        <v>7</v>
      </c>
      <c r="F40" s="18" t="str">
        <f>'Command register base=0x0'!F41</f>
        <v>0x0</v>
      </c>
      <c r="G40" s="2" t="s">
        <v>448</v>
      </c>
      <c r="H40" s="6" t="s">
        <v>255</v>
      </c>
      <c r="I40">
        <v>0</v>
      </c>
    </row>
    <row r="41" spans="1:9" ht="16.3" thickBot="1">
      <c r="A41" s="18" t="str">
        <f>'Command register base=0x0'!A42</f>
        <v>des_opd1_y_ins0</v>
      </c>
      <c r="B41" s="19">
        <f>'Command register base=0x0'!B42</f>
        <v>4</v>
      </c>
      <c r="C41" s="19">
        <f t="shared" si="0"/>
        <v>143</v>
      </c>
      <c r="D41" s="19">
        <f t="shared" si="1"/>
        <v>140</v>
      </c>
      <c r="E41" s="18" t="s">
        <v>7</v>
      </c>
      <c r="F41" s="18" t="str">
        <f>'Command register base=0x0'!F42</f>
        <v>0x0</v>
      </c>
      <c r="G41" s="2" t="s">
        <v>449</v>
      </c>
      <c r="H41" s="6" t="s">
        <v>255</v>
      </c>
      <c r="I41">
        <v>0</v>
      </c>
    </row>
    <row r="42" spans="1:9" ht="16.3" thickBot="1">
      <c r="A42" s="18" t="s">
        <v>370</v>
      </c>
      <c r="B42" s="19">
        <v>16</v>
      </c>
      <c r="C42" s="19">
        <f t="shared" si="0"/>
        <v>159</v>
      </c>
      <c r="D42" s="19">
        <f t="shared" si="1"/>
        <v>144</v>
      </c>
      <c r="E42" s="18" t="s">
        <v>7</v>
      </c>
      <c r="F42" s="18" t="s">
        <v>236</v>
      </c>
      <c r="G42" s="2" t="s">
        <v>137</v>
      </c>
      <c r="H42" s="6" t="s">
        <v>255</v>
      </c>
      <c r="I42">
        <v>0</v>
      </c>
    </row>
    <row r="43" spans="1:9" ht="16.3" thickBot="1">
      <c r="A43" s="129" t="s">
        <v>971</v>
      </c>
      <c r="B43" s="19">
        <f>'Command register base=0x0'!B56</f>
        <v>16</v>
      </c>
      <c r="C43" s="19">
        <f t="shared" si="0"/>
        <v>175</v>
      </c>
      <c r="D43" s="19">
        <f t="shared" si="1"/>
        <v>160</v>
      </c>
      <c r="E43" s="18" t="s">
        <v>7</v>
      </c>
      <c r="F43" s="18" t="str">
        <f>'Command register base=0x0'!F56</f>
        <v>0x1</v>
      </c>
      <c r="G43" s="2" t="s">
        <v>972</v>
      </c>
      <c r="H43" s="6" t="s">
        <v>255</v>
      </c>
      <c r="I43">
        <v>0</v>
      </c>
    </row>
    <row r="44" spans="1:9" ht="16.3" thickBot="1">
      <c r="A44" s="18" t="str">
        <f>'Command register base=0x0'!A57</f>
        <v>des_res0_c</v>
      </c>
      <c r="B44" s="19">
        <f>'Command register base=0x0'!B57</f>
        <v>16</v>
      </c>
      <c r="C44" s="19">
        <f t="shared" si="0"/>
        <v>191</v>
      </c>
      <c r="D44" s="19">
        <f t="shared" si="1"/>
        <v>176</v>
      </c>
      <c r="E44" s="18" t="s">
        <v>7</v>
      </c>
      <c r="F44" s="18" t="str">
        <f>'Command register base=0x0'!F57</f>
        <v>0x1</v>
      </c>
      <c r="G44" s="2" t="s">
        <v>345</v>
      </c>
      <c r="H44" s="6" t="s">
        <v>255</v>
      </c>
      <c r="I44">
        <v>0</v>
      </c>
    </row>
    <row r="45" spans="1:9" ht="16.3" thickBot="1">
      <c r="A45" s="18" t="str">
        <f>'Command register base=0x0'!A58</f>
        <v>des_res0_h</v>
      </c>
      <c r="B45" s="19">
        <f>'Command register base=0x0'!B58</f>
        <v>16</v>
      </c>
      <c r="C45" s="19">
        <f t="shared" si="0"/>
        <v>207</v>
      </c>
      <c r="D45" s="19">
        <f t="shared" si="1"/>
        <v>192</v>
      </c>
      <c r="E45" s="18" t="s">
        <v>7</v>
      </c>
      <c r="F45" s="18" t="str">
        <f>'Command register base=0x0'!F58</f>
        <v>0x1</v>
      </c>
      <c r="G45" s="2" t="s">
        <v>457</v>
      </c>
      <c r="H45" s="6" t="s">
        <v>255</v>
      </c>
      <c r="I45">
        <v>0</v>
      </c>
    </row>
    <row r="46" spans="1:9" ht="16.3" thickBot="1">
      <c r="A46" s="18" t="str">
        <f>'Command register base=0x0'!A59</f>
        <v>des_res0_w</v>
      </c>
      <c r="B46" s="19">
        <f>'Command register base=0x0'!B59</f>
        <v>16</v>
      </c>
      <c r="C46" s="19">
        <f t="shared" si="0"/>
        <v>223</v>
      </c>
      <c r="D46" s="19">
        <f t="shared" si="1"/>
        <v>208</v>
      </c>
      <c r="E46" s="18" t="s">
        <v>7</v>
      </c>
      <c r="F46" s="18" t="str">
        <f>'Command register base=0x0'!F59</f>
        <v>0x1</v>
      </c>
      <c r="G46" s="2" t="s">
        <v>458</v>
      </c>
      <c r="H46" s="6" t="s">
        <v>255</v>
      </c>
      <c r="I46">
        <v>0</v>
      </c>
    </row>
    <row r="47" spans="1:9" ht="16.3" thickBot="1">
      <c r="A47" s="18" t="str">
        <f>'Command register base=0x0'!A61</f>
        <v>des_opd0_c</v>
      </c>
      <c r="B47" s="19">
        <f>'Command register base=0x0'!B61</f>
        <v>16</v>
      </c>
      <c r="C47" s="19">
        <f t="shared" si="0"/>
        <v>239</v>
      </c>
      <c r="D47" s="19">
        <f t="shared" si="1"/>
        <v>224</v>
      </c>
      <c r="E47" s="18" t="s">
        <v>7</v>
      </c>
      <c r="F47" s="18" t="str">
        <f>'Command register base=0x0'!F61</f>
        <v>0x1</v>
      </c>
      <c r="G47" s="2" t="s">
        <v>353</v>
      </c>
      <c r="H47" s="6" t="s">
        <v>255</v>
      </c>
      <c r="I47">
        <v>0</v>
      </c>
    </row>
    <row r="48" spans="1:9" ht="16.3" thickBot="1">
      <c r="A48" s="18" t="str">
        <f>'Command register base=0x0'!A62</f>
        <v>des_opd0_h</v>
      </c>
      <c r="B48" s="19">
        <f>'Command register base=0x0'!B62</f>
        <v>16</v>
      </c>
      <c r="C48" s="19">
        <f t="shared" si="0"/>
        <v>255</v>
      </c>
      <c r="D48" s="19">
        <f t="shared" si="1"/>
        <v>240</v>
      </c>
      <c r="E48" s="18" t="s">
        <v>7</v>
      </c>
      <c r="F48" s="18" t="str">
        <f>'Command register base=0x0'!F62</f>
        <v>0x1</v>
      </c>
      <c r="G48" s="2" t="s">
        <v>460</v>
      </c>
      <c r="H48" s="6" t="s">
        <v>255</v>
      </c>
      <c r="I48">
        <v>0</v>
      </c>
    </row>
    <row r="49" spans="1:9" ht="16.3" thickBot="1">
      <c r="A49" s="18" t="str">
        <f>'Command register base=0x0'!A63</f>
        <v>des_opd0_w</v>
      </c>
      <c r="B49" s="19">
        <f>'Command register base=0x0'!B63</f>
        <v>16</v>
      </c>
      <c r="C49" s="19">
        <f t="shared" si="0"/>
        <v>271</v>
      </c>
      <c r="D49" s="19">
        <f t="shared" si="1"/>
        <v>256</v>
      </c>
      <c r="E49" s="18" t="s">
        <v>7</v>
      </c>
      <c r="F49" s="18" t="str">
        <f>'Command register base=0x0'!F63</f>
        <v>0x1</v>
      </c>
      <c r="G49" s="2" t="s">
        <v>461</v>
      </c>
      <c r="H49" s="6" t="s">
        <v>255</v>
      </c>
      <c r="I49">
        <v>0</v>
      </c>
    </row>
    <row r="50" spans="1:9" ht="16.3" thickBot="1">
      <c r="A50" s="18" t="str">
        <f>'Command register base=0x0'!A66</f>
        <v>des_opd1_h</v>
      </c>
      <c r="B50" s="19">
        <f>'Command register base=0x0'!B66</f>
        <v>16</v>
      </c>
      <c r="C50" s="19">
        <f t="shared" si="0"/>
        <v>287</v>
      </c>
      <c r="D50" s="19">
        <f t="shared" si="1"/>
        <v>272</v>
      </c>
      <c r="E50" s="18" t="s">
        <v>7</v>
      </c>
      <c r="F50" s="18" t="str">
        <f>'Command register base=0x0'!F66</f>
        <v>0x1</v>
      </c>
      <c r="G50" s="2" t="s">
        <v>464</v>
      </c>
      <c r="H50" s="6" t="s">
        <v>255</v>
      </c>
      <c r="I50">
        <v>0</v>
      </c>
    </row>
    <row r="51" spans="1:9" ht="16.3" thickBot="1">
      <c r="A51" s="18" t="str">
        <f>'Command register base=0x0'!A67</f>
        <v>des_opd1_w</v>
      </c>
      <c r="B51" s="19">
        <f>'Command register base=0x0'!B67</f>
        <v>16</v>
      </c>
      <c r="C51" s="19">
        <f t="shared" si="0"/>
        <v>303</v>
      </c>
      <c r="D51" s="19">
        <f t="shared" si="1"/>
        <v>288</v>
      </c>
      <c r="E51" s="18" t="s">
        <v>7</v>
      </c>
      <c r="F51" s="18" t="str">
        <f>'Command register base=0x0'!F67</f>
        <v>0x1</v>
      </c>
      <c r="G51" s="2" t="s">
        <v>465</v>
      </c>
      <c r="H51" s="6" t="s">
        <v>255</v>
      </c>
      <c r="I51">
        <v>0</v>
      </c>
    </row>
    <row r="52" spans="1:9" ht="16.3" thickBot="1">
      <c r="A52" s="18" t="s">
        <v>372</v>
      </c>
      <c r="B52" s="19">
        <v>16</v>
      </c>
      <c r="C52" s="19">
        <f t="shared" si="0"/>
        <v>319</v>
      </c>
      <c r="D52" s="19">
        <f t="shared" si="1"/>
        <v>304</v>
      </c>
      <c r="E52" s="18" t="s">
        <v>7</v>
      </c>
      <c r="F52" s="18" t="s">
        <v>236</v>
      </c>
      <c r="G52" s="2" t="s">
        <v>135</v>
      </c>
      <c r="H52" s="6" t="s">
        <v>255</v>
      </c>
      <c r="I52">
        <v>0</v>
      </c>
    </row>
    <row r="53" spans="1:9" ht="16.3" thickBot="1">
      <c r="A53" s="18" t="str">
        <f>'Command register base=0x0'!A77</f>
        <v>des_opd0_addr</v>
      </c>
      <c r="B53" s="19">
        <f>'Command register base=0x0'!B77</f>
        <v>32</v>
      </c>
      <c r="C53" s="19">
        <f t="shared" si="0"/>
        <v>351</v>
      </c>
      <c r="D53" s="19">
        <f t="shared" si="1"/>
        <v>320</v>
      </c>
      <c r="E53" s="18" t="s">
        <v>7</v>
      </c>
      <c r="F53" s="18" t="str">
        <f>'Command register base=0x0'!F77</f>
        <v>0x0</v>
      </c>
      <c r="G53" s="2" t="s">
        <v>471</v>
      </c>
      <c r="H53" s="6" t="s">
        <v>255</v>
      </c>
      <c r="I53">
        <v>0</v>
      </c>
    </row>
    <row r="54" spans="1:9" ht="30.6" thickBot="1">
      <c r="A54" s="18" t="str">
        <f>'Command register base=0x0'!A78</f>
        <v>des_opd1_addr</v>
      </c>
      <c r="B54" s="19">
        <f>'Command register base=0x0'!B78</f>
        <v>32</v>
      </c>
      <c r="C54" s="19">
        <f t="shared" si="0"/>
        <v>383</v>
      </c>
      <c r="D54" s="19">
        <f t="shared" si="1"/>
        <v>352</v>
      </c>
      <c r="E54" s="18" t="s">
        <v>7</v>
      </c>
      <c r="F54" s="18" t="str">
        <f>'Command register base=0x0'!F78</f>
        <v>0x0</v>
      </c>
      <c r="G54" s="2" t="s">
        <v>472</v>
      </c>
      <c r="H54" s="6" t="s">
        <v>255</v>
      </c>
      <c r="I54">
        <v>0</v>
      </c>
    </row>
    <row r="55" spans="1:9" ht="30.6" thickBot="1">
      <c r="A55" s="18" t="str">
        <f>'Command register base=0x0'!A79</f>
        <v>des_opd2_addr</v>
      </c>
      <c r="B55" s="19">
        <f>'Command register base=0x0'!B79</f>
        <v>32</v>
      </c>
      <c r="C55" s="19">
        <f t="shared" si="0"/>
        <v>415</v>
      </c>
      <c r="D55" s="19">
        <f t="shared" si="1"/>
        <v>384</v>
      </c>
      <c r="E55" s="18" t="s">
        <v>7</v>
      </c>
      <c r="F55" s="18" t="str">
        <f>'Command register base=0x0'!F79</f>
        <v>0x0</v>
      </c>
      <c r="G55" s="2" t="s">
        <v>388</v>
      </c>
      <c r="H55" s="6" t="s">
        <v>255</v>
      </c>
      <c r="I55">
        <v>0</v>
      </c>
    </row>
    <row r="56" spans="1:9" ht="16.3" thickBot="1">
      <c r="A56" s="18" t="str">
        <f>'Command register base=0x0'!A88</f>
        <v>des_res1_addr</v>
      </c>
      <c r="B56" s="19">
        <f>'Command register base=0x0'!B88</f>
        <v>32</v>
      </c>
      <c r="C56" s="19">
        <f t="shared" si="0"/>
        <v>447</v>
      </c>
      <c r="D56" s="19">
        <f t="shared" si="1"/>
        <v>416</v>
      </c>
      <c r="E56" s="18" t="s">
        <v>7</v>
      </c>
      <c r="F56" s="18" t="str">
        <f>'Command register base=0x0'!F88</f>
        <v>0x0</v>
      </c>
      <c r="G56" s="60" t="s">
        <v>473</v>
      </c>
      <c r="H56" s="6" t="s">
        <v>255</v>
      </c>
      <c r="I56">
        <v>0</v>
      </c>
    </row>
    <row r="57" spans="1:9" ht="16.3" thickBot="1">
      <c r="A57" s="18" t="str">
        <f>'Command register base=0x0'!A89</f>
        <v>des_opd3_addr</v>
      </c>
      <c r="B57" s="19">
        <f>'Command register base=0x0'!B89</f>
        <v>32</v>
      </c>
      <c r="C57" s="19">
        <f t="shared" si="0"/>
        <v>479</v>
      </c>
      <c r="D57" s="19">
        <f t="shared" si="1"/>
        <v>448</v>
      </c>
      <c r="E57" s="18" t="s">
        <v>7</v>
      </c>
      <c r="F57" s="18" t="str">
        <f>'Command register base=0x0'!F89</f>
        <v>0x0</v>
      </c>
      <c r="G57" s="61" t="s">
        <v>474</v>
      </c>
      <c r="H57" s="6" t="s">
        <v>255</v>
      </c>
      <c r="I57">
        <v>0</v>
      </c>
    </row>
    <row r="58" spans="1:9" ht="16.3" thickBot="1">
      <c r="A58" s="18" t="s">
        <v>393</v>
      </c>
      <c r="B58" s="19">
        <v>16</v>
      </c>
      <c r="C58" s="19">
        <f t="shared" si="0"/>
        <v>495</v>
      </c>
      <c r="D58" s="19">
        <f t="shared" si="1"/>
        <v>480</v>
      </c>
      <c r="E58" s="18" t="s">
        <v>7</v>
      </c>
      <c r="F58" s="18" t="s">
        <v>236</v>
      </c>
      <c r="G58" s="2" t="s">
        <v>133</v>
      </c>
      <c r="H58" s="6" t="s">
        <v>255</v>
      </c>
      <c r="I58">
        <v>0</v>
      </c>
    </row>
    <row r="59" spans="1:9" ht="16.3" thickBot="1">
      <c r="A59" s="18" t="s">
        <v>395</v>
      </c>
      <c r="B59" s="19">
        <v>16</v>
      </c>
      <c r="C59" s="19">
        <f t="shared" si="0"/>
        <v>511</v>
      </c>
      <c r="D59" s="19">
        <f t="shared" si="1"/>
        <v>496</v>
      </c>
      <c r="E59" s="18" t="s">
        <v>7</v>
      </c>
      <c r="F59" s="18" t="s">
        <v>236</v>
      </c>
      <c r="G59" s="2" t="s">
        <v>131</v>
      </c>
      <c r="H59" s="6" t="s">
        <v>255</v>
      </c>
      <c r="I59">
        <v>0</v>
      </c>
    </row>
  </sheetData>
  <phoneticPr fontId="16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topLeftCell="A25" workbookViewId="0">
      <selection activeCell="G6" sqref="G6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0.5" customWidth="1"/>
    <col min="8" max="8" width="22.375" customWidth="1"/>
  </cols>
  <sheetData>
    <row r="1" spans="1:9" ht="67.9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607</v>
      </c>
      <c r="I1" s="13" t="s">
        <v>481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53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475</v>
      </c>
      <c r="H2" s="7" t="s">
        <v>255</v>
      </c>
      <c r="I2">
        <v>0</v>
      </c>
    </row>
    <row r="3" spans="1:9" ht="44.85">
      <c r="A3" s="18" t="s">
        <v>301</v>
      </c>
      <c r="B3" s="19">
        <v>1</v>
      </c>
      <c r="C3" s="19">
        <f t="shared" si="0"/>
        <v>1</v>
      </c>
      <c r="D3" s="19">
        <f>C2+1</f>
        <v>1</v>
      </c>
      <c r="E3" s="18" t="s">
        <v>7</v>
      </c>
      <c r="F3" s="18" t="s">
        <v>236</v>
      </c>
      <c r="G3" s="12" t="s">
        <v>302</v>
      </c>
      <c r="H3" s="6" t="s">
        <v>255</v>
      </c>
      <c r="I3">
        <v>0</v>
      </c>
    </row>
    <row r="4" spans="1:9" ht="15.65">
      <c r="A4" s="18" t="s">
        <v>256</v>
      </c>
      <c r="B4" s="19">
        <v>1</v>
      </c>
      <c r="C4" s="19">
        <f t="shared" ref="C4:C7" si="1">D4+B4-1</f>
        <v>2</v>
      </c>
      <c r="D4" s="19">
        <f t="shared" ref="D4:D8" si="2">C3+1</f>
        <v>2</v>
      </c>
      <c r="E4" s="18" t="s">
        <v>7</v>
      </c>
      <c r="F4" s="18" t="s">
        <v>236</v>
      </c>
      <c r="G4" s="12" t="s">
        <v>257</v>
      </c>
      <c r="H4" s="20" t="s">
        <v>258</v>
      </c>
      <c r="I4">
        <v>2</v>
      </c>
    </row>
    <row r="5" spans="1:9" ht="44.85">
      <c r="A5" s="18" t="s">
        <v>305</v>
      </c>
      <c r="B5" s="19">
        <v>1</v>
      </c>
      <c r="C5" s="19">
        <f t="shared" si="1"/>
        <v>3</v>
      </c>
      <c r="D5" s="19">
        <f t="shared" si="2"/>
        <v>3</v>
      </c>
      <c r="E5" s="18" t="s">
        <v>7</v>
      </c>
      <c r="F5" s="18" t="s">
        <v>236</v>
      </c>
      <c r="G5" s="12" t="s">
        <v>306</v>
      </c>
      <c r="H5" s="6" t="s">
        <v>255</v>
      </c>
      <c r="I5">
        <v>0</v>
      </c>
    </row>
    <row r="6" spans="1:9" ht="44.85">
      <c r="A6" s="18" t="s">
        <v>265</v>
      </c>
      <c r="B6" s="19">
        <v>1</v>
      </c>
      <c r="C6" s="19">
        <f t="shared" si="1"/>
        <v>4</v>
      </c>
      <c r="D6" s="19">
        <f t="shared" si="2"/>
        <v>4</v>
      </c>
      <c r="E6" s="18" t="s">
        <v>7</v>
      </c>
      <c r="F6" s="18" t="s">
        <v>236</v>
      </c>
      <c r="G6" s="12" t="s">
        <v>435</v>
      </c>
      <c r="H6" s="6" t="s">
        <v>255</v>
      </c>
      <c r="I6">
        <v>0</v>
      </c>
    </row>
    <row r="7" spans="1:9" ht="44.85">
      <c r="A7" s="18" t="s">
        <v>245</v>
      </c>
      <c r="B7" s="19">
        <v>1</v>
      </c>
      <c r="C7" s="19">
        <f t="shared" si="1"/>
        <v>5</v>
      </c>
      <c r="D7" s="19">
        <f t="shared" si="2"/>
        <v>5</v>
      </c>
      <c r="E7" s="18" t="s">
        <v>7</v>
      </c>
      <c r="F7" s="18" t="s">
        <v>236</v>
      </c>
      <c r="G7" s="12" t="s">
        <v>432</v>
      </c>
      <c r="H7" s="6" t="s">
        <v>255</v>
      </c>
      <c r="I7">
        <v>0</v>
      </c>
    </row>
    <row r="8" spans="1:9" ht="29.9">
      <c r="A8" s="18" t="str">
        <f>'Command register base=0x0'!A3</f>
        <v>des_op_code</v>
      </c>
      <c r="B8" s="19">
        <v>11</v>
      </c>
      <c r="C8" s="19">
        <f t="shared" si="0"/>
        <v>16</v>
      </c>
      <c r="D8" s="19">
        <f t="shared" si="2"/>
        <v>6</v>
      </c>
      <c r="E8" s="18" t="str">
        <f>'Command register base=0x0'!E3</f>
        <v>RW</v>
      </c>
      <c r="F8" s="18" t="str">
        <f>'Command register base=0x0'!F3</f>
        <v>0x0</v>
      </c>
      <c r="G8" s="4" t="s">
        <v>515</v>
      </c>
      <c r="H8" s="7" t="s">
        <v>255</v>
      </c>
      <c r="I8">
        <v>0</v>
      </c>
    </row>
    <row r="9" spans="1:9" ht="29.9">
      <c r="A9" s="18" t="str">
        <f>'Command register base=0x0'!A4</f>
        <v>des_cmd_id_dep</v>
      </c>
      <c r="B9" s="19">
        <f>'Command register base=0x0'!B4</f>
        <v>23</v>
      </c>
      <c r="C9" s="19">
        <f t="shared" si="0"/>
        <v>39</v>
      </c>
      <c r="D9" s="19">
        <f t="shared" ref="D9:D53" si="3">C8+1</f>
        <v>17</v>
      </c>
      <c r="E9" s="18" t="str">
        <f>'Command register base=0x0'!E4</f>
        <v>RW</v>
      </c>
      <c r="F9" s="18" t="str">
        <f>'Command register base=0x0'!F4</f>
        <v>0x0</v>
      </c>
      <c r="G9" s="4" t="s">
        <v>241</v>
      </c>
      <c r="H9" s="7" t="s">
        <v>255</v>
      </c>
      <c r="I9">
        <v>0</v>
      </c>
    </row>
    <row r="10" spans="1:9" ht="15.65">
      <c r="A10" s="18" t="str">
        <f>'Command register base=0x0'!A5</f>
        <v>des_dbg_mode</v>
      </c>
      <c r="B10" s="19">
        <f>'Command register base=0x0'!B5</f>
        <v>1</v>
      </c>
      <c r="C10" s="19">
        <f t="shared" ref="C10:C11" si="4">D10+B10-1</f>
        <v>40</v>
      </c>
      <c r="D10" s="19">
        <f t="shared" ref="D10:D11" si="5">C9+1</f>
        <v>40</v>
      </c>
      <c r="E10" s="18" t="str">
        <f>'Command register base=0x0'!E5</f>
        <v>RW</v>
      </c>
      <c r="F10" s="18" t="str">
        <f>'Command register base=0x0'!F5</f>
        <v>0x0</v>
      </c>
      <c r="G10" s="4" t="s">
        <v>1050</v>
      </c>
      <c r="H10" s="7" t="s">
        <v>255</v>
      </c>
      <c r="I10">
        <v>0</v>
      </c>
    </row>
    <row r="11" spans="1:9" ht="29.9">
      <c r="A11" s="18" t="s">
        <v>242</v>
      </c>
      <c r="B11" s="19">
        <v>4</v>
      </c>
      <c r="C11" s="19">
        <f t="shared" si="4"/>
        <v>44</v>
      </c>
      <c r="D11" s="19">
        <f t="shared" si="5"/>
        <v>41</v>
      </c>
      <c r="E11" s="18" t="str">
        <f>'Command register base=0x0'!E10</f>
        <v>RW</v>
      </c>
      <c r="F11" s="18" t="str">
        <f>'Command register base=0x0'!F10</f>
        <v>0x0</v>
      </c>
      <c r="G11" s="4" t="s">
        <v>608</v>
      </c>
      <c r="H11" s="7" t="s">
        <v>255</v>
      </c>
      <c r="I11">
        <v>0</v>
      </c>
    </row>
    <row r="12" spans="1:9" ht="134.5">
      <c r="A12" s="18" t="str">
        <f>'Command register base=0x0'!A7</f>
        <v>des_tsk_eu_typ</v>
      </c>
      <c r="B12" s="19">
        <f>'Command register base=0x0'!B7</f>
        <v>5</v>
      </c>
      <c r="C12" s="19">
        <f t="shared" si="0"/>
        <v>49</v>
      </c>
      <c r="D12" s="19">
        <f t="shared" si="3"/>
        <v>45</v>
      </c>
      <c r="E12" s="18" t="str">
        <f>'Command register base=0x0'!E7</f>
        <v>RW</v>
      </c>
      <c r="F12" s="18" t="str">
        <f>'Command register base=0x0'!F7</f>
        <v>0x0</v>
      </c>
      <c r="G12" s="4" t="s">
        <v>1051</v>
      </c>
      <c r="H12" s="7" t="s">
        <v>255</v>
      </c>
      <c r="I12">
        <v>0</v>
      </c>
    </row>
    <row r="13" spans="1:9" ht="15.65">
      <c r="A13" s="18" t="s">
        <v>271</v>
      </c>
      <c r="B13" s="19">
        <v>1</v>
      </c>
      <c r="C13" s="19">
        <f t="shared" ref="C13:C22" si="6">D13+B13-1</f>
        <v>50</v>
      </c>
      <c r="D13" s="19">
        <f t="shared" si="3"/>
        <v>50</v>
      </c>
      <c r="E13" s="18" t="str">
        <f>'Command register base=0x0'!E9</f>
        <v>RW</v>
      </c>
      <c r="F13" s="18" t="str">
        <f>'Command register base=0x0'!F9</f>
        <v>0x2</v>
      </c>
      <c r="G13" s="4" t="s">
        <v>437</v>
      </c>
      <c r="H13" s="7" t="s">
        <v>255</v>
      </c>
      <c r="I13">
        <v>0</v>
      </c>
    </row>
    <row r="14" spans="1:9" ht="44.85">
      <c r="A14" s="18" t="str">
        <f>'Command register base=0x0'!A20</f>
        <v>des_opt_opd0_sign</v>
      </c>
      <c r="B14" s="19">
        <f>'Command register base=0x0'!B20</f>
        <v>1</v>
      </c>
      <c r="C14" s="19">
        <f t="shared" si="6"/>
        <v>51</v>
      </c>
      <c r="D14" s="19">
        <f t="shared" si="3"/>
        <v>51</v>
      </c>
      <c r="E14" s="18" t="str">
        <f>'Command register base=0x0'!E20</f>
        <v>RW</v>
      </c>
      <c r="F14" s="18" t="str">
        <f>'Command register base=0x0'!F20</f>
        <v>0x0</v>
      </c>
      <c r="G14" s="4" t="s">
        <v>438</v>
      </c>
      <c r="H14" s="7" t="s">
        <v>255</v>
      </c>
      <c r="I14">
        <v>0</v>
      </c>
    </row>
    <row r="15" spans="1:9" ht="44.85">
      <c r="A15" s="18" t="str">
        <f>'Command register base=0x0'!A21</f>
        <v>des_opt_opd1_sign</v>
      </c>
      <c r="B15" s="19">
        <f>'Command register base=0x0'!B21</f>
        <v>1</v>
      </c>
      <c r="C15" s="19">
        <f t="shared" si="6"/>
        <v>52</v>
      </c>
      <c r="D15" s="19">
        <f t="shared" si="3"/>
        <v>52</v>
      </c>
      <c r="E15" s="18" t="str">
        <f>'Command register base=0x0'!E21</f>
        <v>RW</v>
      </c>
      <c r="F15" s="18" t="str">
        <f>'Command register base=0x0'!F21</f>
        <v>0x1</v>
      </c>
      <c r="G15" s="4" t="s">
        <v>622</v>
      </c>
      <c r="H15" s="7" t="s">
        <v>255</v>
      </c>
      <c r="I15">
        <v>0</v>
      </c>
    </row>
    <row r="16" spans="1:9" ht="74.75">
      <c r="A16" s="131" t="str">
        <f>'Command register base=0x0'!A10</f>
        <v>des_pad_mode</v>
      </c>
      <c r="B16" s="132">
        <f>'Command register base=0x0'!B10</f>
        <v>2</v>
      </c>
      <c r="C16" s="132">
        <f t="shared" si="6"/>
        <v>54</v>
      </c>
      <c r="D16" s="132">
        <f t="shared" si="3"/>
        <v>53</v>
      </c>
      <c r="E16" s="131" t="str">
        <f>'Command register base=0x0'!E10</f>
        <v>RW</v>
      </c>
      <c r="F16" s="131" t="str">
        <f>'Command register base=0x0'!F10</f>
        <v>0x0</v>
      </c>
      <c r="G16" s="143" t="s">
        <v>433</v>
      </c>
      <c r="H16" s="7" t="s">
        <v>255</v>
      </c>
      <c r="I16">
        <v>0</v>
      </c>
    </row>
    <row r="17" spans="1:9" ht="44.85">
      <c r="A17" s="131" t="s">
        <v>252</v>
      </c>
      <c r="B17" s="132">
        <v>1</v>
      </c>
      <c r="C17" s="132">
        <f t="shared" si="6"/>
        <v>55</v>
      </c>
      <c r="D17" s="132">
        <f t="shared" si="3"/>
        <v>55</v>
      </c>
      <c r="E17" s="131" t="s">
        <v>476</v>
      </c>
      <c r="F17" s="131" t="s">
        <v>477</v>
      </c>
      <c r="G17" s="143" t="s">
        <v>478</v>
      </c>
      <c r="H17" s="7" t="s">
        <v>255</v>
      </c>
      <c r="I17">
        <v>0</v>
      </c>
    </row>
    <row r="18" spans="1:9" ht="134.5">
      <c r="A18" s="131" t="s">
        <v>863</v>
      </c>
      <c r="B18" s="132">
        <f>'Command register base=0x0'!B12</f>
        <v>3</v>
      </c>
      <c r="C18" s="132">
        <f t="shared" si="6"/>
        <v>58</v>
      </c>
      <c r="D18" s="132">
        <f t="shared" si="3"/>
        <v>56</v>
      </c>
      <c r="E18" s="131" t="str">
        <f>'Command register base=0x0'!E12</f>
        <v>RW</v>
      </c>
      <c r="F18" s="131" t="str">
        <f>'Command register base=0x0'!F12</f>
        <v>0x0</v>
      </c>
      <c r="G18" s="143" t="s">
        <v>612</v>
      </c>
      <c r="H18" s="7" t="s">
        <v>255</v>
      </c>
      <c r="I18">
        <v>0</v>
      </c>
    </row>
    <row r="19" spans="1:9" ht="15.65">
      <c r="A19" s="131" t="s">
        <v>259</v>
      </c>
      <c r="B19" s="132">
        <f>'Command register base=0x0'!B13</f>
        <v>4</v>
      </c>
      <c r="C19" s="132">
        <f t="shared" si="6"/>
        <v>62</v>
      </c>
      <c r="D19" s="132">
        <f t="shared" si="3"/>
        <v>59</v>
      </c>
      <c r="E19" s="131" t="str">
        <f>'Command register base=0x0'!E13</f>
        <v>RW</v>
      </c>
      <c r="F19" s="131" t="str">
        <f>'Command register base=0x0'!F13</f>
        <v>0x0</v>
      </c>
      <c r="G19" s="143" t="s">
        <v>260</v>
      </c>
      <c r="H19" s="7" t="s">
        <v>255</v>
      </c>
      <c r="I19">
        <v>0</v>
      </c>
    </row>
    <row r="20" spans="1:9" ht="44.85">
      <c r="A20" s="131" t="str">
        <f>'Command register base=0x0'!A28</f>
        <v>des_opt_opd1_const</v>
      </c>
      <c r="B20" s="132">
        <f>'Command register base=0x0'!B28</f>
        <v>1</v>
      </c>
      <c r="C20" s="132">
        <f t="shared" si="6"/>
        <v>63</v>
      </c>
      <c r="D20" s="132">
        <f t="shared" si="3"/>
        <v>63</v>
      </c>
      <c r="E20" s="131" t="str">
        <f>'Command register base=0x0'!E28</f>
        <v>RW</v>
      </c>
      <c r="F20" s="131" t="str">
        <f>'Command register base=0x0'!F28</f>
        <v>0x0</v>
      </c>
      <c r="G20" s="143" t="s">
        <v>613</v>
      </c>
      <c r="H20" s="7" t="s">
        <v>255</v>
      </c>
      <c r="I20">
        <v>0</v>
      </c>
    </row>
    <row r="21" spans="1:9" ht="44.85">
      <c r="A21" s="18" t="str">
        <f>'Command register base=0x0'!A29</f>
        <v>des_opt_opd2_const</v>
      </c>
      <c r="B21" s="19">
        <f>'Command register base=0x0'!B29</f>
        <v>1</v>
      </c>
      <c r="C21" s="19">
        <f t="shared" si="6"/>
        <v>64</v>
      </c>
      <c r="D21" s="19">
        <f t="shared" si="3"/>
        <v>64</v>
      </c>
      <c r="E21" s="18" t="str">
        <f>'Command register base=0x0'!E29</f>
        <v>RW</v>
      </c>
      <c r="F21" s="18" t="str">
        <f>'Command register base=0x0'!F29</f>
        <v>0x0</v>
      </c>
      <c r="G21" s="4" t="s">
        <v>623</v>
      </c>
      <c r="H21" s="7" t="s">
        <v>255</v>
      </c>
      <c r="I21">
        <v>0</v>
      </c>
    </row>
    <row r="22" spans="1:9" ht="89.7">
      <c r="A22" s="18" t="str">
        <f>'Command register base=0x0'!A37</f>
        <v>des_opt_opd3_const</v>
      </c>
      <c r="B22" s="19">
        <f>'Command register base=0x0'!B37</f>
        <v>1</v>
      </c>
      <c r="C22" s="19">
        <f t="shared" si="6"/>
        <v>65</v>
      </c>
      <c r="D22" s="19">
        <f t="shared" si="3"/>
        <v>65</v>
      </c>
      <c r="E22" s="18" t="str">
        <f>'Command register base=0x0'!E37</f>
        <v>RW</v>
      </c>
      <c r="F22" s="18" t="str">
        <f>'Command register base=0x0'!F37</f>
        <v>0x0</v>
      </c>
      <c r="G22" s="4" t="s">
        <v>615</v>
      </c>
      <c r="H22" s="7" t="s">
        <v>255</v>
      </c>
      <c r="I22">
        <v>0</v>
      </c>
    </row>
    <row r="23" spans="1:9" ht="119.55">
      <c r="A23" s="18" t="str">
        <f>'Command register base=0x0'!A23</f>
        <v>des_opt_res0_prec</v>
      </c>
      <c r="B23" s="19">
        <f>'Command register base=0x0'!B23</f>
        <v>3</v>
      </c>
      <c r="C23" s="19">
        <f t="shared" si="0"/>
        <v>68</v>
      </c>
      <c r="D23" s="19">
        <f t="shared" si="3"/>
        <v>66</v>
      </c>
      <c r="E23" s="18" t="str">
        <f>'Command register base=0x0'!E23</f>
        <v>RW</v>
      </c>
      <c r="F23" s="18" t="str">
        <f>'Command register base=0x0'!F23</f>
        <v>0x2</v>
      </c>
      <c r="G23" s="4" t="s">
        <v>610</v>
      </c>
      <c r="H23" s="7" t="s">
        <v>255</v>
      </c>
      <c r="I23">
        <v>0</v>
      </c>
    </row>
    <row r="24" spans="1:9" ht="89.7">
      <c r="A24" s="18" t="str">
        <f>'Command register base=0x0'!A24</f>
        <v>des_opt_opd0_prec</v>
      </c>
      <c r="B24" s="19">
        <f>'Command register base=0x0'!B24</f>
        <v>3</v>
      </c>
      <c r="C24" s="19">
        <f t="shared" si="0"/>
        <v>71</v>
      </c>
      <c r="D24" s="19">
        <f t="shared" si="3"/>
        <v>69</v>
      </c>
      <c r="E24" s="18" t="str">
        <f>'Command register base=0x0'!E24</f>
        <v>RW</v>
      </c>
      <c r="F24" s="18" t="str">
        <f>'Command register base=0x0'!F24</f>
        <v>0x2</v>
      </c>
      <c r="G24" s="4" t="s">
        <v>611</v>
      </c>
      <c r="H24" s="7" t="s">
        <v>255</v>
      </c>
      <c r="I24">
        <v>0</v>
      </c>
    </row>
    <row r="25" spans="1:9" ht="15.65">
      <c r="A25" s="18" t="str">
        <f>'Command register base=0x0'!A39</f>
        <v>des_opd0_x_ins0</v>
      </c>
      <c r="B25" s="19">
        <f>'Command register base=0x0'!B39</f>
        <v>4</v>
      </c>
      <c r="C25" s="19">
        <f t="shared" si="0"/>
        <v>75</v>
      </c>
      <c r="D25" s="19">
        <f t="shared" si="3"/>
        <v>72</v>
      </c>
      <c r="E25" s="18" t="str">
        <f>'Command register base=0x0'!E39</f>
        <v>RW</v>
      </c>
      <c r="F25" s="18" t="str">
        <f>'Command register base=0x0'!F39</f>
        <v>0x0</v>
      </c>
      <c r="G25" s="4" t="s">
        <v>616</v>
      </c>
      <c r="H25" s="7" t="s">
        <v>255</v>
      </c>
      <c r="I25">
        <v>0</v>
      </c>
    </row>
    <row r="26" spans="1:9" ht="15.65">
      <c r="A26" s="18" t="str">
        <f>'Command register base=0x0'!A40</f>
        <v>des_opd0_y_ins0</v>
      </c>
      <c r="B26" s="19">
        <f>'Command register base=0x0'!B40</f>
        <v>4</v>
      </c>
      <c r="C26" s="19">
        <f t="shared" si="0"/>
        <v>79</v>
      </c>
      <c r="D26" s="19">
        <f t="shared" si="3"/>
        <v>76</v>
      </c>
      <c r="E26" s="18" t="str">
        <f>'Command register base=0x0'!E40</f>
        <v>RW</v>
      </c>
      <c r="F26" s="18" t="str">
        <f>'Command register base=0x0'!F40</f>
        <v>0x0</v>
      </c>
      <c r="G26" s="4" t="s">
        <v>617</v>
      </c>
      <c r="H26" s="7" t="s">
        <v>255</v>
      </c>
      <c r="I26">
        <v>0</v>
      </c>
    </row>
    <row r="27" spans="1:9" ht="15.65">
      <c r="A27" s="18" t="str">
        <f>'Command register base=0x0'!A41</f>
        <v>des_opd1_x_ins0</v>
      </c>
      <c r="B27" s="19">
        <f>'Command register base=0x0'!B41</f>
        <v>4</v>
      </c>
      <c r="C27" s="19">
        <f t="shared" si="0"/>
        <v>83</v>
      </c>
      <c r="D27" s="19">
        <f t="shared" si="3"/>
        <v>80</v>
      </c>
      <c r="E27" s="18" t="str">
        <f>'Command register base=0x0'!E41</f>
        <v>RW</v>
      </c>
      <c r="F27" s="18" t="str">
        <f>'Command register base=0x0'!F41</f>
        <v>0x0</v>
      </c>
      <c r="G27" s="4" t="s">
        <v>312</v>
      </c>
      <c r="H27" s="7" t="s">
        <v>255</v>
      </c>
      <c r="I27">
        <v>0</v>
      </c>
    </row>
    <row r="28" spans="1:9" ht="15.65">
      <c r="A28" s="18" t="str">
        <f>'Command register base=0x0'!A42</f>
        <v>des_opd1_y_ins0</v>
      </c>
      <c r="B28" s="19">
        <f>'Command register base=0x0'!B42</f>
        <v>4</v>
      </c>
      <c r="C28" s="19">
        <f t="shared" si="0"/>
        <v>87</v>
      </c>
      <c r="D28" s="19">
        <f t="shared" si="3"/>
        <v>84</v>
      </c>
      <c r="E28" s="18" t="str">
        <f>'Command register base=0x0'!E42</f>
        <v>RW</v>
      </c>
      <c r="F28" s="18" t="str">
        <f>'Command register base=0x0'!F42</f>
        <v>0x0</v>
      </c>
      <c r="G28" s="4" t="s">
        <v>314</v>
      </c>
      <c r="H28" s="7" t="s">
        <v>255</v>
      </c>
      <c r="I28">
        <v>0</v>
      </c>
    </row>
    <row r="29" spans="1:9" ht="15.65">
      <c r="A29" s="18" t="str">
        <f>'Command register base=0x0'!A43</f>
        <v>des_opd0_up_pad</v>
      </c>
      <c r="B29" s="19">
        <f>'Command register base=0x0'!B43</f>
        <v>4</v>
      </c>
      <c r="C29" s="19">
        <f t="shared" si="0"/>
        <v>91</v>
      </c>
      <c r="D29" s="19">
        <f t="shared" si="3"/>
        <v>88</v>
      </c>
      <c r="E29" s="18" t="str">
        <f>'Command register base=0x0'!E43</f>
        <v>RW</v>
      </c>
      <c r="F29" s="18" t="str">
        <f>'Command register base=0x0'!F43</f>
        <v>0x0</v>
      </c>
      <c r="G29" s="4" t="s">
        <v>450</v>
      </c>
      <c r="H29" s="7" t="s">
        <v>255</v>
      </c>
      <c r="I29">
        <v>0</v>
      </c>
    </row>
    <row r="30" spans="1:9" ht="15.65">
      <c r="A30" s="18" t="str">
        <f>'Command register base=0x0'!A44</f>
        <v>des_opd0_dn_pad</v>
      </c>
      <c r="B30" s="19">
        <f>'Command register base=0x0'!B44</f>
        <v>4</v>
      </c>
      <c r="C30" s="19">
        <f t="shared" si="0"/>
        <v>95</v>
      </c>
      <c r="D30" s="19">
        <f t="shared" si="3"/>
        <v>92</v>
      </c>
      <c r="E30" s="18" t="str">
        <f>'Command register base=0x0'!E44</f>
        <v>RW</v>
      </c>
      <c r="F30" s="18" t="str">
        <f>'Command register base=0x0'!F44</f>
        <v>0x0</v>
      </c>
      <c r="G30" s="4" t="s">
        <v>451</v>
      </c>
      <c r="H30" s="7" t="s">
        <v>255</v>
      </c>
      <c r="I30">
        <v>0</v>
      </c>
    </row>
    <row r="31" spans="1:9" ht="15.65">
      <c r="A31" s="18" t="str">
        <f>'Command register base=0x0'!A45</f>
        <v>des_opd0_lf_pad</v>
      </c>
      <c r="B31" s="19">
        <f>'Command register base=0x0'!B45</f>
        <v>4</v>
      </c>
      <c r="C31" s="19">
        <f t="shared" si="0"/>
        <v>99</v>
      </c>
      <c r="D31" s="19">
        <f t="shared" si="3"/>
        <v>96</v>
      </c>
      <c r="E31" s="18" t="str">
        <f>'Command register base=0x0'!E45</f>
        <v>RW</v>
      </c>
      <c r="F31" s="18" t="str">
        <f>'Command register base=0x0'!F45</f>
        <v>0x0</v>
      </c>
      <c r="G31" s="4" t="s">
        <v>452</v>
      </c>
      <c r="H31" s="7" t="s">
        <v>255</v>
      </c>
      <c r="I31">
        <v>0</v>
      </c>
    </row>
    <row r="32" spans="1:9" ht="15.65">
      <c r="A32" s="18" t="str">
        <f>'Command register base=0x0'!A46</f>
        <v>des_opd0_rt_pad</v>
      </c>
      <c r="B32" s="19">
        <f>'Command register base=0x0'!B46</f>
        <v>4</v>
      </c>
      <c r="C32" s="19">
        <f t="shared" si="0"/>
        <v>103</v>
      </c>
      <c r="D32" s="19">
        <f t="shared" si="3"/>
        <v>100</v>
      </c>
      <c r="E32" s="18" t="str">
        <f>'Command register base=0x0'!E46</f>
        <v>RW</v>
      </c>
      <c r="F32" s="18" t="str">
        <f>'Command register base=0x0'!F46</f>
        <v>0x0</v>
      </c>
      <c r="G32" s="4" t="s">
        <v>453</v>
      </c>
      <c r="H32" s="7" t="s">
        <v>255</v>
      </c>
      <c r="I32">
        <v>0</v>
      </c>
    </row>
    <row r="33" spans="1:9" ht="15.65">
      <c r="A33" s="18" t="str">
        <f>'Command register base=0x0'!A47</f>
        <v>des_res_op_x_str</v>
      </c>
      <c r="B33" s="19">
        <f>'Command register base=0x0'!B47</f>
        <v>4</v>
      </c>
      <c r="C33" s="19">
        <f t="shared" si="0"/>
        <v>107</v>
      </c>
      <c r="D33" s="19">
        <f t="shared" si="3"/>
        <v>104</v>
      </c>
      <c r="E33" s="18" t="str">
        <f>'Command register base=0x0'!E47</f>
        <v>RW</v>
      </c>
      <c r="F33" s="18" t="str">
        <f>'Command register base=0x0'!F47</f>
        <v>0x1</v>
      </c>
      <c r="G33" s="4" t="s">
        <v>454</v>
      </c>
      <c r="H33" s="7" t="s">
        <v>255</v>
      </c>
      <c r="I33">
        <v>0</v>
      </c>
    </row>
    <row r="34" spans="1:9" ht="15.65">
      <c r="A34" s="18" t="str">
        <f>'Command register base=0x0'!A48</f>
        <v>des_res_op_y_str</v>
      </c>
      <c r="B34" s="19">
        <f>'Command register base=0x0'!B48</f>
        <v>4</v>
      </c>
      <c r="C34" s="19">
        <f t="shared" si="0"/>
        <v>111</v>
      </c>
      <c r="D34" s="19">
        <f t="shared" si="3"/>
        <v>108</v>
      </c>
      <c r="E34" s="18" t="str">
        <f>'Command register base=0x0'!E48</f>
        <v>RW</v>
      </c>
      <c r="F34" s="18" t="str">
        <f>'Command register base=0x0'!F48</f>
        <v>0x1</v>
      </c>
      <c r="G34" s="4" t="s">
        <v>455</v>
      </c>
      <c r="H34" s="7" t="s">
        <v>255</v>
      </c>
      <c r="I34">
        <v>0</v>
      </c>
    </row>
    <row r="35" spans="1:9" ht="134.5">
      <c r="A35" s="18" t="s">
        <v>377</v>
      </c>
      <c r="B35" s="19">
        <v>3</v>
      </c>
      <c r="C35" s="19">
        <f t="shared" si="0"/>
        <v>114</v>
      </c>
      <c r="D35" s="19">
        <f t="shared" si="3"/>
        <v>112</v>
      </c>
      <c r="E35" s="18" t="s">
        <v>7</v>
      </c>
      <c r="F35" s="18" t="s">
        <v>236</v>
      </c>
      <c r="G35" s="4" t="s">
        <v>619</v>
      </c>
      <c r="H35" s="7" t="s">
        <v>255</v>
      </c>
      <c r="I35">
        <v>0</v>
      </c>
    </row>
    <row r="36" spans="1:9" ht="15.65">
      <c r="A36" s="18" t="s">
        <v>731</v>
      </c>
      <c r="B36" s="19">
        <v>11</v>
      </c>
      <c r="C36" s="19">
        <f t="shared" ref="C36:C37" si="7">D36+B36-1</f>
        <v>125</v>
      </c>
      <c r="D36" s="19">
        <f t="shared" si="3"/>
        <v>115</v>
      </c>
      <c r="E36" s="18" t="str">
        <f>'Command register base=0x0'!E37</f>
        <v>RW</v>
      </c>
      <c r="F36" s="18" t="str">
        <f>'Command register base=0x0'!F37</f>
        <v>0x0</v>
      </c>
      <c r="G36" s="4" t="s">
        <v>257</v>
      </c>
      <c r="H36" s="20" t="s">
        <v>258</v>
      </c>
      <c r="I36">
        <v>2</v>
      </c>
    </row>
    <row r="37" spans="1:9" ht="15.65">
      <c r="A37" s="18" t="s">
        <v>277</v>
      </c>
      <c r="B37" s="19">
        <v>1</v>
      </c>
      <c r="C37" s="19">
        <f t="shared" si="7"/>
        <v>126</v>
      </c>
      <c r="D37" s="19">
        <f t="shared" si="3"/>
        <v>126</v>
      </c>
      <c r="E37" s="18" t="str">
        <f>'Command register base=0x0'!E37</f>
        <v>RW</v>
      </c>
      <c r="F37" s="18" t="str">
        <f>'Command register base=0x0'!F37</f>
        <v>0x0</v>
      </c>
      <c r="G37" s="4" t="s">
        <v>624</v>
      </c>
      <c r="H37" s="7" t="s">
        <v>255</v>
      </c>
      <c r="I37">
        <v>0</v>
      </c>
    </row>
    <row r="38" spans="1:9" ht="29.9">
      <c r="A38" s="18" t="s">
        <v>261</v>
      </c>
      <c r="B38" s="19">
        <v>1</v>
      </c>
      <c r="C38" s="19">
        <f t="shared" ref="C38" si="8">D38+B38-1</f>
        <v>127</v>
      </c>
      <c r="D38" s="19">
        <f t="shared" si="3"/>
        <v>127</v>
      </c>
      <c r="E38" s="18" t="str">
        <f>'Command register base=0x0'!E38</f>
        <v>RW</v>
      </c>
      <c r="F38" s="18" t="str">
        <f>'Command register base=0x0'!F38</f>
        <v>0x0</v>
      </c>
      <c r="G38" s="4" t="s">
        <v>262</v>
      </c>
      <c r="H38" s="7" t="s">
        <v>255</v>
      </c>
      <c r="I38">
        <v>0</v>
      </c>
    </row>
    <row r="39" spans="1:9" ht="15.65">
      <c r="A39" s="18" t="str">
        <f>'Command register base=0x0'!A56</f>
        <v>des_res0_n</v>
      </c>
      <c r="B39" s="19">
        <f>'Command register base=0x0'!B56</f>
        <v>16</v>
      </c>
      <c r="C39" s="19">
        <f t="shared" si="0"/>
        <v>143</v>
      </c>
      <c r="D39" s="19">
        <f t="shared" ref="D39:D40" si="9">C38+1</f>
        <v>128</v>
      </c>
      <c r="E39" s="18" t="str">
        <f>'Command register base=0x0'!E56</f>
        <v>RW</v>
      </c>
      <c r="F39" s="18" t="str">
        <f>'Command register base=0x0'!F56</f>
        <v>0x1</v>
      </c>
      <c r="G39" s="4" t="s">
        <v>456</v>
      </c>
      <c r="H39" s="7" t="s">
        <v>255</v>
      </c>
      <c r="I39">
        <v>0</v>
      </c>
    </row>
    <row r="40" spans="1:9" ht="15.65">
      <c r="A40" s="18" t="str">
        <f>'Command register base=0x0'!A57</f>
        <v>des_res0_c</v>
      </c>
      <c r="B40" s="19">
        <f>'Command register base=0x0'!B57</f>
        <v>16</v>
      </c>
      <c r="C40" s="19">
        <f t="shared" si="0"/>
        <v>159</v>
      </c>
      <c r="D40" s="19">
        <f t="shared" si="9"/>
        <v>144</v>
      </c>
      <c r="E40" s="18" t="str">
        <f>'Command register base=0x0'!E57</f>
        <v>RW</v>
      </c>
      <c r="F40" s="18" t="str">
        <f>'Command register base=0x0'!F57</f>
        <v>0x1</v>
      </c>
      <c r="G40" s="4" t="s">
        <v>345</v>
      </c>
      <c r="H40" s="7" t="s">
        <v>255</v>
      </c>
      <c r="I40">
        <v>0</v>
      </c>
    </row>
    <row r="41" spans="1:9" ht="15.65">
      <c r="A41" s="18" t="str">
        <f>'Command register base=0x0'!A58</f>
        <v>des_res0_h</v>
      </c>
      <c r="B41" s="19">
        <f>'Command register base=0x0'!B58</f>
        <v>16</v>
      </c>
      <c r="C41" s="19">
        <f t="shared" si="0"/>
        <v>175</v>
      </c>
      <c r="D41" s="19">
        <f t="shared" si="3"/>
        <v>160</v>
      </c>
      <c r="E41" s="18" t="str">
        <f>'Command register base=0x0'!E58</f>
        <v>RW</v>
      </c>
      <c r="F41" s="18" t="str">
        <f>'Command register base=0x0'!F58</f>
        <v>0x1</v>
      </c>
      <c r="G41" s="4" t="s">
        <v>457</v>
      </c>
      <c r="H41" s="7" t="s">
        <v>255</v>
      </c>
      <c r="I41">
        <v>0</v>
      </c>
    </row>
    <row r="42" spans="1:9" ht="15.65">
      <c r="A42" s="18" t="str">
        <f>'Command register base=0x0'!A59</f>
        <v>des_res0_w</v>
      </c>
      <c r="B42" s="19">
        <f>'Command register base=0x0'!B59</f>
        <v>16</v>
      </c>
      <c r="C42" s="19">
        <f t="shared" si="0"/>
        <v>191</v>
      </c>
      <c r="D42" s="19">
        <f t="shared" si="3"/>
        <v>176</v>
      </c>
      <c r="E42" s="18" t="str">
        <f>'Command register base=0x0'!E59</f>
        <v>RW</v>
      </c>
      <c r="F42" s="18" t="str">
        <f>'Command register base=0x0'!F59</f>
        <v>0x1</v>
      </c>
      <c r="G42" s="4" t="s">
        <v>458</v>
      </c>
      <c r="H42" s="7" t="s">
        <v>255</v>
      </c>
      <c r="I42">
        <v>0</v>
      </c>
    </row>
    <row r="43" spans="1:9" ht="15.65">
      <c r="A43" s="18" t="str">
        <f>'Command register base=0x0'!A62</f>
        <v>des_opd0_h</v>
      </c>
      <c r="B43" s="19">
        <f>'Command register base=0x0'!B62</f>
        <v>16</v>
      </c>
      <c r="C43" s="19">
        <f t="shared" si="0"/>
        <v>207</v>
      </c>
      <c r="D43" s="19">
        <f t="shared" si="3"/>
        <v>192</v>
      </c>
      <c r="E43" s="18" t="str">
        <f>'Command register base=0x0'!E62</f>
        <v>RW</v>
      </c>
      <c r="F43" s="18" t="str">
        <f>'Command register base=0x0'!F62</f>
        <v>0x1</v>
      </c>
      <c r="G43" s="4" t="s">
        <v>495</v>
      </c>
      <c r="H43" s="7" t="s">
        <v>255</v>
      </c>
      <c r="I43">
        <v>0</v>
      </c>
    </row>
    <row r="44" spans="1:9" ht="15.65">
      <c r="A44" s="18" t="str">
        <f>'Command register base=0x0'!A63</f>
        <v>des_opd0_w</v>
      </c>
      <c r="B44" s="19">
        <f>'Command register base=0x0'!B63</f>
        <v>16</v>
      </c>
      <c r="C44" s="19">
        <f t="shared" si="0"/>
        <v>223</v>
      </c>
      <c r="D44" s="19">
        <f t="shared" si="3"/>
        <v>208</v>
      </c>
      <c r="E44" s="18" t="str">
        <f>'Command register base=0x0'!E63</f>
        <v>RW</v>
      </c>
      <c r="F44" s="18" t="str">
        <f>'Command register base=0x0'!F63</f>
        <v>0x1</v>
      </c>
      <c r="G44" s="4" t="s">
        <v>496</v>
      </c>
      <c r="H44" s="7" t="s">
        <v>255</v>
      </c>
      <c r="I44">
        <v>0</v>
      </c>
    </row>
    <row r="45" spans="1:9" ht="15.65">
      <c r="A45" s="18" t="str">
        <f>'Command register base=0x0'!A66</f>
        <v>des_opd1_h</v>
      </c>
      <c r="B45" s="19">
        <f>'Command register base=0x0'!B66</f>
        <v>16</v>
      </c>
      <c r="C45" s="19">
        <f t="shared" si="0"/>
        <v>239</v>
      </c>
      <c r="D45" s="19">
        <f t="shared" si="3"/>
        <v>224</v>
      </c>
      <c r="E45" s="18" t="str">
        <f>'Command register base=0x0'!E66</f>
        <v>RW</v>
      </c>
      <c r="F45" s="18" t="str">
        <f>'Command register base=0x0'!F66</f>
        <v>0x1</v>
      </c>
      <c r="G45" s="4" t="s">
        <v>464</v>
      </c>
      <c r="H45" s="7" t="s">
        <v>255</v>
      </c>
      <c r="I45">
        <v>0</v>
      </c>
    </row>
    <row r="46" spans="1:9" ht="15.65">
      <c r="A46" s="18" t="str">
        <f>'Command register base=0x0'!A67</f>
        <v>des_opd1_w</v>
      </c>
      <c r="B46" s="19">
        <f>'Command register base=0x0'!B67</f>
        <v>16</v>
      </c>
      <c r="C46" s="19">
        <f t="shared" si="0"/>
        <v>255</v>
      </c>
      <c r="D46" s="19">
        <f t="shared" si="3"/>
        <v>240</v>
      </c>
      <c r="E46" s="18" t="str">
        <f>'Command register base=0x0'!E67</f>
        <v>RW</v>
      </c>
      <c r="F46" s="18" t="str">
        <f>'Command register base=0x0'!F67</f>
        <v>0x1</v>
      </c>
      <c r="G46" s="4" t="s">
        <v>465</v>
      </c>
      <c r="H46" s="7" t="s">
        <v>255</v>
      </c>
      <c r="I46">
        <v>0</v>
      </c>
    </row>
    <row r="47" spans="1:9" ht="15.65">
      <c r="A47" s="148" t="str">
        <f>'Command register base=0x0'!A76</f>
        <v>des_res0_addr</v>
      </c>
      <c r="B47" s="149">
        <f>'Command register base=0x0'!B76</f>
        <v>32</v>
      </c>
      <c r="C47" s="149">
        <f t="shared" si="0"/>
        <v>287</v>
      </c>
      <c r="D47" s="149">
        <f t="shared" si="3"/>
        <v>256</v>
      </c>
      <c r="E47" s="148" t="str">
        <f>'Command register base=0x0'!E76</f>
        <v>RW</v>
      </c>
      <c r="F47" s="148" t="str">
        <f>'Command register base=0x0'!F76</f>
        <v>0x0</v>
      </c>
      <c r="G47" s="143" t="s">
        <v>382</v>
      </c>
      <c r="H47" s="7" t="s">
        <v>255</v>
      </c>
      <c r="I47">
        <v>0</v>
      </c>
    </row>
    <row r="48" spans="1:9" ht="15.65">
      <c r="A48" s="148" t="str">
        <f>'Command register base=0x0'!A77</f>
        <v>des_opd0_addr</v>
      </c>
      <c r="B48" s="149">
        <f>'Command register base=0x0'!B77</f>
        <v>32</v>
      </c>
      <c r="C48" s="149">
        <f t="shared" si="0"/>
        <v>319</v>
      </c>
      <c r="D48" s="149">
        <f t="shared" si="3"/>
        <v>288</v>
      </c>
      <c r="E48" s="148" t="str">
        <f>'Command register base=0x0'!E77</f>
        <v>RW</v>
      </c>
      <c r="F48" s="148" t="str">
        <f>'Command register base=0x0'!F77</f>
        <v>0x0</v>
      </c>
      <c r="G48" s="143" t="s">
        <v>471</v>
      </c>
      <c r="H48" s="7" t="s">
        <v>255</v>
      </c>
      <c r="I48">
        <v>0</v>
      </c>
    </row>
    <row r="49" spans="1:9" ht="29.9">
      <c r="A49" s="148" t="str">
        <f>'Command register base=0x0'!A78</f>
        <v>des_opd1_addr</v>
      </c>
      <c r="B49" s="149">
        <f>'Command register base=0x0'!B78</f>
        <v>32</v>
      </c>
      <c r="C49" s="149">
        <f t="shared" si="0"/>
        <v>351</v>
      </c>
      <c r="D49" s="149">
        <f t="shared" si="3"/>
        <v>320</v>
      </c>
      <c r="E49" s="148" t="str">
        <f>'Command register base=0x0'!E78</f>
        <v>RW</v>
      </c>
      <c r="F49" s="148" t="str">
        <f>'Command register base=0x0'!F78</f>
        <v>0x0</v>
      </c>
      <c r="G49" s="143" t="s">
        <v>386</v>
      </c>
      <c r="H49" s="7" t="s">
        <v>255</v>
      </c>
      <c r="I49">
        <v>0</v>
      </c>
    </row>
    <row r="50" spans="1:9" ht="89.7">
      <c r="A50" s="148" t="str">
        <f>'Command register base=0x0'!A79</f>
        <v>des_opd2_addr</v>
      </c>
      <c r="B50" s="149">
        <f>'Command register base=0x0'!B79</f>
        <v>32</v>
      </c>
      <c r="C50" s="149">
        <f t="shared" si="0"/>
        <v>383</v>
      </c>
      <c r="D50" s="149">
        <f t="shared" si="3"/>
        <v>352</v>
      </c>
      <c r="E50" s="148" t="str">
        <f>'Command register base=0x0'!E79</f>
        <v>RW</v>
      </c>
      <c r="F50" s="148" t="str">
        <f>'Command register base=0x0'!F79</f>
        <v>0x0</v>
      </c>
      <c r="G50" s="143" t="s">
        <v>1019</v>
      </c>
      <c r="H50" s="7" t="s">
        <v>255</v>
      </c>
      <c r="I50">
        <v>0</v>
      </c>
    </row>
    <row r="51" spans="1:9" ht="59.8">
      <c r="A51" s="18" t="str">
        <f>'Command register base=0x0'!A88</f>
        <v>des_res1_addr</v>
      </c>
      <c r="B51" s="19">
        <f>'Command register base=0x0'!B88</f>
        <v>32</v>
      </c>
      <c r="C51" s="19">
        <f t="shared" si="0"/>
        <v>415</v>
      </c>
      <c r="D51" s="19">
        <f t="shared" si="3"/>
        <v>384</v>
      </c>
      <c r="E51" s="18" t="str">
        <f>'Command register base=0x0'!E88</f>
        <v>RW</v>
      </c>
      <c r="F51" s="18" t="str">
        <f>'Command register base=0x0'!F88</f>
        <v>0x0</v>
      </c>
      <c r="G51" s="31" t="s">
        <v>620</v>
      </c>
      <c r="H51" s="7" t="s">
        <v>255</v>
      </c>
      <c r="I51">
        <v>0</v>
      </c>
    </row>
    <row r="52" spans="1:9" ht="15.65">
      <c r="A52" s="18" t="str">
        <f>'Command register base=0x0'!A89</f>
        <v>des_opd3_addr</v>
      </c>
      <c r="B52" s="19">
        <f>'Command register base=0x0'!B89</f>
        <v>32</v>
      </c>
      <c r="C52" s="19">
        <f t="shared" si="0"/>
        <v>447</v>
      </c>
      <c r="D52" s="19">
        <f t="shared" si="3"/>
        <v>416</v>
      </c>
      <c r="E52" s="18" t="str">
        <f>'Command register base=0x0'!E89</f>
        <v>RW</v>
      </c>
      <c r="F52" s="18" t="str">
        <f>'Command register base=0x0'!F89</f>
        <v>0x0</v>
      </c>
      <c r="G52" s="4" t="s">
        <v>621</v>
      </c>
      <c r="H52" s="7" t="s">
        <v>255</v>
      </c>
      <c r="I52">
        <v>0</v>
      </c>
    </row>
    <row r="53" spans="1:9" ht="15.65">
      <c r="A53" s="18" t="s">
        <v>732</v>
      </c>
      <c r="B53" s="19">
        <v>64</v>
      </c>
      <c r="C53" s="19">
        <f t="shared" si="0"/>
        <v>511</v>
      </c>
      <c r="D53" s="19">
        <f t="shared" si="3"/>
        <v>448</v>
      </c>
      <c r="E53" s="18" t="s">
        <v>7</v>
      </c>
      <c r="F53" s="18" t="s">
        <v>236</v>
      </c>
      <c r="G53" s="4" t="s">
        <v>257</v>
      </c>
      <c r="H53" s="20" t="s">
        <v>258</v>
      </c>
      <c r="I53">
        <v>2</v>
      </c>
    </row>
  </sheetData>
  <customSheetViews>
    <customSheetView guid="{465993EB-2174-44B8-8988-073286CA386F}" topLeftCell="A11">
      <selection activeCell="A3" sqref="A3"/>
      <pageMargins left="0.7" right="0.7" top="0.75" bottom="0.75" header="0.3" footer="0.3"/>
      <pageSetup paperSize="9" orientation="portrait"/>
    </customSheetView>
    <customSheetView guid="{C03D8012-5FAF-4C48-B7E4-56A55E52A74B}" topLeftCell="A11">
      <selection activeCell="A3" sqref="A3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workbookViewId="0">
      <selection activeCell="G13" sqref="G13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5.75" customWidth="1"/>
    <col min="8" max="8" width="38.125" customWidth="1"/>
  </cols>
  <sheetData>
    <row r="1" spans="1:9" ht="27.2">
      <c r="A1" s="41" t="s">
        <v>221</v>
      </c>
      <c r="B1" s="42" t="s">
        <v>4</v>
      </c>
      <c r="C1" s="42" t="s">
        <v>5</v>
      </c>
      <c r="D1" s="42" t="s">
        <v>6</v>
      </c>
      <c r="E1" s="42" t="s">
        <v>7</v>
      </c>
      <c r="F1" s="43" t="s">
        <v>8</v>
      </c>
      <c r="G1" s="51" t="s">
        <v>9</v>
      </c>
      <c r="H1" s="45" t="s">
        <v>480</v>
      </c>
      <c r="I1" s="55" t="s">
        <v>481</v>
      </c>
    </row>
    <row r="2" spans="1:9" ht="15.65">
      <c r="A2" s="46" t="str">
        <f>'Command register base=0x0'!A2</f>
        <v>des_cmd_short</v>
      </c>
      <c r="B2" s="19">
        <f>'Command register base=0x0'!B2</f>
        <v>1</v>
      </c>
      <c r="C2" s="19">
        <f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503</v>
      </c>
      <c r="H2" s="7" t="s">
        <v>255</v>
      </c>
      <c r="I2">
        <v>0</v>
      </c>
    </row>
    <row r="3" spans="1:9" ht="15.65">
      <c r="A3" s="18" t="s">
        <v>301</v>
      </c>
      <c r="B3" s="19">
        <v>1</v>
      </c>
      <c r="C3" s="19">
        <f>D3+B3-1</f>
        <v>1</v>
      </c>
      <c r="D3" s="19">
        <f>C2+1</f>
        <v>1</v>
      </c>
      <c r="E3" s="18" t="s">
        <v>7</v>
      </c>
      <c r="F3" s="18" t="s">
        <v>236</v>
      </c>
      <c r="G3" s="12" t="s">
        <v>504</v>
      </c>
      <c r="H3" s="6" t="s">
        <v>255</v>
      </c>
      <c r="I3">
        <v>0</v>
      </c>
    </row>
    <row r="4" spans="1:9" ht="15.65">
      <c r="A4" s="18" t="s">
        <v>733</v>
      </c>
      <c r="B4" s="19">
        <v>1</v>
      </c>
      <c r="C4" s="19">
        <f t="shared" ref="C4:C13" si="0">D4+B4-1</f>
        <v>2</v>
      </c>
      <c r="D4" s="19">
        <f t="shared" ref="D4:D20" si="1">C3+1</f>
        <v>2</v>
      </c>
      <c r="E4" s="18" t="s">
        <v>7</v>
      </c>
      <c r="F4" s="18" t="s">
        <v>236</v>
      </c>
      <c r="G4" s="12" t="s">
        <v>257</v>
      </c>
      <c r="H4" s="20" t="s">
        <v>258</v>
      </c>
      <c r="I4">
        <v>2</v>
      </c>
    </row>
    <row r="5" spans="1:9" ht="15.65">
      <c r="A5" s="18" t="s">
        <v>734</v>
      </c>
      <c r="B5" s="19">
        <v>1</v>
      </c>
      <c r="C5" s="19">
        <f t="shared" si="0"/>
        <v>3</v>
      </c>
      <c r="D5" s="19">
        <f t="shared" si="1"/>
        <v>3</v>
      </c>
      <c r="E5" s="18" t="s">
        <v>7</v>
      </c>
      <c r="F5" s="18" t="s">
        <v>236</v>
      </c>
      <c r="G5" s="12" t="s">
        <v>257</v>
      </c>
      <c r="H5" s="20" t="s">
        <v>258</v>
      </c>
      <c r="I5">
        <v>2</v>
      </c>
    </row>
    <row r="6" spans="1:9" ht="44.85">
      <c r="A6" s="18" t="s">
        <v>265</v>
      </c>
      <c r="B6" s="19">
        <v>1</v>
      </c>
      <c r="C6" s="19">
        <f t="shared" si="0"/>
        <v>4</v>
      </c>
      <c r="D6" s="19">
        <f t="shared" si="1"/>
        <v>4</v>
      </c>
      <c r="E6" s="18" t="s">
        <v>7</v>
      </c>
      <c r="F6" s="18" t="s">
        <v>236</v>
      </c>
      <c r="G6" s="12" t="s">
        <v>435</v>
      </c>
      <c r="H6" s="6" t="s">
        <v>255</v>
      </c>
      <c r="I6">
        <v>0</v>
      </c>
    </row>
    <row r="7" spans="1:9" ht="44.85">
      <c r="A7" s="18" t="s">
        <v>245</v>
      </c>
      <c r="B7" s="19">
        <v>1</v>
      </c>
      <c r="C7" s="19">
        <f t="shared" si="0"/>
        <v>5</v>
      </c>
      <c r="D7" s="19">
        <f t="shared" si="1"/>
        <v>5</v>
      </c>
      <c r="E7" s="18" t="s">
        <v>7</v>
      </c>
      <c r="F7" s="18" t="s">
        <v>236</v>
      </c>
      <c r="G7" s="12" t="s">
        <v>432</v>
      </c>
      <c r="H7" s="6" t="s">
        <v>255</v>
      </c>
      <c r="I7">
        <v>0</v>
      </c>
    </row>
    <row r="8" spans="1:9" ht="15.65">
      <c r="A8" s="18" t="s">
        <v>735</v>
      </c>
      <c r="B8" s="19">
        <v>3</v>
      </c>
      <c r="C8" s="19">
        <f t="shared" si="0"/>
        <v>8</v>
      </c>
      <c r="D8" s="19">
        <f t="shared" si="1"/>
        <v>6</v>
      </c>
      <c r="E8" s="18" t="s">
        <v>7</v>
      </c>
      <c r="F8" s="18" t="str">
        <f>'Command register base=0x0'!F13</f>
        <v>0x0</v>
      </c>
      <c r="G8" s="12" t="s">
        <v>257</v>
      </c>
      <c r="H8" s="20" t="s">
        <v>258</v>
      </c>
      <c r="I8">
        <v>2</v>
      </c>
    </row>
    <row r="9" spans="1:9" ht="15.65">
      <c r="A9" s="46" t="s">
        <v>736</v>
      </c>
      <c r="B9" s="19">
        <v>8</v>
      </c>
      <c r="C9" s="19">
        <f t="shared" si="0"/>
        <v>16</v>
      </c>
      <c r="D9" s="19">
        <f t="shared" si="1"/>
        <v>9</v>
      </c>
      <c r="E9" s="19" t="str">
        <f>'Command register base=0x0'!E3</f>
        <v>RW</v>
      </c>
      <c r="F9" s="19" t="str">
        <f>'Command register base=0x0'!F3</f>
        <v>0x0</v>
      </c>
      <c r="G9" s="4" t="s">
        <v>257</v>
      </c>
      <c r="H9" s="20" t="s">
        <v>258</v>
      </c>
      <c r="I9">
        <v>2</v>
      </c>
    </row>
    <row r="10" spans="1:9" ht="29.9">
      <c r="A10" s="46" t="str">
        <f>'Command register base=0x0'!A4</f>
        <v>des_cmd_id_dep</v>
      </c>
      <c r="B10" s="19">
        <f>'Command register base=0x0'!B4</f>
        <v>23</v>
      </c>
      <c r="C10" s="19">
        <f t="shared" si="0"/>
        <v>39</v>
      </c>
      <c r="D10" s="19">
        <f t="shared" si="1"/>
        <v>17</v>
      </c>
      <c r="E10" s="19" t="str">
        <f>'Command register base=0x0'!E4</f>
        <v>RW</v>
      </c>
      <c r="F10" s="19" t="str">
        <f>'Command register base=0x0'!F4</f>
        <v>0x0</v>
      </c>
      <c r="G10" s="4" t="s">
        <v>241</v>
      </c>
      <c r="H10" s="7" t="s">
        <v>255</v>
      </c>
      <c r="I10">
        <v>0</v>
      </c>
    </row>
    <row r="11" spans="1:9" ht="15.65">
      <c r="A11" s="46" t="str">
        <f>'Command register base=0x0'!A5</f>
        <v>des_dbg_mode</v>
      </c>
      <c r="B11" s="19">
        <f>'Command register base=0x0'!B5</f>
        <v>1</v>
      </c>
      <c r="C11" s="19">
        <f t="shared" ref="C11:C12" si="2">D11+B11-1</f>
        <v>40</v>
      </c>
      <c r="D11" s="19">
        <f t="shared" ref="D11:D12" si="3">C10+1</f>
        <v>40</v>
      </c>
      <c r="E11" s="19" t="str">
        <f>'Command register base=0x0'!E5</f>
        <v>RW</v>
      </c>
      <c r="F11" s="19" t="str">
        <f>'Command register base=0x0'!F5</f>
        <v>0x0</v>
      </c>
      <c r="G11" s="4" t="s">
        <v>1050</v>
      </c>
      <c r="H11" s="7" t="s">
        <v>255</v>
      </c>
      <c r="I11">
        <v>0</v>
      </c>
    </row>
    <row r="12" spans="1:9" ht="29.9">
      <c r="A12" s="46" t="str">
        <f>'Command register base=0x0'!A6</f>
        <v>des_tsk_typ</v>
      </c>
      <c r="B12" s="19">
        <f>'Command register base=0x0'!B6</f>
        <v>4</v>
      </c>
      <c r="C12" s="19">
        <f t="shared" si="2"/>
        <v>44</v>
      </c>
      <c r="D12" s="19">
        <f t="shared" si="3"/>
        <v>41</v>
      </c>
      <c r="E12" s="19" t="str">
        <f>'Command register base=0x0'!E6</f>
        <v>RW</v>
      </c>
      <c r="F12" s="19" t="str">
        <f>'Command register base=0x0'!F6</f>
        <v>0x0</v>
      </c>
      <c r="G12" s="4" t="s">
        <v>482</v>
      </c>
      <c r="H12" s="7" t="s">
        <v>255</v>
      </c>
      <c r="I12">
        <v>0</v>
      </c>
    </row>
    <row r="13" spans="1:9" ht="44.85">
      <c r="A13" s="46" t="str">
        <f>'Command register base=0x0'!A7</f>
        <v>des_tsk_eu_typ</v>
      </c>
      <c r="B13" s="19">
        <v>5</v>
      </c>
      <c r="C13" s="19">
        <f t="shared" si="0"/>
        <v>49</v>
      </c>
      <c r="D13" s="19">
        <f t="shared" si="1"/>
        <v>45</v>
      </c>
      <c r="E13" s="19" t="str">
        <f>'Command register base=0x0'!E7</f>
        <v>RW</v>
      </c>
      <c r="F13" s="19" t="str">
        <f>'Command register base=0x0'!F7</f>
        <v>0x0</v>
      </c>
      <c r="G13" s="4" t="s">
        <v>1170</v>
      </c>
      <c r="H13" s="7" t="s">
        <v>255</v>
      </c>
      <c r="I13">
        <v>0</v>
      </c>
    </row>
    <row r="14" spans="1:9" ht="15.65">
      <c r="A14" s="46" t="s">
        <v>263</v>
      </c>
      <c r="B14" s="19">
        <v>1</v>
      </c>
      <c r="C14" s="19">
        <f t="shared" ref="C14:C19" si="4">D14+B14-1</f>
        <v>50</v>
      </c>
      <c r="D14" s="19">
        <f t="shared" si="1"/>
        <v>50</v>
      </c>
      <c r="E14" s="19" t="s">
        <v>7</v>
      </c>
      <c r="F14" s="19" t="s">
        <v>236</v>
      </c>
      <c r="G14" s="4" t="s">
        <v>505</v>
      </c>
      <c r="H14" s="7" t="s">
        <v>255</v>
      </c>
      <c r="I14">
        <v>0</v>
      </c>
    </row>
    <row r="15" spans="1:9" ht="44.85">
      <c r="A15" s="46" t="str">
        <f>'Command register base=0x0'!A17</f>
        <v>des_opt_left_tran</v>
      </c>
      <c r="B15" s="19">
        <f>'Command register base=0x0'!B17</f>
        <v>1</v>
      </c>
      <c r="C15" s="19">
        <f t="shared" si="4"/>
        <v>51</v>
      </c>
      <c r="D15" s="19">
        <f t="shared" si="1"/>
        <v>51</v>
      </c>
      <c r="E15" s="19" t="str">
        <f>'Command register base=0x0'!E17</f>
        <v>RW</v>
      </c>
      <c r="F15" s="19" t="str">
        <f>'Command register base=0x0'!F17</f>
        <v>0x0</v>
      </c>
      <c r="G15" s="4" t="s">
        <v>485</v>
      </c>
      <c r="H15" s="7" t="s">
        <v>255</v>
      </c>
      <c r="I15">
        <v>0</v>
      </c>
    </row>
    <row r="16" spans="1:9" ht="44.85">
      <c r="A16" s="46" t="s">
        <v>284</v>
      </c>
      <c r="B16" s="19">
        <f>'Command register base=0x0'!B28</f>
        <v>1</v>
      </c>
      <c r="C16" s="19">
        <f t="shared" si="4"/>
        <v>52</v>
      </c>
      <c r="D16" s="19">
        <f t="shared" si="1"/>
        <v>52</v>
      </c>
      <c r="E16" s="19" t="str">
        <f>'Command register base=0x0'!E28</f>
        <v>RW</v>
      </c>
      <c r="F16" s="19" t="str">
        <f>'Command register base=0x0'!F28</f>
        <v>0x0</v>
      </c>
      <c r="G16" s="4" t="s">
        <v>506</v>
      </c>
      <c r="H16" s="7" t="s">
        <v>255</v>
      </c>
      <c r="I16">
        <v>0</v>
      </c>
    </row>
    <row r="17" spans="1:9" ht="44.85">
      <c r="A17" s="147" t="str">
        <f>'Command register base=0x0'!A29</f>
        <v>des_opt_opd2_const</v>
      </c>
      <c r="B17" s="132">
        <f>'Command register base=0x0'!B29</f>
        <v>1</v>
      </c>
      <c r="C17" s="132">
        <f t="shared" si="4"/>
        <v>53</v>
      </c>
      <c r="D17" s="132">
        <f t="shared" si="1"/>
        <v>53</v>
      </c>
      <c r="E17" s="132" t="str">
        <f>'Command register base=0x0'!E29</f>
        <v>RW</v>
      </c>
      <c r="F17" s="132" t="str">
        <f>'Command register base=0x0'!F29</f>
        <v>0x0</v>
      </c>
      <c r="G17" s="143" t="s">
        <v>489</v>
      </c>
      <c r="H17" s="7" t="s">
        <v>255</v>
      </c>
      <c r="I17">
        <v>0</v>
      </c>
    </row>
    <row r="18" spans="1:9" ht="15.65">
      <c r="A18" s="147" t="s">
        <v>741</v>
      </c>
      <c r="B18" s="132">
        <v>1</v>
      </c>
      <c r="C18" s="132">
        <f t="shared" si="4"/>
        <v>54</v>
      </c>
      <c r="D18" s="132">
        <f t="shared" si="1"/>
        <v>54</v>
      </c>
      <c r="E18" s="132" t="s">
        <v>7</v>
      </c>
      <c r="F18" s="132" t="s">
        <v>236</v>
      </c>
      <c r="G18" s="143" t="s">
        <v>257</v>
      </c>
      <c r="H18" s="20" t="s">
        <v>258</v>
      </c>
      <c r="I18">
        <v>2</v>
      </c>
    </row>
    <row r="19" spans="1:9" ht="44" customHeight="1">
      <c r="A19" s="147" t="str">
        <f>'Command register base=0x0'!A11</f>
        <v>des_opt_res0_sign</v>
      </c>
      <c r="B19" s="132">
        <v>1</v>
      </c>
      <c r="C19" s="132">
        <f t="shared" si="4"/>
        <v>55</v>
      </c>
      <c r="D19" s="132">
        <f t="shared" si="1"/>
        <v>55</v>
      </c>
      <c r="E19" s="132" t="str">
        <f>'Command register base=0x0'!E11</f>
        <v>RW</v>
      </c>
      <c r="F19" s="132" t="str">
        <f>'Command register base=0x0'!F11</f>
        <v>0x0</v>
      </c>
      <c r="G19" s="143" t="s">
        <v>478</v>
      </c>
      <c r="H19" s="7" t="s">
        <v>255</v>
      </c>
      <c r="I19">
        <v>0</v>
      </c>
    </row>
    <row r="20" spans="1:9" ht="28.2" customHeight="1">
      <c r="A20" s="147" t="s">
        <v>742</v>
      </c>
      <c r="B20" s="132">
        <v>3</v>
      </c>
      <c r="C20" s="132">
        <f t="shared" ref="C20:C41" si="5">D20+B20-1</f>
        <v>58</v>
      </c>
      <c r="D20" s="132">
        <f t="shared" si="1"/>
        <v>56</v>
      </c>
      <c r="E20" s="132" t="str">
        <f>'Command register base=0x0'!E12</f>
        <v>RW</v>
      </c>
      <c r="F20" s="132" t="str">
        <f>'Command register base=0x0'!F12</f>
        <v>0x0</v>
      </c>
      <c r="G20" s="143" t="s">
        <v>257</v>
      </c>
      <c r="H20" s="20" t="s">
        <v>258</v>
      </c>
      <c r="I20">
        <v>2</v>
      </c>
    </row>
    <row r="21" spans="1:9" ht="15.65">
      <c r="A21" s="147" t="s">
        <v>259</v>
      </c>
      <c r="B21" s="132">
        <v>4</v>
      </c>
      <c r="C21" s="132">
        <f t="shared" si="5"/>
        <v>62</v>
      </c>
      <c r="D21" s="132">
        <f t="shared" ref="D21:D42" si="6">C20+1</f>
        <v>59</v>
      </c>
      <c r="E21" s="132" t="str">
        <f>'Command register base=0x0'!E27</f>
        <v>RW</v>
      </c>
      <c r="F21" s="132" t="str">
        <f>'Command register base=0x0'!F27</f>
        <v>0x0</v>
      </c>
      <c r="G21" s="143" t="s">
        <v>260</v>
      </c>
      <c r="H21" s="7" t="s">
        <v>255</v>
      </c>
      <c r="I21">
        <v>0</v>
      </c>
    </row>
    <row r="22" spans="1:9" ht="29.9">
      <c r="A22" s="46" t="s">
        <v>261</v>
      </c>
      <c r="B22" s="19">
        <v>1</v>
      </c>
      <c r="C22" s="19">
        <f t="shared" si="5"/>
        <v>63</v>
      </c>
      <c r="D22" s="19">
        <f t="shared" si="6"/>
        <v>63</v>
      </c>
      <c r="E22" s="19" t="s">
        <v>7</v>
      </c>
      <c r="F22" s="19" t="s">
        <v>236</v>
      </c>
      <c r="G22" s="4" t="s">
        <v>262</v>
      </c>
      <c r="H22" s="7" t="s">
        <v>255</v>
      </c>
      <c r="I22">
        <v>0</v>
      </c>
    </row>
    <row r="23" spans="1:9" ht="44.85">
      <c r="A23" s="46" t="str">
        <f>'Command register base=0x0'!A20</f>
        <v>des_opt_opd0_sign</v>
      </c>
      <c r="B23" s="19">
        <f>'Command register base=0x0'!B20</f>
        <v>1</v>
      </c>
      <c r="C23" s="19">
        <f t="shared" si="5"/>
        <v>64</v>
      </c>
      <c r="D23" s="19">
        <f t="shared" si="6"/>
        <v>64</v>
      </c>
      <c r="E23" s="19" t="str">
        <f>'Command register base=0x0'!E20</f>
        <v>RW</v>
      </c>
      <c r="F23" s="19" t="str">
        <f>'Command register base=0x0'!F20</f>
        <v>0x0</v>
      </c>
      <c r="G23" s="4" t="s">
        <v>274</v>
      </c>
      <c r="H23" s="7" t="s">
        <v>255</v>
      </c>
      <c r="I23">
        <v>0</v>
      </c>
    </row>
    <row r="24" spans="1:9" ht="44.85">
      <c r="A24" s="46" t="str">
        <f>'Command register base=0x0'!A21</f>
        <v>des_opt_opd1_sign</v>
      </c>
      <c r="B24" s="19">
        <f>'Command register base=0x0'!B21</f>
        <v>1</v>
      </c>
      <c r="C24" s="19">
        <f t="shared" si="5"/>
        <v>65</v>
      </c>
      <c r="D24" s="19">
        <f t="shared" si="6"/>
        <v>65</v>
      </c>
      <c r="E24" s="19" t="str">
        <f>'Command register base=0x0'!E21</f>
        <v>RW</v>
      </c>
      <c r="F24" s="19" t="str">
        <f>'Command register base=0x0'!F21</f>
        <v>0x1</v>
      </c>
      <c r="G24" s="4" t="s">
        <v>276</v>
      </c>
      <c r="H24" s="7" t="s">
        <v>255</v>
      </c>
      <c r="I24">
        <v>0</v>
      </c>
    </row>
    <row r="25" spans="1:9" ht="89.7">
      <c r="A25" s="46" t="s">
        <v>277</v>
      </c>
      <c r="B25" s="19">
        <v>1</v>
      </c>
      <c r="C25" s="19">
        <f t="shared" si="5"/>
        <v>66</v>
      </c>
      <c r="D25" s="19">
        <f t="shared" si="6"/>
        <v>66</v>
      </c>
      <c r="E25" s="19" t="s">
        <v>7</v>
      </c>
      <c r="F25" s="19" t="s">
        <v>266</v>
      </c>
      <c r="G25" s="4" t="s">
        <v>507</v>
      </c>
      <c r="H25" s="7" t="s">
        <v>255</v>
      </c>
      <c r="I25">
        <v>0</v>
      </c>
    </row>
    <row r="26" spans="1:9" ht="89.7">
      <c r="A26" s="46" t="str">
        <f>'Command register base=0x0'!A23</f>
        <v>des_opt_res0_prec</v>
      </c>
      <c r="B26" s="19">
        <f>'Command register base=0x0'!B23</f>
        <v>3</v>
      </c>
      <c r="C26" s="19">
        <f t="shared" si="5"/>
        <v>69</v>
      </c>
      <c r="D26" s="19">
        <f t="shared" si="6"/>
        <v>67</v>
      </c>
      <c r="E26" s="19" t="str">
        <f>'Command register base=0x0'!E23</f>
        <v>RW</v>
      </c>
      <c r="F26" s="19" t="str">
        <f>'Command register base=0x0'!F23</f>
        <v>0x2</v>
      </c>
      <c r="G26" s="4" t="s">
        <v>486</v>
      </c>
      <c r="H26" s="7" t="s">
        <v>255</v>
      </c>
      <c r="I26">
        <v>0</v>
      </c>
    </row>
    <row r="27" spans="1:9" ht="89.7">
      <c r="A27" s="46" t="str">
        <f>'Command register base=0x0'!A24</f>
        <v>des_opt_opd0_prec</v>
      </c>
      <c r="B27" s="19">
        <f>'Command register base=0x0'!B24</f>
        <v>3</v>
      </c>
      <c r="C27" s="19">
        <f t="shared" si="5"/>
        <v>72</v>
      </c>
      <c r="D27" s="19">
        <f t="shared" si="6"/>
        <v>70</v>
      </c>
      <c r="E27" s="19" t="str">
        <f>'Command register base=0x0'!E24</f>
        <v>RW</v>
      </c>
      <c r="F27" s="19" t="str">
        <f>'Command register base=0x0'!F24</f>
        <v>0x2</v>
      </c>
      <c r="G27" s="4" t="s">
        <v>487</v>
      </c>
      <c r="H27" s="7" t="s">
        <v>255</v>
      </c>
      <c r="I27">
        <v>0</v>
      </c>
    </row>
    <row r="28" spans="1:9" ht="134.5">
      <c r="A28" s="46" t="s">
        <v>377</v>
      </c>
      <c r="B28" s="19">
        <v>3</v>
      </c>
      <c r="C28" s="19">
        <f t="shared" si="5"/>
        <v>75</v>
      </c>
      <c r="D28" s="19">
        <f t="shared" si="6"/>
        <v>73</v>
      </c>
      <c r="E28" s="19" t="str">
        <f>'Command register base=0x0'!E28</f>
        <v>RW</v>
      </c>
      <c r="F28" s="19" t="str">
        <f>'Command register base=0x0'!F28</f>
        <v>0x0</v>
      </c>
      <c r="G28" s="4" t="s">
        <v>508</v>
      </c>
      <c r="H28" s="7" t="s">
        <v>255</v>
      </c>
      <c r="I28">
        <v>0</v>
      </c>
    </row>
    <row r="29" spans="1:9" ht="15.65">
      <c r="A29" s="46" t="s">
        <v>743</v>
      </c>
      <c r="B29" s="19">
        <v>20</v>
      </c>
      <c r="C29" s="19">
        <f t="shared" si="5"/>
        <v>95</v>
      </c>
      <c r="D29" s="19">
        <f t="shared" si="6"/>
        <v>76</v>
      </c>
      <c r="E29" s="19" t="s">
        <v>7</v>
      </c>
      <c r="F29" s="19" t="s">
        <v>236</v>
      </c>
      <c r="G29" s="4" t="s">
        <v>257</v>
      </c>
      <c r="H29" s="20" t="s">
        <v>258</v>
      </c>
      <c r="I29">
        <v>2</v>
      </c>
    </row>
    <row r="30" spans="1:9" ht="15.65">
      <c r="A30" s="46" t="s">
        <v>744</v>
      </c>
      <c r="B30" s="19">
        <v>16</v>
      </c>
      <c r="C30" s="19">
        <f t="shared" ref="C30:C39" si="7">D30+B30-1</f>
        <v>111</v>
      </c>
      <c r="D30" s="19">
        <f t="shared" si="6"/>
        <v>96</v>
      </c>
      <c r="E30" s="19" t="str">
        <f>'Command register base=0x0'!E56</f>
        <v>RW</v>
      </c>
      <c r="F30" s="18" t="s">
        <v>236</v>
      </c>
      <c r="G30" s="4" t="s">
        <v>257</v>
      </c>
      <c r="H30" s="20" t="s">
        <v>258</v>
      </c>
      <c r="I30">
        <v>2</v>
      </c>
    </row>
    <row r="31" spans="1:9" ht="15.65">
      <c r="A31" s="46" t="str">
        <f>'Command register base=0x0'!A57</f>
        <v>des_res0_c</v>
      </c>
      <c r="B31" s="19">
        <v>16</v>
      </c>
      <c r="C31" s="19">
        <f t="shared" si="7"/>
        <v>127</v>
      </c>
      <c r="D31" s="19">
        <f t="shared" si="6"/>
        <v>112</v>
      </c>
      <c r="E31" s="19" t="str">
        <f>'Command register base=0x0'!E57</f>
        <v>RW</v>
      </c>
      <c r="F31" s="19" t="str">
        <f>'Command register base=0x0'!F57</f>
        <v>0x1</v>
      </c>
      <c r="G31" s="4" t="s">
        <v>491</v>
      </c>
      <c r="H31" s="7" t="s">
        <v>255</v>
      </c>
      <c r="I31">
        <v>0</v>
      </c>
    </row>
    <row r="32" spans="1:9" ht="15.65">
      <c r="A32" s="46" t="str">
        <f>'Command register base=0x0'!A59</f>
        <v>des_res0_w</v>
      </c>
      <c r="B32" s="19">
        <v>16</v>
      </c>
      <c r="C32" s="19">
        <f t="shared" si="7"/>
        <v>143</v>
      </c>
      <c r="D32" s="19">
        <f t="shared" si="6"/>
        <v>128</v>
      </c>
      <c r="E32" s="19" t="str">
        <f>'Command register base=0x0'!E59</f>
        <v>RW</v>
      </c>
      <c r="F32" s="19" t="str">
        <f>'Command register base=0x0'!F59</f>
        <v>0x1</v>
      </c>
      <c r="G32" s="4" t="s">
        <v>493</v>
      </c>
      <c r="H32" s="7" t="s">
        <v>255</v>
      </c>
      <c r="I32">
        <v>0</v>
      </c>
    </row>
    <row r="33" spans="1:9" ht="29.9">
      <c r="A33" s="46" t="str">
        <f>'Command register base=0x0'!A60</f>
        <v>des_opd0_n</v>
      </c>
      <c r="B33" s="19">
        <v>16</v>
      </c>
      <c r="C33" s="19">
        <f t="shared" si="7"/>
        <v>159</v>
      </c>
      <c r="D33" s="19">
        <f t="shared" si="6"/>
        <v>144</v>
      </c>
      <c r="E33" s="19" t="str">
        <f>'Command register base=0x0'!E60</f>
        <v>RW</v>
      </c>
      <c r="F33" s="19" t="str">
        <f>'Command register base=0x0'!F60</f>
        <v>0x1</v>
      </c>
      <c r="G33" s="4" t="s">
        <v>509</v>
      </c>
      <c r="H33" s="7" t="s">
        <v>255</v>
      </c>
      <c r="I33">
        <v>0</v>
      </c>
    </row>
    <row r="34" spans="1:9" ht="15.65">
      <c r="A34" s="46" t="str">
        <f>'Command register base=0x0'!A61</f>
        <v>des_opd0_c</v>
      </c>
      <c r="B34" s="19">
        <v>16</v>
      </c>
      <c r="C34" s="19">
        <f t="shared" si="7"/>
        <v>175</v>
      </c>
      <c r="D34" s="19">
        <f t="shared" si="6"/>
        <v>160</v>
      </c>
      <c r="E34" s="19" t="str">
        <f>'Command register base=0x0'!E61</f>
        <v>RW</v>
      </c>
      <c r="F34" s="19" t="str">
        <f>'Command register base=0x0'!F61</f>
        <v>0x1</v>
      </c>
      <c r="G34" s="4" t="s">
        <v>494</v>
      </c>
      <c r="H34" s="7" t="s">
        <v>255</v>
      </c>
      <c r="I34">
        <v>0</v>
      </c>
    </row>
    <row r="35" spans="1:9" ht="15.65">
      <c r="A35" s="46" t="str">
        <f>'Command register base=0x0'!A63</f>
        <v>des_opd0_w</v>
      </c>
      <c r="B35" s="19">
        <v>16</v>
      </c>
      <c r="C35" s="19">
        <f t="shared" si="7"/>
        <v>191</v>
      </c>
      <c r="D35" s="19">
        <f t="shared" si="6"/>
        <v>176</v>
      </c>
      <c r="E35" s="19" t="str">
        <f>'Command register base=0x0'!E63</f>
        <v>RW</v>
      </c>
      <c r="F35" s="19" t="str">
        <f>'Command register base=0x0'!F63</f>
        <v>0x1</v>
      </c>
      <c r="G35" s="4" t="s">
        <v>496</v>
      </c>
      <c r="H35" s="7" t="s">
        <v>255</v>
      </c>
      <c r="I35">
        <v>0</v>
      </c>
    </row>
    <row r="36" spans="1:9" ht="15.65">
      <c r="A36" s="46" t="s">
        <v>745</v>
      </c>
      <c r="B36" s="19">
        <v>16</v>
      </c>
      <c r="C36" s="19">
        <f t="shared" si="7"/>
        <v>207</v>
      </c>
      <c r="D36" s="19">
        <f t="shared" si="6"/>
        <v>192</v>
      </c>
      <c r="E36" s="19" t="str">
        <f>'Command register base=0x0'!E64</f>
        <v>RW</v>
      </c>
      <c r="F36" s="19" t="str">
        <f>'Command register base=0x0'!F64</f>
        <v>0x1</v>
      </c>
      <c r="G36" s="4" t="s">
        <v>257</v>
      </c>
      <c r="H36" s="20" t="s">
        <v>258</v>
      </c>
      <c r="I36">
        <v>2</v>
      </c>
    </row>
    <row r="37" spans="1:9" ht="29.9">
      <c r="A37" s="46" t="str">
        <f>'Command register base=0x0'!A67</f>
        <v>des_opd1_w</v>
      </c>
      <c r="B37" s="19">
        <v>16</v>
      </c>
      <c r="C37" s="19">
        <f t="shared" si="7"/>
        <v>223</v>
      </c>
      <c r="D37" s="19">
        <f t="shared" si="6"/>
        <v>208</v>
      </c>
      <c r="E37" s="19" t="str">
        <f>'Command register base=0x0'!E67</f>
        <v>RW</v>
      </c>
      <c r="F37" s="19" t="str">
        <f>'Command register base=0x0'!F67</f>
        <v>0x1</v>
      </c>
      <c r="G37" s="4" t="s">
        <v>511</v>
      </c>
      <c r="H37" s="7" t="s">
        <v>255</v>
      </c>
      <c r="I37">
        <v>0</v>
      </c>
    </row>
    <row r="38" spans="1:9" ht="15.65">
      <c r="A38" s="46" t="str">
        <f>'Command register base=0x0'!A76</f>
        <v>des_res0_addr</v>
      </c>
      <c r="B38" s="19">
        <v>32</v>
      </c>
      <c r="C38" s="19">
        <f t="shared" si="7"/>
        <v>255</v>
      </c>
      <c r="D38" s="19">
        <f t="shared" si="6"/>
        <v>224</v>
      </c>
      <c r="E38" s="19" t="str">
        <f>'Command register base=0x0'!E76</f>
        <v>RW</v>
      </c>
      <c r="F38" s="19" t="str">
        <f>'Command register base=0x0'!F76</f>
        <v>0x0</v>
      </c>
      <c r="G38" s="4" t="s">
        <v>512</v>
      </c>
      <c r="H38" s="7" t="s">
        <v>255</v>
      </c>
      <c r="I38">
        <v>0</v>
      </c>
    </row>
    <row r="39" spans="1:9" ht="15.65">
      <c r="A39" s="46" t="str">
        <f>'Command register base=0x0'!A77</f>
        <v>des_opd0_addr</v>
      </c>
      <c r="B39" s="19">
        <v>32</v>
      </c>
      <c r="C39" s="19">
        <f t="shared" si="7"/>
        <v>287</v>
      </c>
      <c r="D39" s="19">
        <f t="shared" si="6"/>
        <v>256</v>
      </c>
      <c r="E39" s="19" t="str">
        <f>'Command register base=0x0'!E77</f>
        <v>RW</v>
      </c>
      <c r="F39" s="19" t="str">
        <f>'Command register base=0x0'!F77</f>
        <v>0x0</v>
      </c>
      <c r="G39" s="4" t="s">
        <v>513</v>
      </c>
      <c r="H39" s="7" t="s">
        <v>255</v>
      </c>
      <c r="I39">
        <v>0</v>
      </c>
    </row>
    <row r="40" spans="1:9" ht="15.65">
      <c r="A40" s="46" t="str">
        <f>'Command register base=0x0'!A78</f>
        <v>des_opd1_addr</v>
      </c>
      <c r="B40" s="19">
        <v>32</v>
      </c>
      <c r="C40" s="19">
        <f t="shared" si="5"/>
        <v>319</v>
      </c>
      <c r="D40" s="19">
        <f t="shared" si="6"/>
        <v>288</v>
      </c>
      <c r="E40" s="19" t="str">
        <f>'Command register base=0x0'!E78</f>
        <v>RW</v>
      </c>
      <c r="F40" s="19" t="str">
        <f>'Command register base=0x0'!F78</f>
        <v>0x0</v>
      </c>
      <c r="G40" s="4" t="s">
        <v>514</v>
      </c>
      <c r="H40" s="7" t="s">
        <v>255</v>
      </c>
      <c r="I40">
        <v>0</v>
      </c>
    </row>
    <row r="41" spans="1:9" ht="29.9">
      <c r="A41" s="46" t="str">
        <f>'Command register base=0x0'!A79</f>
        <v>des_opd2_addr</v>
      </c>
      <c r="B41" s="19">
        <f>'Command register base=0x0'!B79</f>
        <v>32</v>
      </c>
      <c r="C41" s="19">
        <f t="shared" si="5"/>
        <v>351</v>
      </c>
      <c r="D41" s="19">
        <f t="shared" si="6"/>
        <v>320</v>
      </c>
      <c r="E41" s="19" t="str">
        <f>'Command register base=0x0'!E79</f>
        <v>RW</v>
      </c>
      <c r="F41" s="19" t="str">
        <f>'Command register base=0x0'!F79</f>
        <v>0x0</v>
      </c>
      <c r="G41" s="4" t="s">
        <v>388</v>
      </c>
      <c r="H41" s="7" t="s">
        <v>255</v>
      </c>
      <c r="I41">
        <v>0</v>
      </c>
    </row>
    <row r="42" spans="1:9" ht="15.65">
      <c r="A42" s="46" t="s">
        <v>746</v>
      </c>
      <c r="B42" s="19">
        <v>32</v>
      </c>
      <c r="C42" s="19">
        <f t="shared" ref="C42" si="8">D42+B42-1</f>
        <v>383</v>
      </c>
      <c r="D42" s="19">
        <f t="shared" si="6"/>
        <v>352</v>
      </c>
      <c r="E42" s="19" t="str">
        <f>'Command register base=0x0'!E80</f>
        <v>RW</v>
      </c>
      <c r="F42" s="19" t="str">
        <f>'Command register base=0x0'!F80</f>
        <v>0x1</v>
      </c>
      <c r="G42" s="4" t="s">
        <v>257</v>
      </c>
      <c r="H42" s="20" t="s">
        <v>258</v>
      </c>
      <c r="I42">
        <v>2</v>
      </c>
    </row>
  </sheetData>
  <customSheetViews>
    <customSheetView guid="{465993EB-2174-44B8-8988-073286CA386F}" topLeftCell="A19">
      <selection activeCell="B18" sqref="B18"/>
      <pageMargins left="0.7" right="0.7" top="0.75" bottom="0.75" header="0.3" footer="0.3"/>
      <pageSetup paperSize="9" orientation="portrait"/>
    </customSheetView>
    <customSheetView guid="{C03D8012-5FAF-4C48-B7E4-56A55E52A74B}" topLeftCell="A19">
      <selection activeCell="B18" sqref="B18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zoomScale="115" zoomScaleNormal="115" workbookViewId="0">
      <selection activeCell="G16" sqref="G16"/>
    </sheetView>
  </sheetViews>
  <sheetFormatPr defaultColWidth="9" defaultRowHeight="15.65"/>
  <cols>
    <col min="1" max="1" width="21.75" customWidth="1"/>
    <col min="2" max="2" width="8.5" customWidth="1"/>
    <col min="3" max="3" width="7.625" customWidth="1"/>
    <col min="4" max="4" width="7.875" customWidth="1"/>
    <col min="5" max="5" width="6.25" customWidth="1"/>
    <col min="6" max="6" width="8.25" customWidth="1"/>
    <col min="7" max="7" width="76" customWidth="1"/>
    <col min="8" max="8" width="55" style="40" customWidth="1"/>
    <col min="10" max="10" width="42.625" customWidth="1"/>
  </cols>
  <sheetData>
    <row r="1" spans="1:10" ht="27.2">
      <c r="A1" s="41" t="s">
        <v>221</v>
      </c>
      <c r="B1" s="42" t="s">
        <v>4</v>
      </c>
      <c r="C1" s="42" t="s">
        <v>5</v>
      </c>
      <c r="D1" s="42" t="s">
        <v>6</v>
      </c>
      <c r="E1" s="42" t="s">
        <v>7</v>
      </c>
      <c r="F1" s="43" t="s">
        <v>8</v>
      </c>
      <c r="G1" s="44" t="s">
        <v>9</v>
      </c>
      <c r="H1" s="45" t="s">
        <v>480</v>
      </c>
      <c r="I1" s="55" t="s">
        <v>481</v>
      </c>
    </row>
    <row r="2" spans="1:10">
      <c r="A2" s="46" t="str">
        <f>'Command register base=0x0'!A2</f>
        <v>des_cmd_short</v>
      </c>
      <c r="B2" s="19">
        <f>'Command register base=0x0'!B2</f>
        <v>1</v>
      </c>
      <c r="C2" s="19">
        <f>B2+D2-1</f>
        <v>0</v>
      </c>
      <c r="D2" s="19">
        <f>'Command register base=0x0'!D2</f>
        <v>0</v>
      </c>
      <c r="E2" s="19" t="str">
        <f>'Command register base=0x0'!E2</f>
        <v>RW</v>
      </c>
      <c r="F2" s="19" t="str">
        <f>'Command register base=0x0'!F2</f>
        <v>0x0</v>
      </c>
      <c r="G2" s="2" t="s">
        <v>530</v>
      </c>
      <c r="H2" s="7" t="s">
        <v>255</v>
      </c>
      <c r="I2">
        <v>0</v>
      </c>
      <c r="J2" s="14" t="s">
        <v>411</v>
      </c>
    </row>
    <row r="3" spans="1:10" ht="44.85">
      <c r="A3" s="18" t="s">
        <v>301</v>
      </c>
      <c r="B3" s="19">
        <v>1</v>
      </c>
      <c r="C3" s="19">
        <f>D3+B3-1</f>
        <v>1</v>
      </c>
      <c r="D3" s="19">
        <f>C2+1</f>
        <v>1</v>
      </c>
      <c r="E3" s="18" t="s">
        <v>7</v>
      </c>
      <c r="F3" s="18" t="s">
        <v>236</v>
      </c>
      <c r="G3" s="12" t="s">
        <v>302</v>
      </c>
      <c r="H3" s="6" t="s">
        <v>255</v>
      </c>
      <c r="I3">
        <v>0</v>
      </c>
    </row>
    <row r="4" spans="1:10" ht="44.85">
      <c r="A4" s="18" t="s">
        <v>269</v>
      </c>
      <c r="B4" s="19">
        <v>1</v>
      </c>
      <c r="C4" s="19">
        <f t="shared" ref="C4:C12" si="0">D4+B4-1</f>
        <v>2</v>
      </c>
      <c r="D4" s="19">
        <f t="shared" ref="D4:D12" si="1">C3+1</f>
        <v>2</v>
      </c>
      <c r="E4" s="18" t="s">
        <v>7</v>
      </c>
      <c r="F4" s="18" t="s">
        <v>236</v>
      </c>
      <c r="G4" s="12" t="s">
        <v>436</v>
      </c>
      <c r="H4" s="6" t="s">
        <v>255</v>
      </c>
      <c r="I4">
        <v>0</v>
      </c>
    </row>
    <row r="5" spans="1:10" ht="44.85">
      <c r="A5" s="18" t="s">
        <v>305</v>
      </c>
      <c r="B5" s="19">
        <v>1</v>
      </c>
      <c r="C5" s="19">
        <f t="shared" si="0"/>
        <v>3</v>
      </c>
      <c r="D5" s="19">
        <f t="shared" si="1"/>
        <v>3</v>
      </c>
      <c r="E5" s="18" t="s">
        <v>7</v>
      </c>
      <c r="F5" s="18" t="s">
        <v>236</v>
      </c>
      <c r="G5" s="12" t="s">
        <v>306</v>
      </c>
      <c r="H5" s="6" t="s">
        <v>255</v>
      </c>
      <c r="I5">
        <v>0</v>
      </c>
    </row>
    <row r="6" spans="1:10" ht="44.85">
      <c r="A6" s="18" t="s">
        <v>265</v>
      </c>
      <c r="B6" s="19">
        <v>1</v>
      </c>
      <c r="C6" s="19">
        <f t="shared" si="0"/>
        <v>4</v>
      </c>
      <c r="D6" s="19">
        <f t="shared" si="1"/>
        <v>4</v>
      </c>
      <c r="E6" s="18" t="s">
        <v>7</v>
      </c>
      <c r="F6" s="18" t="s">
        <v>236</v>
      </c>
      <c r="G6" s="12" t="s">
        <v>435</v>
      </c>
      <c r="H6" s="6" t="s">
        <v>255</v>
      </c>
      <c r="I6">
        <v>0</v>
      </c>
    </row>
    <row r="7" spans="1:10" ht="44.85">
      <c r="A7" s="18" t="s">
        <v>245</v>
      </c>
      <c r="B7" s="19">
        <v>1</v>
      </c>
      <c r="C7" s="19">
        <f t="shared" si="0"/>
        <v>5</v>
      </c>
      <c r="D7" s="19">
        <f t="shared" si="1"/>
        <v>5</v>
      </c>
      <c r="E7" s="18" t="s">
        <v>7</v>
      </c>
      <c r="F7" s="18" t="s">
        <v>236</v>
      </c>
      <c r="G7" s="12" t="s">
        <v>432</v>
      </c>
      <c r="H7" s="6" t="s">
        <v>255</v>
      </c>
      <c r="I7">
        <v>0</v>
      </c>
    </row>
    <row r="8" spans="1:10" ht="134.5">
      <c r="A8" s="28" t="s">
        <v>863</v>
      </c>
      <c r="B8" s="29">
        <v>3</v>
      </c>
      <c r="C8" s="29">
        <f t="shared" si="0"/>
        <v>8</v>
      </c>
      <c r="D8" s="29">
        <f t="shared" si="1"/>
        <v>6</v>
      </c>
      <c r="E8" s="28" t="s">
        <v>7</v>
      </c>
      <c r="F8" s="28" t="s">
        <v>888</v>
      </c>
      <c r="G8" s="30" t="s">
        <v>1052</v>
      </c>
      <c r="H8" s="6" t="s">
        <v>255</v>
      </c>
      <c r="I8">
        <v>2</v>
      </c>
    </row>
    <row r="9" spans="1:10" ht="134.5">
      <c r="A9" s="18" t="s">
        <v>281</v>
      </c>
      <c r="B9" s="19">
        <v>3</v>
      </c>
      <c r="C9" s="19">
        <f t="shared" si="0"/>
        <v>11</v>
      </c>
      <c r="D9" s="19">
        <f t="shared" si="1"/>
        <v>9</v>
      </c>
      <c r="E9" s="18" t="s">
        <v>7</v>
      </c>
      <c r="F9" s="18" t="str">
        <f>'Command register base=0x0'!F14</f>
        <v>0x0</v>
      </c>
      <c r="G9" s="4" t="s">
        <v>1045</v>
      </c>
      <c r="H9" s="6" t="s">
        <v>255</v>
      </c>
      <c r="I9">
        <v>0</v>
      </c>
    </row>
    <row r="10" spans="1:10" ht="16.3" thickBot="1">
      <c r="A10" s="47" t="s">
        <v>737</v>
      </c>
      <c r="B10" s="48">
        <v>2</v>
      </c>
      <c r="C10" s="29">
        <f t="shared" si="0"/>
        <v>13</v>
      </c>
      <c r="D10" s="29">
        <f t="shared" si="1"/>
        <v>12</v>
      </c>
      <c r="E10" s="47" t="e">
        <f>#REF!</f>
        <v>#REF!</v>
      </c>
      <c r="F10" s="47" t="e">
        <f>#REF!</f>
        <v>#REF!</v>
      </c>
      <c r="G10" s="30" t="s">
        <v>257</v>
      </c>
      <c r="H10" s="49" t="s">
        <v>258</v>
      </c>
      <c r="I10">
        <v>2</v>
      </c>
    </row>
    <row r="11" spans="1:10" ht="45.55" thickBot="1">
      <c r="A11" s="47" t="s">
        <v>738</v>
      </c>
      <c r="B11" s="48">
        <v>1</v>
      </c>
      <c r="C11" s="29">
        <f t="shared" si="0"/>
        <v>14</v>
      </c>
      <c r="D11" s="29">
        <f t="shared" si="1"/>
        <v>14</v>
      </c>
      <c r="E11" s="47" t="s">
        <v>739</v>
      </c>
      <c r="F11" s="47" t="s">
        <v>740</v>
      </c>
      <c r="G11" s="4" t="s">
        <v>518</v>
      </c>
      <c r="H11" s="7" t="s">
        <v>255</v>
      </c>
      <c r="I11">
        <v>0</v>
      </c>
    </row>
    <row r="12" spans="1:10" ht="30.6" thickBot="1">
      <c r="A12" s="46" t="str">
        <f>'Command register base=0x0'!A3</f>
        <v>des_op_code</v>
      </c>
      <c r="B12" s="19">
        <v>2</v>
      </c>
      <c r="C12" s="29">
        <f t="shared" si="0"/>
        <v>16</v>
      </c>
      <c r="D12" s="29">
        <f t="shared" si="1"/>
        <v>15</v>
      </c>
      <c r="E12" s="19" t="str">
        <f>'Command register base=0x0'!E3</f>
        <v>RW</v>
      </c>
      <c r="F12" s="19" t="str">
        <f>'Command register base=0x0'!F3</f>
        <v>0x0</v>
      </c>
      <c r="G12" s="2" t="s">
        <v>515</v>
      </c>
      <c r="H12" s="7" t="s">
        <v>255</v>
      </c>
      <c r="I12">
        <v>0</v>
      </c>
      <c r="J12" s="7" t="s">
        <v>430</v>
      </c>
    </row>
    <row r="13" spans="1:10" ht="30.6" thickBot="1">
      <c r="A13" s="46" t="str">
        <f>'Command register base=0x0'!A4</f>
        <v>des_cmd_id_dep</v>
      </c>
      <c r="B13" s="19">
        <f>'Command register base=0x0'!B4</f>
        <v>23</v>
      </c>
      <c r="C13" s="19">
        <f t="shared" ref="C13:C36" si="2">B13+D13-1</f>
        <v>39</v>
      </c>
      <c r="D13" s="19">
        <f t="shared" ref="D13:D36" si="3">C12+1</f>
        <v>17</v>
      </c>
      <c r="E13" s="19" t="str">
        <f>'Command register base=0x0'!E4</f>
        <v>RW</v>
      </c>
      <c r="F13" s="19" t="str">
        <f>'Command register base=0x0'!F4</f>
        <v>0x0</v>
      </c>
      <c r="G13" s="2" t="s">
        <v>241</v>
      </c>
      <c r="H13" s="7" t="s">
        <v>255</v>
      </c>
      <c r="I13">
        <v>0</v>
      </c>
      <c r="J13" s="8" t="s">
        <v>410</v>
      </c>
    </row>
    <row r="14" spans="1:10" ht="16.3" thickBot="1">
      <c r="A14" s="46" t="str">
        <f>'Command register base=0x0'!A5</f>
        <v>des_dbg_mode</v>
      </c>
      <c r="B14" s="19">
        <f>'Command register base=0x0'!B5</f>
        <v>1</v>
      </c>
      <c r="C14" s="19">
        <f t="shared" ref="C14:C15" si="4">B14+D14-1</f>
        <v>40</v>
      </c>
      <c r="D14" s="19">
        <f t="shared" ref="D14:D15" si="5">C13+1</f>
        <v>40</v>
      </c>
      <c r="E14" s="19" t="str">
        <f>'Command register base=0x0'!E5</f>
        <v>RW</v>
      </c>
      <c r="F14" s="19" t="str">
        <f>'Command register base=0x0'!F5</f>
        <v>0x0</v>
      </c>
      <c r="G14" s="4" t="s">
        <v>1050</v>
      </c>
      <c r="H14" s="7" t="s">
        <v>255</v>
      </c>
      <c r="I14">
        <v>0</v>
      </c>
      <c r="J14" s="114"/>
    </row>
    <row r="15" spans="1:10" ht="30.6" thickBot="1">
      <c r="A15" s="46" t="str">
        <f>'Command register base=0x0'!A6</f>
        <v>des_tsk_typ</v>
      </c>
      <c r="B15" s="19">
        <f>'Command register base=0x0'!B6</f>
        <v>4</v>
      </c>
      <c r="C15" s="19">
        <f t="shared" si="4"/>
        <v>44</v>
      </c>
      <c r="D15" s="19">
        <f t="shared" si="5"/>
        <v>41</v>
      </c>
      <c r="E15" s="19" t="str">
        <f>'Command register base=0x0'!E6</f>
        <v>RW</v>
      </c>
      <c r="F15" s="19" t="str">
        <f>'Command register base=0x0'!F6</f>
        <v>0x0</v>
      </c>
      <c r="G15" s="2" t="s">
        <v>482</v>
      </c>
      <c r="H15" s="7" t="s">
        <v>255</v>
      </c>
      <c r="I15">
        <v>0</v>
      </c>
    </row>
    <row r="16" spans="1:10" ht="119.55">
      <c r="A16" s="46" t="str">
        <f>'Command register base=0x0'!A7</f>
        <v>des_tsk_eu_typ</v>
      </c>
      <c r="B16" s="19">
        <f>'Command register base=0x0'!B7</f>
        <v>5</v>
      </c>
      <c r="C16" s="19">
        <f t="shared" si="2"/>
        <v>49</v>
      </c>
      <c r="D16" s="19">
        <f t="shared" si="3"/>
        <v>45</v>
      </c>
      <c r="E16" s="19" t="str">
        <f>'Command register base=0x0'!E7</f>
        <v>RW</v>
      </c>
      <c r="F16" s="19" t="str">
        <f>'Command register base=0x0'!F7</f>
        <v>0x0</v>
      </c>
      <c r="G16" s="4" t="s">
        <v>1053</v>
      </c>
      <c r="H16" s="7" t="s">
        <v>255</v>
      </c>
      <c r="I16">
        <v>0</v>
      </c>
    </row>
    <row r="17" spans="1:9" ht="44.85">
      <c r="A17" s="46" t="str">
        <f>'Command register base=0x0'!A20</f>
        <v>des_opt_opd0_sign</v>
      </c>
      <c r="B17" s="19">
        <f>'Command register base=0x0'!B20</f>
        <v>1</v>
      </c>
      <c r="C17" s="19">
        <f t="shared" si="2"/>
        <v>50</v>
      </c>
      <c r="D17" s="19">
        <f t="shared" si="3"/>
        <v>50</v>
      </c>
      <c r="E17" s="19" t="str">
        <f>'Command register base=0x0'!E20</f>
        <v>RW</v>
      </c>
      <c r="F17" s="19" t="str">
        <f>'Command register base=0x0'!F20</f>
        <v>0x0</v>
      </c>
      <c r="G17" s="2" t="s">
        <v>274</v>
      </c>
      <c r="H17" s="7" t="s">
        <v>255</v>
      </c>
      <c r="I17">
        <v>0</v>
      </c>
    </row>
    <row r="18" spans="1:9" ht="44.85">
      <c r="A18" s="46" t="str">
        <f>'Command register base=0x0'!A21</f>
        <v>des_opt_opd1_sign</v>
      </c>
      <c r="B18" s="19">
        <f>'Command register base=0x0'!B21</f>
        <v>1</v>
      </c>
      <c r="C18" s="19">
        <f t="shared" si="2"/>
        <v>51</v>
      </c>
      <c r="D18" s="19">
        <f t="shared" si="3"/>
        <v>51</v>
      </c>
      <c r="E18" s="19" t="str">
        <f>'Command register base=0x0'!E21</f>
        <v>RW</v>
      </c>
      <c r="F18" s="19" t="str">
        <f>'Command register base=0x0'!F21</f>
        <v>0x1</v>
      </c>
      <c r="G18" s="2" t="s">
        <v>517</v>
      </c>
      <c r="H18" s="7" t="s">
        <v>255</v>
      </c>
      <c r="I18">
        <v>0</v>
      </c>
    </row>
    <row r="19" spans="1:9" ht="149.44999999999999">
      <c r="A19" s="46" t="str">
        <f>'Command register base=0x0'!A23</f>
        <v>des_opt_res0_prec</v>
      </c>
      <c r="B19" s="19">
        <f>'Command register base=0x0'!B23</f>
        <v>3</v>
      </c>
      <c r="C19" s="19">
        <f t="shared" si="2"/>
        <v>54</v>
      </c>
      <c r="D19" s="19">
        <f t="shared" si="3"/>
        <v>52</v>
      </c>
      <c r="E19" s="19" t="str">
        <f>'Command register base=0x0'!E23</f>
        <v>RW</v>
      </c>
      <c r="F19" s="19" t="str">
        <f>'Command register base=0x0'!F23</f>
        <v>0x2</v>
      </c>
      <c r="G19" s="2" t="s">
        <v>531</v>
      </c>
      <c r="H19" s="7" t="s">
        <v>255</v>
      </c>
      <c r="I19">
        <v>0</v>
      </c>
    </row>
    <row r="20" spans="1:9" ht="44.85">
      <c r="A20" s="47" t="s">
        <v>252</v>
      </c>
      <c r="B20" s="29">
        <v>1</v>
      </c>
      <c r="C20" s="29">
        <f t="shared" si="2"/>
        <v>55</v>
      </c>
      <c r="D20" s="29">
        <f t="shared" si="3"/>
        <v>55</v>
      </c>
      <c r="E20" s="29" t="str">
        <f>'Command register base=0x0'!E12</f>
        <v>RW</v>
      </c>
      <c r="F20" s="29" t="str">
        <f>'Command register base=0x0'!F12</f>
        <v>0x0</v>
      </c>
      <c r="G20" s="25" t="s">
        <v>478</v>
      </c>
      <c r="H20" s="7" t="s">
        <v>255</v>
      </c>
      <c r="I20">
        <v>0</v>
      </c>
    </row>
    <row r="21" spans="1:9" ht="89.7">
      <c r="A21" s="46" t="s">
        <v>377</v>
      </c>
      <c r="B21" s="19">
        <v>3</v>
      </c>
      <c r="C21" s="19">
        <f t="shared" si="2"/>
        <v>58</v>
      </c>
      <c r="D21" s="19">
        <f t="shared" si="3"/>
        <v>56</v>
      </c>
      <c r="E21" s="19" t="s">
        <v>7</v>
      </c>
      <c r="F21" s="19" t="s">
        <v>236</v>
      </c>
      <c r="G21" s="4" t="s">
        <v>470</v>
      </c>
      <c r="H21" s="7" t="s">
        <v>255</v>
      </c>
      <c r="I21">
        <v>0</v>
      </c>
    </row>
    <row r="22" spans="1:9">
      <c r="A22" s="46" t="str">
        <f>'Command register base=0x0'!A13</f>
        <v>des_pwr_step</v>
      </c>
      <c r="B22" s="19">
        <f>'Command register base=0x0'!B13</f>
        <v>4</v>
      </c>
      <c r="C22" s="19">
        <f t="shared" si="2"/>
        <v>62</v>
      </c>
      <c r="D22" s="19">
        <f t="shared" si="3"/>
        <v>59</v>
      </c>
      <c r="E22" s="19" t="str">
        <f>'Command register base=0x0'!E13</f>
        <v>RW</v>
      </c>
      <c r="F22" s="19" t="str">
        <f>'Command register base=0x0'!F13</f>
        <v>0x0</v>
      </c>
      <c r="G22" s="2" t="s">
        <v>260</v>
      </c>
      <c r="H22" s="7" t="s">
        <v>255</v>
      </c>
      <c r="I22">
        <v>0</v>
      </c>
    </row>
    <row r="23" spans="1:9" ht="44.85">
      <c r="A23" s="46" t="str">
        <f>'Command register base=0x0'!A29</f>
        <v>des_opt_opd2_const</v>
      </c>
      <c r="B23" s="19">
        <f>'Command register base=0x0'!B29</f>
        <v>1</v>
      </c>
      <c r="C23" s="19">
        <f t="shared" si="2"/>
        <v>63</v>
      </c>
      <c r="D23" s="19">
        <f t="shared" si="3"/>
        <v>63</v>
      </c>
      <c r="E23" s="19" t="str">
        <f>'Command register base=0x0'!E29</f>
        <v>RW</v>
      </c>
      <c r="F23" s="19" t="str">
        <f>'Command register base=0x0'!F29</f>
        <v>0x0</v>
      </c>
      <c r="G23" s="2" t="s">
        <v>532</v>
      </c>
      <c r="H23" s="7" t="s">
        <v>255</v>
      </c>
      <c r="I23">
        <v>0</v>
      </c>
    </row>
    <row r="24" spans="1:9">
      <c r="A24" s="46" t="str">
        <f>'Command register base=0x0'!A57</f>
        <v>des_res0_c</v>
      </c>
      <c r="B24" s="19">
        <f>'Command register base=0x0'!B57</f>
        <v>16</v>
      </c>
      <c r="C24" s="19">
        <f t="shared" si="2"/>
        <v>79</v>
      </c>
      <c r="D24" s="19">
        <f t="shared" si="3"/>
        <v>64</v>
      </c>
      <c r="E24" s="19" t="str">
        <f>'Command register base=0x0'!E57</f>
        <v>RW</v>
      </c>
      <c r="F24" s="19" t="str">
        <f>'Command register base=0x0'!F57</f>
        <v>0x1</v>
      </c>
      <c r="G24" s="2" t="s">
        <v>491</v>
      </c>
      <c r="H24" s="7" t="s">
        <v>255</v>
      </c>
      <c r="I24">
        <v>0</v>
      </c>
    </row>
    <row r="25" spans="1:9">
      <c r="A25" s="46" t="str">
        <f>'Command register base=0x0'!A59</f>
        <v>des_res0_w</v>
      </c>
      <c r="B25" s="19">
        <f>'Command register base=0x0'!B59</f>
        <v>16</v>
      </c>
      <c r="C25" s="19">
        <f t="shared" si="2"/>
        <v>95</v>
      </c>
      <c r="D25" s="19">
        <f t="shared" si="3"/>
        <v>80</v>
      </c>
      <c r="E25" s="19" t="str">
        <f>'Command register base=0x0'!E59</f>
        <v>RW</v>
      </c>
      <c r="F25" s="19" t="str">
        <f>'Command register base=0x0'!F59</f>
        <v>0x1</v>
      </c>
      <c r="G25" s="2" t="s">
        <v>493</v>
      </c>
      <c r="H25" s="7" t="s">
        <v>255</v>
      </c>
      <c r="I25">
        <v>0</v>
      </c>
    </row>
    <row r="26" spans="1:9" ht="104.6">
      <c r="A26" s="46" t="str">
        <f>'Command register base=0x0'!A65</f>
        <v>des_opd1_c</v>
      </c>
      <c r="B26" s="19">
        <f>'Command register base=0x0'!B65</f>
        <v>16</v>
      </c>
      <c r="C26" s="19">
        <f t="shared" si="2"/>
        <v>111</v>
      </c>
      <c r="D26" s="19">
        <f t="shared" si="3"/>
        <v>96</v>
      </c>
      <c r="E26" s="19" t="str">
        <f>'Command register base=0x0'!E65</f>
        <v>RW</v>
      </c>
      <c r="F26" s="19" t="str">
        <f>'Command register base=0x0'!F65</f>
        <v>0x1</v>
      </c>
      <c r="G26" s="2" t="s">
        <v>524</v>
      </c>
      <c r="H26" s="7" t="s">
        <v>255</v>
      </c>
      <c r="I26">
        <v>0</v>
      </c>
    </row>
    <row r="27" spans="1:9" ht="104.6">
      <c r="A27" s="46" t="str">
        <f>'Command register base=0x0'!A67</f>
        <v>des_opd1_w</v>
      </c>
      <c r="B27" s="19">
        <f>'Command register base=0x0'!B67</f>
        <v>16</v>
      </c>
      <c r="C27" s="19">
        <f t="shared" si="2"/>
        <v>127</v>
      </c>
      <c r="D27" s="19">
        <f t="shared" si="3"/>
        <v>112</v>
      </c>
      <c r="E27" s="19" t="str">
        <f>'Command register base=0x0'!E67</f>
        <v>RW</v>
      </c>
      <c r="F27" s="19" t="str">
        <f>'Command register base=0x0'!F67</f>
        <v>0x1</v>
      </c>
      <c r="G27" s="2" t="s">
        <v>525</v>
      </c>
      <c r="H27" s="7" t="s">
        <v>255</v>
      </c>
      <c r="I27">
        <v>0</v>
      </c>
    </row>
    <row r="28" spans="1:9" ht="134.5">
      <c r="A28" s="46" t="str">
        <f>'Command register base=0x0'!A24</f>
        <v>des_opt_opd0_prec</v>
      </c>
      <c r="B28" s="19">
        <f>'Command register base=0x0'!B24</f>
        <v>3</v>
      </c>
      <c r="C28" s="19">
        <f t="shared" si="2"/>
        <v>130</v>
      </c>
      <c r="D28" s="19">
        <f t="shared" si="3"/>
        <v>128</v>
      </c>
      <c r="E28" s="19" t="str">
        <f>'Command register base=0x0'!E24</f>
        <v>RW</v>
      </c>
      <c r="F28" s="19" t="str">
        <f>'Command register base=0x0'!F24</f>
        <v>0x2</v>
      </c>
      <c r="G28" s="4" t="s">
        <v>1048</v>
      </c>
      <c r="H28" s="7" t="s">
        <v>255</v>
      </c>
      <c r="I28">
        <v>0</v>
      </c>
    </row>
    <row r="29" spans="1:9" ht="44.85">
      <c r="A29" s="46" t="str">
        <f>'Command register base=0x0'!A27</f>
        <v>des_opt_opd0_const</v>
      </c>
      <c r="B29" s="19">
        <f>'Command register base=0x0'!B27</f>
        <v>1</v>
      </c>
      <c r="C29" s="19">
        <f t="shared" si="2"/>
        <v>131</v>
      </c>
      <c r="D29" s="19">
        <f t="shared" si="3"/>
        <v>131</v>
      </c>
      <c r="E29" s="19" t="str">
        <f>'Command register base=0x0'!E27</f>
        <v>RW</v>
      </c>
      <c r="F29" s="19" t="str">
        <f>'Command register base=0x0'!F27</f>
        <v>0x0</v>
      </c>
      <c r="G29" s="2" t="s">
        <v>285</v>
      </c>
      <c r="H29" s="7" t="s">
        <v>255</v>
      </c>
      <c r="I29">
        <v>0</v>
      </c>
    </row>
    <row r="30" spans="1:9" ht="44.85">
      <c r="A30" s="46" t="str">
        <f>'Command register base=0x0'!A28</f>
        <v>des_opt_opd1_const</v>
      </c>
      <c r="B30" s="19">
        <f>'Command register base=0x0'!B28</f>
        <v>1</v>
      </c>
      <c r="C30" s="19">
        <f t="shared" si="2"/>
        <v>132</v>
      </c>
      <c r="D30" s="19">
        <f t="shared" si="3"/>
        <v>132</v>
      </c>
      <c r="E30" s="19" t="str">
        <f>'Command register base=0x0'!E28</f>
        <v>RW</v>
      </c>
      <c r="F30" s="19" t="str">
        <f>'Command register base=0x0'!F28</f>
        <v>0x0</v>
      </c>
      <c r="G30" s="2" t="s">
        <v>520</v>
      </c>
      <c r="H30" s="7" t="s">
        <v>255</v>
      </c>
      <c r="I30">
        <v>0</v>
      </c>
    </row>
    <row r="31" spans="1:9">
      <c r="A31" s="46" t="s">
        <v>263</v>
      </c>
      <c r="B31" s="19">
        <v>1</v>
      </c>
      <c r="C31" s="19">
        <f t="shared" si="2"/>
        <v>133</v>
      </c>
      <c r="D31" s="19">
        <f t="shared" si="3"/>
        <v>133</v>
      </c>
      <c r="E31" s="19" t="s">
        <v>7</v>
      </c>
      <c r="F31" s="19" t="s">
        <v>236</v>
      </c>
      <c r="G31" s="2" t="s">
        <v>533</v>
      </c>
      <c r="H31" s="7" t="s">
        <v>255</v>
      </c>
      <c r="I31">
        <v>0</v>
      </c>
    </row>
    <row r="32" spans="1:9">
      <c r="A32" s="46" t="str">
        <f>'Command register base=0x0'!A76</f>
        <v>des_res0_addr</v>
      </c>
      <c r="B32" s="19">
        <v>25</v>
      </c>
      <c r="C32" s="19">
        <f t="shared" si="2"/>
        <v>158</v>
      </c>
      <c r="D32" s="19">
        <f t="shared" si="3"/>
        <v>134</v>
      </c>
      <c r="E32" s="19" t="str">
        <f>'Command register base=0x0'!E76</f>
        <v>RW</v>
      </c>
      <c r="F32" s="19" t="str">
        <f>'Command register base=0x0'!F76</f>
        <v>0x0</v>
      </c>
      <c r="G32" s="2" t="s">
        <v>382</v>
      </c>
      <c r="H32" s="7" t="s">
        <v>255</v>
      </c>
      <c r="I32">
        <v>0</v>
      </c>
    </row>
    <row r="33" spans="1:9" ht="29.9">
      <c r="A33" s="46" t="s">
        <v>261</v>
      </c>
      <c r="B33" s="19">
        <v>1</v>
      </c>
      <c r="C33" s="19">
        <f t="shared" si="2"/>
        <v>159</v>
      </c>
      <c r="D33" s="19">
        <f t="shared" si="3"/>
        <v>159</v>
      </c>
      <c r="E33" s="19" t="s">
        <v>7</v>
      </c>
      <c r="F33" s="19" t="s">
        <v>236</v>
      </c>
      <c r="G33" s="2" t="s">
        <v>262</v>
      </c>
      <c r="H33" s="7" t="s">
        <v>255</v>
      </c>
      <c r="I33">
        <v>0</v>
      </c>
    </row>
    <row r="34" spans="1:9" ht="29.9">
      <c r="A34" s="46" t="str">
        <f>'Command register base=0x0'!A77</f>
        <v>des_opd0_addr</v>
      </c>
      <c r="B34" s="19">
        <f>'Command register base=0x0'!B77</f>
        <v>32</v>
      </c>
      <c r="C34" s="19">
        <f t="shared" si="2"/>
        <v>191</v>
      </c>
      <c r="D34" s="19">
        <f t="shared" si="3"/>
        <v>160</v>
      </c>
      <c r="E34" s="19" t="str">
        <f>'Command register base=0x0'!E77</f>
        <v>RW</v>
      </c>
      <c r="F34" s="19" t="str">
        <f>'Command register base=0x0'!F77</f>
        <v>0x0</v>
      </c>
      <c r="G34" s="2" t="s">
        <v>384</v>
      </c>
      <c r="H34" s="7" t="s">
        <v>255</v>
      </c>
      <c r="I34">
        <v>0</v>
      </c>
    </row>
    <row r="35" spans="1:9" ht="29.9">
      <c r="A35" s="46" t="str">
        <f>'Command register base=0x0'!A78</f>
        <v>des_opd1_addr</v>
      </c>
      <c r="B35" s="19">
        <f>'Command register base=0x0'!B78</f>
        <v>32</v>
      </c>
      <c r="C35" s="19">
        <f t="shared" si="2"/>
        <v>223</v>
      </c>
      <c r="D35" s="19">
        <f t="shared" si="3"/>
        <v>192</v>
      </c>
      <c r="E35" s="19" t="str">
        <f>'Command register base=0x0'!E78</f>
        <v>RW</v>
      </c>
      <c r="F35" s="19" t="str">
        <f>'Command register base=0x0'!F78</f>
        <v>0x0</v>
      </c>
      <c r="G35" s="2" t="s">
        <v>386</v>
      </c>
      <c r="H35" s="7" t="s">
        <v>255</v>
      </c>
      <c r="I35">
        <v>0</v>
      </c>
    </row>
    <row r="36" spans="1:9" ht="29.9">
      <c r="A36" s="46" t="str">
        <f>'Command register base=0x0'!A79</f>
        <v>des_opd2_addr</v>
      </c>
      <c r="B36" s="19">
        <f>'Command register base=0x0'!B79</f>
        <v>32</v>
      </c>
      <c r="C36" s="19">
        <f t="shared" si="2"/>
        <v>255</v>
      </c>
      <c r="D36" s="19">
        <f t="shared" si="3"/>
        <v>224</v>
      </c>
      <c r="E36" s="19" t="str">
        <f>'Command register base=0x0'!E79</f>
        <v>RW</v>
      </c>
      <c r="F36" s="19" t="str">
        <f>'Command register base=0x0'!F79</f>
        <v>0x0</v>
      </c>
      <c r="G36" s="2" t="s">
        <v>388</v>
      </c>
      <c r="H36" s="7" t="s">
        <v>255</v>
      </c>
      <c r="I36">
        <v>0</v>
      </c>
    </row>
    <row r="37" spans="1:9" ht="14.95">
      <c r="H37" s="50"/>
    </row>
    <row r="38" spans="1:9" ht="14.95">
      <c r="H38" s="50"/>
    </row>
    <row r="39" spans="1:9" ht="14.95">
      <c r="H39" s="50"/>
    </row>
    <row r="40" spans="1:9" ht="14.95">
      <c r="H40" s="50"/>
    </row>
    <row r="41" spans="1:9" ht="14.95">
      <c r="H41" s="50"/>
    </row>
    <row r="43" spans="1:9" ht="12.9">
      <c r="H43"/>
    </row>
    <row r="44" spans="1:9" ht="12.9">
      <c r="H44"/>
    </row>
    <row r="45" spans="1:9">
      <c r="H45" s="38"/>
    </row>
    <row r="46" spans="1:9" ht="12.9">
      <c r="H46"/>
    </row>
    <row r="47" spans="1:9" ht="12.9">
      <c r="H47"/>
    </row>
    <row r="49" spans="8:8" ht="12.9">
      <c r="H49"/>
    </row>
    <row r="50" spans="8:8" ht="12.9">
      <c r="H50"/>
    </row>
    <row r="52" spans="8:8" ht="12.9">
      <c r="H52"/>
    </row>
    <row r="53" spans="8:8" ht="12.9">
      <c r="H53"/>
    </row>
    <row r="55" spans="8:8" ht="12.9">
      <c r="H55"/>
    </row>
    <row r="56" spans="8:8" ht="12.9">
      <c r="H56"/>
    </row>
    <row r="57" spans="8:8" ht="12.9">
      <c r="H57"/>
    </row>
    <row r="58" spans="8:8">
      <c r="H58" s="38"/>
    </row>
    <row r="59" spans="8:8" ht="12.9">
      <c r="H59"/>
    </row>
    <row r="60" spans="8:8" ht="12.9">
      <c r="H60"/>
    </row>
    <row r="61" spans="8:8" ht="12.9">
      <c r="H61"/>
    </row>
  </sheetData>
  <customSheetViews>
    <customSheetView guid="{465993EB-2174-44B8-8988-073286CA386F}" scale="80" topLeftCell="A28">
      <selection activeCell="G44" sqref="G44"/>
      <pageMargins left="0.7" right="0.7" top="0.75" bottom="0.75" header="0.3" footer="0.3"/>
      <pageSetup paperSize="9" orientation="portrait"/>
    </customSheetView>
    <customSheetView guid="{C03D8012-5FAF-4C48-B7E4-56A55E52A74B}" scale="80" topLeftCell="A28">
      <selection activeCell="G44" sqref="G44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topLeftCell="A28" zoomScale="85" zoomScaleNormal="85" workbookViewId="0">
      <selection activeCell="L11" sqref="L11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101.5" customWidth="1"/>
    <col min="8" max="8" width="64.125" customWidth="1"/>
  </cols>
  <sheetData>
    <row r="1" spans="1:9" ht="27.2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189</v>
      </c>
      <c r="I1" s="13" t="s">
        <v>429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50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475</v>
      </c>
      <c r="H2" s="7" t="s">
        <v>255</v>
      </c>
      <c r="I2">
        <v>0</v>
      </c>
    </row>
    <row r="3" spans="1:9" ht="30.6" thickBot="1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515</v>
      </c>
      <c r="H3" s="7" t="s">
        <v>255</v>
      </c>
      <c r="I3">
        <v>0</v>
      </c>
    </row>
    <row r="4" spans="1:9" ht="30.6" thickBot="1">
      <c r="A4" s="18" t="str">
        <f>'Command register base=0x0'!A4</f>
        <v>des_cmd_id_dep</v>
      </c>
      <c r="B4" s="19">
        <f>'Command register base=0x0'!B4</f>
        <v>23</v>
      </c>
      <c r="C4" s="19">
        <f>D4+B4-1</f>
        <v>39</v>
      </c>
      <c r="D4" s="19">
        <f t="shared" ref="D4:D5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ht="16.3" thickBot="1">
      <c r="A5" s="18" t="str">
        <f>'Command register base=0x0'!A5</f>
        <v>des_dbg_mode</v>
      </c>
      <c r="B5" s="19">
        <f>'Command register base=0x0'!B5</f>
        <v>1</v>
      </c>
      <c r="C5" s="19">
        <f>D5+B5-1</f>
        <v>40</v>
      </c>
      <c r="D5" s="19">
        <f t="shared" ref="D5:D6" si="2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1050</v>
      </c>
      <c r="H5" s="7" t="s">
        <v>255</v>
      </c>
      <c r="I5">
        <v>0</v>
      </c>
    </row>
    <row r="6" spans="1:9" ht="30.6" thickBot="1">
      <c r="A6" s="18" t="str">
        <f>'Command register base=0x0'!A6</f>
        <v>des_tsk_typ</v>
      </c>
      <c r="B6" s="19">
        <f>'Command register base=0x0'!B6</f>
        <v>4</v>
      </c>
      <c r="C6" s="19">
        <f>D6+B6-1</f>
        <v>44</v>
      </c>
      <c r="D6" s="19">
        <f t="shared" si="2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600</v>
      </c>
      <c r="H6" s="7" t="s">
        <v>255</v>
      </c>
      <c r="I6">
        <v>0</v>
      </c>
    </row>
    <row r="7" spans="1:9" ht="409.6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1054</v>
      </c>
      <c r="H7" s="7" t="s">
        <v>255</v>
      </c>
      <c r="I7">
        <v>0</v>
      </c>
    </row>
    <row r="8" spans="1:9" ht="44.85">
      <c r="A8" s="18" t="str">
        <f>'Command register base=0x0'!A27</f>
        <v>des_opt_opd0_const</v>
      </c>
      <c r="B8" s="19">
        <f>'Command register base=0x0'!B27</f>
        <v>1</v>
      </c>
      <c r="C8" s="19">
        <f t="shared" si="0"/>
        <v>50</v>
      </c>
      <c r="D8" s="19">
        <f t="shared" si="1"/>
        <v>50</v>
      </c>
      <c r="E8" s="18" t="str">
        <f>'Command register base=0x0'!E27</f>
        <v>RW</v>
      </c>
      <c r="F8" s="18" t="str">
        <f>'Command register base=0x0'!F27</f>
        <v>0x0</v>
      </c>
      <c r="G8" s="4" t="s">
        <v>285</v>
      </c>
      <c r="H8" s="7" t="s">
        <v>255</v>
      </c>
      <c r="I8">
        <v>0</v>
      </c>
    </row>
    <row r="9" spans="1:9" ht="44.85">
      <c r="A9" s="18" t="str">
        <f>'Command register base=0x0'!A28</f>
        <v>des_opt_opd1_const</v>
      </c>
      <c r="B9" s="19">
        <f>'Command register base=0x0'!B28</f>
        <v>1</v>
      </c>
      <c r="C9" s="19">
        <f t="shared" si="0"/>
        <v>51</v>
      </c>
      <c r="D9" s="19">
        <f t="shared" si="1"/>
        <v>51</v>
      </c>
      <c r="E9" s="18" t="str">
        <f>'Command register base=0x0'!E28</f>
        <v>RW</v>
      </c>
      <c r="F9" s="18" t="str">
        <f>'Command register base=0x0'!F28</f>
        <v>0x0</v>
      </c>
      <c r="G9" s="4" t="s">
        <v>287</v>
      </c>
      <c r="H9" s="7" t="s">
        <v>255</v>
      </c>
      <c r="I9">
        <v>0</v>
      </c>
    </row>
    <row r="10" spans="1:9" ht="104.6">
      <c r="A10" s="21" t="str">
        <f>'Command register base=0x0'!A29</f>
        <v>des_opt_opd2_const</v>
      </c>
      <c r="B10" s="22">
        <f>'Command register base=0x0'!B29</f>
        <v>1</v>
      </c>
      <c r="C10" s="19">
        <f t="shared" si="0"/>
        <v>52</v>
      </c>
      <c r="D10" s="19">
        <f t="shared" si="1"/>
        <v>52</v>
      </c>
      <c r="E10" s="21" t="str">
        <f>'Command register base=0x0'!E29</f>
        <v>RW</v>
      </c>
      <c r="F10" s="21" t="str">
        <f>'Command register base=0x0'!F29</f>
        <v>0x0</v>
      </c>
      <c r="G10" s="4" t="s">
        <v>587</v>
      </c>
      <c r="H10" s="7" t="s">
        <v>255</v>
      </c>
      <c r="I10">
        <v>0</v>
      </c>
    </row>
    <row r="11" spans="1:9" ht="134.5">
      <c r="A11" s="18" t="s">
        <v>247</v>
      </c>
      <c r="B11" s="32">
        <v>2</v>
      </c>
      <c r="C11" s="19">
        <f t="shared" si="0"/>
        <v>54</v>
      </c>
      <c r="D11" s="19">
        <f t="shared" si="1"/>
        <v>53</v>
      </c>
      <c r="E11" s="18" t="str">
        <f>'[1]Command register base=0x0'!E13</f>
        <v>RW</v>
      </c>
      <c r="F11" s="18" t="str">
        <f>'[1]Command register base=0x0'!F13</f>
        <v>0x0</v>
      </c>
      <c r="G11" s="4" t="s">
        <v>601</v>
      </c>
      <c r="H11" s="7" t="s">
        <v>255</v>
      </c>
      <c r="I11">
        <v>0</v>
      </c>
    </row>
    <row r="12" spans="1:9" ht="16.3" thickBot="1">
      <c r="A12" s="18" t="s">
        <v>602</v>
      </c>
      <c r="B12" s="32">
        <v>1</v>
      </c>
      <c r="C12" s="19">
        <f t="shared" si="0"/>
        <v>55</v>
      </c>
      <c r="D12" s="19">
        <f t="shared" si="1"/>
        <v>55</v>
      </c>
      <c r="E12" s="18" t="s">
        <v>476</v>
      </c>
      <c r="F12" s="18" t="s">
        <v>477</v>
      </c>
      <c r="G12" s="4" t="s">
        <v>603</v>
      </c>
      <c r="H12" s="7" t="s">
        <v>255</v>
      </c>
    </row>
    <row r="13" spans="1:9" ht="45.55" thickBot="1">
      <c r="A13" s="237" t="s">
        <v>948</v>
      </c>
      <c r="B13" s="238">
        <v>1</v>
      </c>
      <c r="C13" s="239">
        <f t="shared" ref="C13:C14" si="3">D13+B13-1</f>
        <v>56</v>
      </c>
      <c r="D13" s="239">
        <f t="shared" ref="D13:D14" si="4">C12+1</f>
        <v>56</v>
      </c>
      <c r="E13" s="237" t="s">
        <v>476</v>
      </c>
      <c r="F13" s="237" t="s">
        <v>477</v>
      </c>
      <c r="G13" s="240" t="s">
        <v>1055</v>
      </c>
      <c r="H13" s="241" t="s">
        <v>255</v>
      </c>
      <c r="I13" s="242">
        <v>0</v>
      </c>
    </row>
    <row r="14" spans="1:9" ht="16.3" thickBot="1">
      <c r="A14" s="194" t="s">
        <v>256</v>
      </c>
      <c r="B14" s="195">
        <v>2</v>
      </c>
      <c r="C14" s="195">
        <f t="shared" si="3"/>
        <v>58</v>
      </c>
      <c r="D14" s="195">
        <f t="shared" si="4"/>
        <v>57</v>
      </c>
      <c r="E14" s="194" t="s">
        <v>476</v>
      </c>
      <c r="F14" s="194" t="s">
        <v>949</v>
      </c>
      <c r="G14" s="196" t="s">
        <v>1056</v>
      </c>
      <c r="H14" s="20" t="s">
        <v>258</v>
      </c>
      <c r="I14">
        <v>0</v>
      </c>
    </row>
    <row r="15" spans="1:9" ht="15.65">
      <c r="A15" s="18" t="s">
        <v>259</v>
      </c>
      <c r="B15" s="19">
        <f>'Command register base=0x0'!B13</f>
        <v>4</v>
      </c>
      <c r="C15" s="19">
        <f t="shared" si="0"/>
        <v>62</v>
      </c>
      <c r="D15" s="19">
        <f t="shared" si="1"/>
        <v>59</v>
      </c>
      <c r="E15" s="18" t="str">
        <f>'Command register base=0x0'!E13</f>
        <v>RW</v>
      </c>
      <c r="F15" s="18" t="str">
        <f>'Command register base=0x0'!F13</f>
        <v>0x0</v>
      </c>
      <c r="G15" s="4" t="s">
        <v>260</v>
      </c>
      <c r="H15" s="7" t="s">
        <v>255</v>
      </c>
      <c r="I15">
        <v>0</v>
      </c>
    </row>
    <row r="16" spans="1:9" ht="29.9">
      <c r="A16" s="18" t="s">
        <v>261</v>
      </c>
      <c r="B16" s="19">
        <v>1</v>
      </c>
      <c r="C16" s="19">
        <f t="shared" si="0"/>
        <v>63</v>
      </c>
      <c r="D16" s="19">
        <f t="shared" si="1"/>
        <v>63</v>
      </c>
      <c r="E16" s="18" t="s">
        <v>7</v>
      </c>
      <c r="F16" s="18" t="s">
        <v>236</v>
      </c>
      <c r="G16" s="4" t="s">
        <v>262</v>
      </c>
      <c r="H16" s="7" t="s">
        <v>255</v>
      </c>
      <c r="I16">
        <v>0</v>
      </c>
    </row>
    <row r="17" spans="1:9" ht="134.5">
      <c r="A17" s="18" t="str">
        <f>'Command register base=0x0'!A23</f>
        <v>des_opt_res0_prec</v>
      </c>
      <c r="B17" s="19">
        <f>'Command register base=0x0'!B23</f>
        <v>3</v>
      </c>
      <c r="C17" s="19">
        <f t="shared" si="0"/>
        <v>66</v>
      </c>
      <c r="D17" s="19">
        <f t="shared" si="1"/>
        <v>64</v>
      </c>
      <c r="E17" s="18" t="str">
        <f>'Command register base=0x0'!E23</f>
        <v>RW</v>
      </c>
      <c r="F17" s="18" t="str">
        <f>'Command register base=0x0'!F23</f>
        <v>0x2</v>
      </c>
      <c r="G17" s="30" t="s">
        <v>583</v>
      </c>
      <c r="H17" s="7" t="s">
        <v>255</v>
      </c>
      <c r="I17">
        <v>0</v>
      </c>
    </row>
    <row r="18" spans="1:9" ht="134.5">
      <c r="A18" s="18" t="str">
        <f>'Command register base=0x0'!A24</f>
        <v>des_opt_opd0_prec</v>
      </c>
      <c r="B18" s="19">
        <f>'Command register base=0x0'!B24</f>
        <v>3</v>
      </c>
      <c r="C18" s="19">
        <f t="shared" si="0"/>
        <v>69</v>
      </c>
      <c r="D18" s="19">
        <f t="shared" si="1"/>
        <v>67</v>
      </c>
      <c r="E18" s="18" t="str">
        <f>'Command register base=0x0'!E24</f>
        <v>RW</v>
      </c>
      <c r="F18" s="18" t="str">
        <f>'Command register base=0x0'!F24</f>
        <v>0x2</v>
      </c>
      <c r="G18" s="30" t="s">
        <v>584</v>
      </c>
      <c r="H18" s="7" t="s">
        <v>255</v>
      </c>
      <c r="I18">
        <v>0</v>
      </c>
    </row>
    <row r="19" spans="1:9" ht="134.5">
      <c r="A19" s="18" t="str">
        <f>'Command register base=0x0'!A25</f>
        <v>des_opt_opd1_prec</v>
      </c>
      <c r="B19" s="19">
        <f>'Command register base=0x0'!B25</f>
        <v>3</v>
      </c>
      <c r="C19" s="19">
        <f t="shared" si="0"/>
        <v>72</v>
      </c>
      <c r="D19" s="19">
        <f t="shared" si="1"/>
        <v>70</v>
      </c>
      <c r="E19" s="18" t="str">
        <f>'Command register base=0x0'!E25</f>
        <v>RW</v>
      </c>
      <c r="F19" s="18" t="str">
        <f>'Command register base=0x0'!F25</f>
        <v>0x2</v>
      </c>
      <c r="G19" s="30" t="s">
        <v>585</v>
      </c>
      <c r="H19" s="7" t="s">
        <v>255</v>
      </c>
      <c r="I19">
        <v>0</v>
      </c>
    </row>
    <row r="20" spans="1:9" ht="59.8">
      <c r="A20" s="18" t="str">
        <f>'Command register base=0x0'!A26</f>
        <v>des_opt_opd2_prec</v>
      </c>
      <c r="B20" s="19">
        <f>'Command register base=0x0'!B26</f>
        <v>3</v>
      </c>
      <c r="C20" s="19">
        <f t="shared" si="0"/>
        <v>75</v>
      </c>
      <c r="D20" s="19">
        <f t="shared" si="1"/>
        <v>73</v>
      </c>
      <c r="E20" s="18" t="str">
        <f>'Command register base=0x0'!E26</f>
        <v>RW</v>
      </c>
      <c r="F20" s="18" t="str">
        <f>'Command register base=0x0'!F26</f>
        <v>0x2</v>
      </c>
      <c r="G20" s="4" t="s">
        <v>586</v>
      </c>
      <c r="H20" s="7" t="s">
        <v>255</v>
      </c>
      <c r="I20">
        <v>0</v>
      </c>
    </row>
    <row r="21" spans="1:9" ht="44.85">
      <c r="A21" s="18" t="str">
        <f>'Command register base=0x0'!A20</f>
        <v>des_opt_opd0_sign</v>
      </c>
      <c r="B21" s="19">
        <f>'Command register base=0x0'!B20</f>
        <v>1</v>
      </c>
      <c r="C21" s="19">
        <f t="shared" si="0"/>
        <v>76</v>
      </c>
      <c r="D21" s="19">
        <f t="shared" si="1"/>
        <v>76</v>
      </c>
      <c r="E21" s="18" t="str">
        <f>'Command register base=0x0'!E20</f>
        <v>RW</v>
      </c>
      <c r="F21" s="18" t="str">
        <f>'Command register base=0x0'!F20</f>
        <v>0x0</v>
      </c>
      <c r="G21" s="4" t="s">
        <v>581</v>
      </c>
      <c r="H21" s="7" t="s">
        <v>255</v>
      </c>
      <c r="I21">
        <v>0</v>
      </c>
    </row>
    <row r="22" spans="1:9" ht="44.85">
      <c r="A22" s="18" t="str">
        <f>'Command register base=0x0'!A21</f>
        <v>des_opt_opd1_sign</v>
      </c>
      <c r="B22" s="19">
        <f>'Command register base=0x0'!B21</f>
        <v>1</v>
      </c>
      <c r="C22" s="19">
        <f t="shared" si="0"/>
        <v>77</v>
      </c>
      <c r="D22" s="19">
        <f t="shared" si="1"/>
        <v>77</v>
      </c>
      <c r="E22" s="18" t="str">
        <f>'Command register base=0x0'!E21</f>
        <v>RW</v>
      </c>
      <c r="F22" s="18" t="str">
        <f>'Command register base=0x0'!F21</f>
        <v>0x1</v>
      </c>
      <c r="G22" s="4" t="s">
        <v>582</v>
      </c>
      <c r="H22" s="7" t="s">
        <v>255</v>
      </c>
      <c r="I22">
        <v>0</v>
      </c>
    </row>
    <row r="23" spans="1:9" ht="164.4">
      <c r="A23" s="18" t="str">
        <f>'Command register base=0x0'!A30</f>
        <v>des_short_res0_str</v>
      </c>
      <c r="B23" s="19">
        <f>'Command register base=0x0'!B30</f>
        <v>3</v>
      </c>
      <c r="C23" s="19">
        <f t="shared" ref="C23" si="5">D23+B23-1</f>
        <v>80</v>
      </c>
      <c r="D23" s="19">
        <f t="shared" si="1"/>
        <v>78</v>
      </c>
      <c r="E23" s="18" t="str">
        <f>'Command register base=0x0'!E30</f>
        <v>RW</v>
      </c>
      <c r="F23" s="18" t="str">
        <f>'Command register base=0x0'!F30</f>
        <v>0x0</v>
      </c>
      <c r="G23" s="12" t="s">
        <v>588</v>
      </c>
      <c r="H23" s="7"/>
      <c r="I23">
        <v>0</v>
      </c>
    </row>
    <row r="24" spans="1:9" ht="119.55">
      <c r="A24" s="18" t="str">
        <f>'Command register base=0x0'!A31</f>
        <v>des_short_opd0_str</v>
      </c>
      <c r="B24" s="19">
        <f>'Command register base=0x0'!B31</f>
        <v>3</v>
      </c>
      <c r="C24" s="19">
        <f t="shared" si="0"/>
        <v>83</v>
      </c>
      <c r="D24" s="19">
        <f t="shared" si="1"/>
        <v>81</v>
      </c>
      <c r="E24" s="18" t="str">
        <f>'Command register base=0x0'!E31</f>
        <v>RW</v>
      </c>
      <c r="F24" s="18" t="str">
        <f>'Command register base=0x0'!F31</f>
        <v>0x0</v>
      </c>
      <c r="G24" s="12" t="s">
        <v>589</v>
      </c>
      <c r="H24" s="7" t="s">
        <v>255</v>
      </c>
      <c r="I24">
        <v>0</v>
      </c>
    </row>
    <row r="25" spans="1:9" ht="164.4">
      <c r="A25" s="18" t="str">
        <f>'Command register base=0x0'!A32</f>
        <v>des_short_opd1_str</v>
      </c>
      <c r="B25" s="19">
        <f>'Command register base=0x0'!B32</f>
        <v>3</v>
      </c>
      <c r="C25" s="19">
        <f t="shared" si="0"/>
        <v>86</v>
      </c>
      <c r="D25" s="19">
        <f t="shared" si="1"/>
        <v>84</v>
      </c>
      <c r="E25" s="18" t="str">
        <f>'Command register base=0x0'!E32</f>
        <v>RW</v>
      </c>
      <c r="F25" s="18" t="str">
        <f>'Command register base=0x0'!F32</f>
        <v>0x0</v>
      </c>
      <c r="G25" s="12" t="s">
        <v>604</v>
      </c>
      <c r="H25" s="7" t="s">
        <v>255</v>
      </c>
      <c r="I25">
        <v>0</v>
      </c>
    </row>
    <row r="26" spans="1:9" ht="224.15">
      <c r="A26" s="18" t="str">
        <f>'Command register base=0x0'!A74</f>
        <v>des_opd2_n_str</v>
      </c>
      <c r="B26" s="19">
        <v>3</v>
      </c>
      <c r="C26" s="19">
        <f t="shared" si="0"/>
        <v>89</v>
      </c>
      <c r="D26" s="19">
        <f t="shared" si="1"/>
        <v>87</v>
      </c>
      <c r="E26" s="18" t="str">
        <f>'Command register base=0x0'!E74</f>
        <v>RW</v>
      </c>
      <c r="F26" s="18" t="str">
        <f>'Command register base=0x0'!F74</f>
        <v>0x1</v>
      </c>
      <c r="G26" s="4" t="s">
        <v>605</v>
      </c>
      <c r="H26" s="7" t="s">
        <v>255</v>
      </c>
      <c r="I26">
        <v>0</v>
      </c>
    </row>
    <row r="27" spans="1:9" ht="15.65">
      <c r="A27" s="18" t="s">
        <v>734</v>
      </c>
      <c r="B27" s="19">
        <v>6</v>
      </c>
      <c r="C27" s="19">
        <f t="shared" si="0"/>
        <v>95</v>
      </c>
      <c r="D27" s="19">
        <f t="shared" si="1"/>
        <v>90</v>
      </c>
      <c r="E27" s="18" t="s">
        <v>7</v>
      </c>
      <c r="F27" s="18" t="s">
        <v>266</v>
      </c>
      <c r="G27" s="4" t="s">
        <v>257</v>
      </c>
      <c r="H27" s="20" t="s">
        <v>258</v>
      </c>
      <c r="I27">
        <v>0</v>
      </c>
    </row>
    <row r="28" spans="1:9" ht="15.65">
      <c r="A28" s="18" t="str">
        <f>'Command register base=0x0'!A56</f>
        <v>des_res0_n</v>
      </c>
      <c r="B28" s="19">
        <v>16</v>
      </c>
      <c r="C28" s="19">
        <f t="shared" si="0"/>
        <v>111</v>
      </c>
      <c r="D28" s="19">
        <f t="shared" si="1"/>
        <v>96</v>
      </c>
      <c r="E28" s="18" t="str">
        <f>'Command register base=0x0'!E56</f>
        <v>RW</v>
      </c>
      <c r="F28" s="18" t="str">
        <f>'Command register base=0x0'!F56</f>
        <v>0x1</v>
      </c>
      <c r="G28" s="4" t="s">
        <v>590</v>
      </c>
      <c r="H28" s="7" t="s">
        <v>255</v>
      </c>
      <c r="I28">
        <v>0</v>
      </c>
    </row>
    <row r="29" spans="1:9" ht="15.65">
      <c r="A29" s="18" t="str">
        <f>'Command register base=0x0'!A57</f>
        <v>des_res0_c</v>
      </c>
      <c r="B29" s="19">
        <v>16</v>
      </c>
      <c r="C29" s="19">
        <f t="shared" si="0"/>
        <v>127</v>
      </c>
      <c r="D29" s="19">
        <f t="shared" si="1"/>
        <v>112</v>
      </c>
      <c r="E29" s="18" t="str">
        <f>'Command register base=0x0'!E57</f>
        <v>RW</v>
      </c>
      <c r="F29" s="18" t="str">
        <f>'Command register base=0x0'!F57</f>
        <v>0x1</v>
      </c>
      <c r="G29" s="4" t="s">
        <v>491</v>
      </c>
      <c r="H29" s="7" t="s">
        <v>255</v>
      </c>
      <c r="I29">
        <v>0</v>
      </c>
    </row>
    <row r="30" spans="1:9" ht="15.65">
      <c r="A30" s="18" t="str">
        <f>'Command register base=0x0'!A58</f>
        <v>des_res0_h</v>
      </c>
      <c r="B30" s="19">
        <v>16</v>
      </c>
      <c r="C30" s="19">
        <f t="shared" si="0"/>
        <v>143</v>
      </c>
      <c r="D30" s="19">
        <f t="shared" si="1"/>
        <v>128</v>
      </c>
      <c r="E30" s="18" t="str">
        <f>'Command register base=0x0'!E58</f>
        <v>RW</v>
      </c>
      <c r="F30" s="18" t="str">
        <f>'Command register base=0x0'!F58</f>
        <v>0x1</v>
      </c>
      <c r="G30" s="4" t="s">
        <v>492</v>
      </c>
      <c r="H30" s="7" t="s">
        <v>255</v>
      </c>
      <c r="I30">
        <v>0</v>
      </c>
    </row>
    <row r="31" spans="1:9" ht="15.65">
      <c r="A31" s="18" t="str">
        <f>'Command register base=0x0'!A59</f>
        <v>des_res0_w</v>
      </c>
      <c r="B31" s="19">
        <v>16</v>
      </c>
      <c r="C31" s="19">
        <f t="shared" si="0"/>
        <v>159</v>
      </c>
      <c r="D31" s="19">
        <f t="shared" si="1"/>
        <v>144</v>
      </c>
      <c r="E31" s="18" t="str">
        <f>'Command register base=0x0'!E59</f>
        <v>RW</v>
      </c>
      <c r="F31" s="18" t="str">
        <f>'Command register base=0x0'!F59</f>
        <v>0x1</v>
      </c>
      <c r="G31" s="4" t="s">
        <v>493</v>
      </c>
      <c r="H31" s="7" t="s">
        <v>255</v>
      </c>
      <c r="I31">
        <v>0</v>
      </c>
    </row>
    <row r="32" spans="1:9" ht="15.65">
      <c r="A32" s="18" t="str">
        <f>'Command register base=0x0'!A76</f>
        <v>des_res0_addr</v>
      </c>
      <c r="B32" s="19">
        <v>32</v>
      </c>
      <c r="C32" s="19">
        <f t="shared" si="0"/>
        <v>191</v>
      </c>
      <c r="D32" s="19">
        <f t="shared" si="1"/>
        <v>160</v>
      </c>
      <c r="E32" s="18" t="str">
        <f>'Command register base=0x0'!E76</f>
        <v>RW</v>
      </c>
      <c r="F32" s="18" t="str">
        <f>'Command register base=0x0'!F76</f>
        <v>0x0</v>
      </c>
      <c r="G32" s="4" t="s">
        <v>382</v>
      </c>
      <c r="H32" s="7" t="s">
        <v>255</v>
      </c>
      <c r="I32">
        <v>0</v>
      </c>
    </row>
    <row r="33" spans="1:9" ht="29.9">
      <c r="A33" s="18" t="str">
        <f>'Command register base=0x0'!A77</f>
        <v>des_opd0_addr</v>
      </c>
      <c r="B33" s="19">
        <f>'Command register base=0x0'!B77</f>
        <v>32</v>
      </c>
      <c r="C33" s="19">
        <f t="shared" si="0"/>
        <v>223</v>
      </c>
      <c r="D33" s="19">
        <f t="shared" si="1"/>
        <v>192</v>
      </c>
      <c r="E33" s="18" t="str">
        <f>'Command register base=0x0'!E77</f>
        <v>RW</v>
      </c>
      <c r="F33" s="18" t="str">
        <f>'Command register base=0x0'!F77</f>
        <v>0x0</v>
      </c>
      <c r="G33" s="4" t="s">
        <v>384</v>
      </c>
      <c r="H33" s="7" t="s">
        <v>255</v>
      </c>
      <c r="I33">
        <v>0</v>
      </c>
    </row>
    <row r="34" spans="1:9" ht="29.9">
      <c r="A34" s="18" t="str">
        <f>'Command register base=0x0'!A78</f>
        <v>des_opd1_addr</v>
      </c>
      <c r="B34" s="19">
        <f>'Command register base=0x0'!B78</f>
        <v>32</v>
      </c>
      <c r="C34" s="19">
        <f t="shared" si="0"/>
        <v>255</v>
      </c>
      <c r="D34" s="19">
        <f t="shared" si="1"/>
        <v>224</v>
      </c>
      <c r="E34" s="18" t="str">
        <f>'Command register base=0x0'!E78</f>
        <v>RW</v>
      </c>
      <c r="F34" s="18" t="str">
        <f>'Command register base=0x0'!F78</f>
        <v>0x0</v>
      </c>
      <c r="G34" s="4" t="s">
        <v>386</v>
      </c>
      <c r="H34" s="7" t="s">
        <v>255</v>
      </c>
      <c r="I34">
        <v>0</v>
      </c>
    </row>
    <row r="35" spans="1:9" ht="59.8">
      <c r="A35" s="21" t="str">
        <f>'Command register base=0x0'!A79</f>
        <v>des_opd2_addr</v>
      </c>
      <c r="B35" s="22">
        <f>'Command register base=0x0'!B79</f>
        <v>32</v>
      </c>
      <c r="C35" s="19">
        <f t="shared" si="0"/>
        <v>287</v>
      </c>
      <c r="D35" s="19">
        <f t="shared" si="1"/>
        <v>256</v>
      </c>
      <c r="E35" s="21" t="str">
        <f>'Command register base=0x0'!E79</f>
        <v>RW</v>
      </c>
      <c r="F35" s="21" t="str">
        <f>'Command register base=0x0'!F79</f>
        <v>0x0</v>
      </c>
      <c r="G35" s="4" t="s">
        <v>595</v>
      </c>
      <c r="H35" s="7" t="s">
        <v>255</v>
      </c>
      <c r="I35">
        <v>0</v>
      </c>
    </row>
    <row r="36" spans="1:9" ht="16.3">
      <c r="A36" s="197" t="str">
        <f>'Command register base=0x0'!A68</f>
        <v>des_res0_n_str</v>
      </c>
      <c r="B36" s="19">
        <v>16</v>
      </c>
      <c r="C36" s="19">
        <f t="shared" ref="C36:C37" si="6">D36+B36-1</f>
        <v>303</v>
      </c>
      <c r="D36" s="19">
        <f t="shared" si="1"/>
        <v>288</v>
      </c>
      <c r="E36" s="18" t="str">
        <f>'Command register base=0x0'!E68</f>
        <v>RW</v>
      </c>
      <c r="F36" s="18" t="str">
        <f>'Command register base=0x0'!F68</f>
        <v>0x1</v>
      </c>
      <c r="G36" s="4" t="s">
        <v>367</v>
      </c>
      <c r="H36" s="7" t="s">
        <v>255</v>
      </c>
      <c r="I36">
        <v>0</v>
      </c>
    </row>
    <row r="37" spans="1:9" ht="16.3">
      <c r="A37" s="197" t="str">
        <f>'Command register base=0x0'!A69</f>
        <v>des_res0_c_str</v>
      </c>
      <c r="B37" s="19">
        <v>16</v>
      </c>
      <c r="C37" s="19">
        <f t="shared" si="6"/>
        <v>319</v>
      </c>
      <c r="D37" s="19">
        <f t="shared" si="1"/>
        <v>304</v>
      </c>
      <c r="E37" s="18" t="str">
        <f>'Command register base=0x0'!E69</f>
        <v>RW</v>
      </c>
      <c r="F37" s="18" t="str">
        <f>'Command register base=0x0'!F69</f>
        <v>0x1</v>
      </c>
      <c r="G37" s="4" t="s">
        <v>369</v>
      </c>
      <c r="H37" s="7" t="s">
        <v>255</v>
      </c>
      <c r="I37">
        <v>0</v>
      </c>
    </row>
    <row r="38" spans="1:9" ht="16.3">
      <c r="A38" s="197" t="str">
        <f>'Command register base=0x0'!A70</f>
        <v>des_opd0_n_str</v>
      </c>
      <c r="B38" s="19">
        <v>16</v>
      </c>
      <c r="C38" s="19">
        <f t="shared" si="0"/>
        <v>335</v>
      </c>
      <c r="D38" s="19">
        <f t="shared" si="1"/>
        <v>320</v>
      </c>
      <c r="E38" s="18" t="str">
        <f>'Command register base=0x0'!E70</f>
        <v>RW</v>
      </c>
      <c r="F38" s="18" t="str">
        <f>'Command register base=0x0'!F70</f>
        <v>0x1</v>
      </c>
      <c r="G38" s="4" t="s">
        <v>371</v>
      </c>
      <c r="H38" s="7" t="s">
        <v>255</v>
      </c>
      <c r="I38">
        <v>0</v>
      </c>
    </row>
    <row r="39" spans="1:9" ht="16.3">
      <c r="A39" s="197" t="str">
        <f>'Command register base=0x0'!A71</f>
        <v>des_opd0_c_str</v>
      </c>
      <c r="B39" s="19">
        <v>16</v>
      </c>
      <c r="C39" s="19">
        <f t="shared" si="0"/>
        <v>351</v>
      </c>
      <c r="D39" s="19">
        <f t="shared" si="1"/>
        <v>336</v>
      </c>
      <c r="E39" s="18" t="str">
        <f>'Command register base=0x0'!E71</f>
        <v>RW</v>
      </c>
      <c r="F39" s="18" t="str">
        <f>'Command register base=0x0'!F71</f>
        <v>0x1</v>
      </c>
      <c r="G39" s="4" t="s">
        <v>373</v>
      </c>
      <c r="H39" s="7" t="s">
        <v>255</v>
      </c>
      <c r="I39">
        <v>0</v>
      </c>
    </row>
    <row r="40" spans="1:9" ht="16.3">
      <c r="A40" s="197" t="str">
        <f>'Command register base=0x0'!A72</f>
        <v>des_opd1_n_str</v>
      </c>
      <c r="B40" s="19">
        <v>16</v>
      </c>
      <c r="C40" s="19">
        <f t="shared" si="0"/>
        <v>367</v>
      </c>
      <c r="D40" s="19">
        <f t="shared" si="1"/>
        <v>352</v>
      </c>
      <c r="E40" s="18" t="str">
        <f>'Command register base=0x0'!E72</f>
        <v>RW</v>
      </c>
      <c r="F40" s="18" t="str">
        <f>'Command register base=0x0'!F72</f>
        <v>0x1</v>
      </c>
      <c r="G40" s="4" t="s">
        <v>375</v>
      </c>
      <c r="H40" s="7" t="s">
        <v>255</v>
      </c>
      <c r="I40">
        <v>0</v>
      </c>
    </row>
    <row r="41" spans="1:9" ht="16.3">
      <c r="A41" s="197" t="str">
        <f>'Command register base=0x0'!A73</f>
        <v>des_opd1_c_str</v>
      </c>
      <c r="B41" s="19">
        <v>16</v>
      </c>
      <c r="C41" s="19">
        <f t="shared" si="0"/>
        <v>383</v>
      </c>
      <c r="D41" s="19">
        <f t="shared" si="1"/>
        <v>368</v>
      </c>
      <c r="E41" s="18" t="str">
        <f>'Command register base=0x0'!E73</f>
        <v>RW</v>
      </c>
      <c r="F41" s="18" t="str">
        <f>'Command register base=0x0'!F73</f>
        <v>0x1</v>
      </c>
      <c r="G41" s="4" t="s">
        <v>1195</v>
      </c>
      <c r="H41" s="7" t="s">
        <v>255</v>
      </c>
      <c r="I41">
        <v>0</v>
      </c>
    </row>
    <row r="42" spans="1:9" ht="29.9">
      <c r="A42" s="198" t="str">
        <f>'Command register base=0x0'!A80</f>
        <v>des_res0_h_str</v>
      </c>
      <c r="B42" s="19">
        <v>20</v>
      </c>
      <c r="C42" s="19">
        <f t="shared" ref="C42:C43" si="7">D42+B42-1</f>
        <v>403</v>
      </c>
      <c r="D42" s="19">
        <f t="shared" si="1"/>
        <v>384</v>
      </c>
      <c r="E42" s="18" t="str">
        <f>'Command register base=0x0'!E80</f>
        <v>RW</v>
      </c>
      <c r="F42" s="18" t="str">
        <f>'Command register base=0x0'!F80</f>
        <v>0x1</v>
      </c>
      <c r="G42" s="4" t="s">
        <v>1196</v>
      </c>
      <c r="H42" s="7" t="s">
        <v>255</v>
      </c>
      <c r="I42">
        <v>0</v>
      </c>
    </row>
    <row r="43" spans="1:9" ht="29.9">
      <c r="A43" s="198" t="str">
        <f>'Command register base=0x0'!A81</f>
        <v>des_res0_w_str</v>
      </c>
      <c r="B43" s="19">
        <v>20</v>
      </c>
      <c r="C43" s="19">
        <f t="shared" si="7"/>
        <v>423</v>
      </c>
      <c r="D43" s="19">
        <f t="shared" si="1"/>
        <v>404</v>
      </c>
      <c r="E43" s="18" t="str">
        <f>'Command register base=0x0'!E81</f>
        <v>RW</v>
      </c>
      <c r="F43" s="18" t="str">
        <f>'Command register base=0x0'!F81</f>
        <v>0x1</v>
      </c>
      <c r="G43" s="4" t="s">
        <v>1197</v>
      </c>
      <c r="H43" s="7" t="s">
        <v>255</v>
      </c>
      <c r="I43">
        <v>0</v>
      </c>
    </row>
    <row r="44" spans="1:9" ht="29.9">
      <c r="A44" s="198" t="str">
        <f>'Command register base=0x0'!A82</f>
        <v>des_opd0_h_str</v>
      </c>
      <c r="B44" s="19">
        <v>20</v>
      </c>
      <c r="C44" s="19">
        <f t="shared" si="0"/>
        <v>443</v>
      </c>
      <c r="D44" s="19">
        <f t="shared" si="1"/>
        <v>424</v>
      </c>
      <c r="E44" s="18" t="str">
        <f>'Command register base=0x0'!E82</f>
        <v>RW</v>
      </c>
      <c r="F44" s="18" t="str">
        <f>'Command register base=0x0'!F82</f>
        <v>0x1</v>
      </c>
      <c r="G44" s="4" t="s">
        <v>1198</v>
      </c>
      <c r="H44" s="7" t="s">
        <v>255</v>
      </c>
      <c r="I44">
        <v>0</v>
      </c>
    </row>
    <row r="45" spans="1:9" ht="15.65">
      <c r="A45" s="18" t="s">
        <v>277</v>
      </c>
      <c r="B45" s="19">
        <v>1</v>
      </c>
      <c r="C45" s="19">
        <f t="shared" si="0"/>
        <v>444</v>
      </c>
      <c r="D45" s="19">
        <f t="shared" si="1"/>
        <v>444</v>
      </c>
      <c r="E45" s="18" t="s">
        <v>7</v>
      </c>
      <c r="F45" s="18" t="s">
        <v>266</v>
      </c>
      <c r="G45" s="4" t="s">
        <v>606</v>
      </c>
      <c r="H45" s="7" t="s">
        <v>255</v>
      </c>
      <c r="I45">
        <v>0</v>
      </c>
    </row>
    <row r="46" spans="1:9" ht="15.65">
      <c r="A46" s="18" t="s">
        <v>735</v>
      </c>
      <c r="B46" s="19">
        <v>3</v>
      </c>
      <c r="C46" s="19">
        <f t="shared" si="0"/>
        <v>447</v>
      </c>
      <c r="D46" s="19">
        <f t="shared" si="1"/>
        <v>445</v>
      </c>
      <c r="E46" s="18" t="s">
        <v>7</v>
      </c>
      <c r="F46" s="18" t="s">
        <v>266</v>
      </c>
      <c r="G46" s="4" t="s">
        <v>257</v>
      </c>
      <c r="H46" s="20" t="s">
        <v>258</v>
      </c>
      <c r="I46">
        <v>0</v>
      </c>
    </row>
    <row r="47" spans="1:9" ht="29.9">
      <c r="A47" s="198" t="str">
        <f>'Command register base=0x0'!A83</f>
        <v>des_opd0_w_str</v>
      </c>
      <c r="B47" s="19">
        <v>20</v>
      </c>
      <c r="C47" s="19">
        <f t="shared" si="0"/>
        <v>467</v>
      </c>
      <c r="D47" s="19">
        <f t="shared" si="1"/>
        <v>448</v>
      </c>
      <c r="E47" s="18" t="str">
        <f>'Command register base=0x0'!E83</f>
        <v>RW</v>
      </c>
      <c r="F47" s="18" t="str">
        <f>'Command register base=0x0'!F83</f>
        <v>0x1</v>
      </c>
      <c r="G47" s="4" t="s">
        <v>1199</v>
      </c>
      <c r="H47" s="7" t="s">
        <v>255</v>
      </c>
      <c r="I47">
        <v>0</v>
      </c>
    </row>
    <row r="48" spans="1:9" ht="30.25" customHeight="1">
      <c r="A48" s="198" t="str">
        <f>'Command register base=0x0'!A84</f>
        <v>des_opd1_h_str</v>
      </c>
      <c r="B48" s="19">
        <v>20</v>
      </c>
      <c r="C48" s="19">
        <f t="shared" si="0"/>
        <v>487</v>
      </c>
      <c r="D48" s="19">
        <f t="shared" si="1"/>
        <v>468</v>
      </c>
      <c r="E48" s="18" t="str">
        <f>'Command register base=0x0'!E84</f>
        <v>RW</v>
      </c>
      <c r="F48" s="18" t="str">
        <f>'Command register base=0x0'!F84</f>
        <v>0x1</v>
      </c>
      <c r="G48" s="4" t="s">
        <v>1200</v>
      </c>
      <c r="H48" s="7" t="s">
        <v>255</v>
      </c>
      <c r="I48">
        <v>0</v>
      </c>
    </row>
    <row r="49" spans="1:9" ht="30.25" customHeight="1">
      <c r="A49" s="198" t="str">
        <f>'Command register base=0x0'!A85</f>
        <v>des_opd1_w_str</v>
      </c>
      <c r="B49" s="19">
        <v>20</v>
      </c>
      <c r="C49" s="19">
        <f t="shared" si="0"/>
        <v>507</v>
      </c>
      <c r="D49" s="19">
        <f t="shared" si="1"/>
        <v>488</v>
      </c>
      <c r="E49" s="18" t="str">
        <f>'Command register base=0x0'!E85</f>
        <v>RW</v>
      </c>
      <c r="F49" s="18" t="str">
        <f>'Command register base=0x0'!F85</f>
        <v>0x1</v>
      </c>
      <c r="G49" s="4" t="s">
        <v>1201</v>
      </c>
      <c r="H49" s="7" t="s">
        <v>255</v>
      </c>
      <c r="I49">
        <v>0</v>
      </c>
    </row>
    <row r="50" spans="1:9" ht="15.65">
      <c r="A50" s="18" t="s">
        <v>736</v>
      </c>
      <c r="B50" s="19">
        <v>4</v>
      </c>
      <c r="C50" s="19">
        <f t="shared" si="0"/>
        <v>511</v>
      </c>
      <c r="D50" s="19">
        <f t="shared" si="1"/>
        <v>508</v>
      </c>
      <c r="E50" s="18" t="s">
        <v>7</v>
      </c>
      <c r="F50" s="18" t="s">
        <v>266</v>
      </c>
      <c r="G50" s="4" t="s">
        <v>257</v>
      </c>
      <c r="H50" s="20" t="s">
        <v>258</v>
      </c>
      <c r="I50">
        <v>0</v>
      </c>
    </row>
  </sheetData>
  <customSheetViews>
    <customSheetView guid="{465993EB-2174-44B8-8988-073286CA386F}" topLeftCell="A16">
      <selection activeCell="G16" sqref="G16"/>
      <pageMargins left="0.7" right="0.7" top="0.75" bottom="0.75" header="0.3" footer="0.3"/>
    </customSheetView>
    <customSheetView guid="{C03D8012-5FAF-4C48-B7E4-56A55E52A74B}" topLeftCell="A16">
      <selection activeCell="G16" sqref="G16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opLeftCell="A19" zoomScale="85" zoomScaleNormal="85" workbookViewId="0">
      <selection activeCell="G22" sqref="G1:G1048576"/>
    </sheetView>
  </sheetViews>
  <sheetFormatPr defaultColWidth="9" defaultRowHeight="12.9"/>
  <cols>
    <col min="1" max="1" width="20" customWidth="1"/>
    <col min="2" max="2" width="8.125" customWidth="1"/>
    <col min="3" max="4" width="7.875" customWidth="1"/>
    <col min="5" max="5" width="4.875" customWidth="1"/>
    <col min="6" max="6" width="8.5" customWidth="1"/>
    <col min="7" max="7" width="75.75" customWidth="1"/>
    <col min="8" max="8" width="20" customWidth="1"/>
  </cols>
  <sheetData>
    <row r="1" spans="1:9" ht="81.5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" t="s">
        <v>9</v>
      </c>
      <c r="H1" s="11" t="s">
        <v>625</v>
      </c>
      <c r="I1" s="11" t="s">
        <v>429</v>
      </c>
    </row>
    <row r="2" spans="1:9" ht="14.95">
      <c r="A2" s="4" t="str">
        <f>'Command register base=0x0'!A2</f>
        <v>des_cmd_short</v>
      </c>
      <c r="B2" s="2">
        <f>'Command register base=0x0'!B2</f>
        <v>1</v>
      </c>
      <c r="C2" s="2">
        <f t="shared" ref="C2:C26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2" t="s">
        <v>530</v>
      </c>
      <c r="H2" s="6" t="s">
        <v>255</v>
      </c>
      <c r="I2">
        <v>0</v>
      </c>
    </row>
    <row r="3" spans="1:9" ht="15.65">
      <c r="A3" s="18" t="s">
        <v>301</v>
      </c>
      <c r="B3" s="19">
        <v>1</v>
      </c>
      <c r="C3" s="19">
        <f t="shared" si="0"/>
        <v>1</v>
      </c>
      <c r="D3" s="19">
        <f>C2+1</f>
        <v>1</v>
      </c>
      <c r="E3" s="18" t="s">
        <v>7</v>
      </c>
      <c r="F3" s="18" t="s">
        <v>236</v>
      </c>
      <c r="G3" s="24" t="s">
        <v>614</v>
      </c>
      <c r="H3" s="6" t="s">
        <v>255</v>
      </c>
      <c r="I3">
        <v>0</v>
      </c>
    </row>
    <row r="4" spans="1:9" ht="29.9">
      <c r="A4" s="4" t="str">
        <f>'Command register base=0x0'!A3</f>
        <v>des_op_code</v>
      </c>
      <c r="B4" s="2">
        <v>15</v>
      </c>
      <c r="C4" s="2">
        <f t="shared" si="0"/>
        <v>16</v>
      </c>
      <c r="D4" s="19">
        <f>C3+1</f>
        <v>2</v>
      </c>
      <c r="E4" s="4" t="str">
        <f>'Command register base=0x0'!E3</f>
        <v>RW</v>
      </c>
      <c r="F4" s="4" t="str">
        <f>'Command register base=0x0'!F3</f>
        <v>0x0</v>
      </c>
      <c r="G4" s="2" t="s">
        <v>515</v>
      </c>
      <c r="H4" s="6" t="s">
        <v>255</v>
      </c>
      <c r="I4">
        <v>0</v>
      </c>
    </row>
    <row r="5" spans="1:9" ht="30.6" thickBot="1">
      <c r="A5" s="4" t="str">
        <f>'Command register base=0x0'!A4</f>
        <v>des_cmd_id_dep</v>
      </c>
      <c r="B5" s="2">
        <f>'Command register base=0x0'!B4</f>
        <v>23</v>
      </c>
      <c r="C5" s="2">
        <f t="shared" si="0"/>
        <v>39</v>
      </c>
      <c r="D5" s="2">
        <f t="shared" ref="D5:D26" si="1">C4+1</f>
        <v>17</v>
      </c>
      <c r="E5" s="4" t="str">
        <f>'Command register base=0x0'!E4</f>
        <v>RW</v>
      </c>
      <c r="F5" s="4" t="str">
        <f>'Command register base=0x0'!F4</f>
        <v>0x0</v>
      </c>
      <c r="G5" s="2" t="s">
        <v>241</v>
      </c>
      <c r="H5" s="6" t="s">
        <v>255</v>
      </c>
      <c r="I5">
        <v>0</v>
      </c>
    </row>
    <row r="6" spans="1:9" ht="15.65" thickBot="1">
      <c r="A6" s="4" t="str">
        <f>'Command register base=0x0'!A5</f>
        <v>des_dbg_mode</v>
      </c>
      <c r="B6" s="2">
        <f>'Command register base=0x0'!B5</f>
        <v>1</v>
      </c>
      <c r="C6" s="2">
        <f t="shared" ref="C6:C7" si="2">D6+B6-1</f>
        <v>40</v>
      </c>
      <c r="D6" s="2">
        <f t="shared" ref="D6:D7" si="3">C5+1</f>
        <v>40</v>
      </c>
      <c r="E6" s="4" t="str">
        <f>'Command register base=0x0'!E5</f>
        <v>RW</v>
      </c>
      <c r="F6" s="4" t="str">
        <f>'Command register base=0x0'!F5</f>
        <v>0x0</v>
      </c>
      <c r="G6" s="4" t="s">
        <v>1050</v>
      </c>
      <c r="H6" s="6" t="s">
        <v>255</v>
      </c>
      <c r="I6">
        <v>0</v>
      </c>
    </row>
    <row r="7" spans="1:9" ht="30.6" thickBot="1">
      <c r="A7" s="4" t="str">
        <f>'Command register base=0x0'!A6</f>
        <v>des_tsk_typ</v>
      </c>
      <c r="B7" s="2">
        <f>'Command register base=0x0'!B6</f>
        <v>4</v>
      </c>
      <c r="C7" s="2">
        <f t="shared" si="2"/>
        <v>44</v>
      </c>
      <c r="D7" s="2">
        <f t="shared" si="3"/>
        <v>41</v>
      </c>
      <c r="E7" s="4" t="str">
        <f>'Command register base=0x0'!E6</f>
        <v>RW</v>
      </c>
      <c r="F7" s="4" t="str">
        <f>'Command register base=0x0'!F6</f>
        <v>0x0</v>
      </c>
      <c r="G7" s="2" t="s">
        <v>634</v>
      </c>
      <c r="H7" s="6" t="s">
        <v>255</v>
      </c>
      <c r="I7">
        <v>0</v>
      </c>
    </row>
    <row r="8" spans="1:9" ht="89.7">
      <c r="A8" s="4" t="str">
        <f>'Command register base=0x0'!A7</f>
        <v>des_tsk_eu_typ</v>
      </c>
      <c r="B8" s="2">
        <f>'Command register base=0x0'!B7</f>
        <v>5</v>
      </c>
      <c r="C8" s="2">
        <f t="shared" si="0"/>
        <v>49</v>
      </c>
      <c r="D8" s="2">
        <f t="shared" si="1"/>
        <v>45</v>
      </c>
      <c r="E8" s="4" t="str">
        <f>'Command register base=0x0'!E7</f>
        <v>RW</v>
      </c>
      <c r="F8" s="4" t="str">
        <f>'Command register base=0x0'!F7</f>
        <v>0x0</v>
      </c>
      <c r="G8" s="4" t="s">
        <v>626</v>
      </c>
      <c r="H8" s="6" t="s">
        <v>255</v>
      </c>
      <c r="I8">
        <v>0</v>
      </c>
    </row>
    <row r="9" spans="1:9" ht="44.85">
      <c r="A9" s="4" t="str">
        <f>'Command register base=0x0'!A20</f>
        <v>des_opt_opd0_sign</v>
      </c>
      <c r="B9" s="2">
        <f>'Command register base=0x0'!B20</f>
        <v>1</v>
      </c>
      <c r="C9" s="2">
        <f t="shared" si="0"/>
        <v>50</v>
      </c>
      <c r="D9" s="2">
        <f t="shared" si="1"/>
        <v>50</v>
      </c>
      <c r="E9" s="4" t="str">
        <f>'Command register base=0x0'!E20</f>
        <v>RW</v>
      </c>
      <c r="F9" s="4" t="str">
        <f>'Command register base=0x0'!F20</f>
        <v>0x0</v>
      </c>
      <c r="G9" s="2" t="s">
        <v>628</v>
      </c>
      <c r="H9" s="6" t="s">
        <v>255</v>
      </c>
      <c r="I9">
        <v>0</v>
      </c>
    </row>
    <row r="10" spans="1:9" ht="14.95">
      <c r="A10" s="4" t="str">
        <f>'Command register base=0x0'!A22</f>
        <v>des_opt_opd2_sign</v>
      </c>
      <c r="B10" s="2">
        <f>'Command register base=0x0'!B22</f>
        <v>1</v>
      </c>
      <c r="C10" s="2">
        <f t="shared" si="0"/>
        <v>51</v>
      </c>
      <c r="D10" s="2">
        <f t="shared" si="1"/>
        <v>51</v>
      </c>
      <c r="E10" s="4" t="str">
        <f>'Command register base=0x0'!E22</f>
        <v>RW</v>
      </c>
      <c r="F10" s="4" t="str">
        <f>'Command register base=0x0'!F22</f>
        <v>0x1</v>
      </c>
      <c r="G10" s="2" t="s">
        <v>629</v>
      </c>
      <c r="H10" s="6" t="s">
        <v>255</v>
      </c>
      <c r="I10">
        <v>0</v>
      </c>
    </row>
    <row r="11" spans="1:9" ht="179.35">
      <c r="A11" s="4" t="str">
        <f>'Command register base=0x0'!A23</f>
        <v>des_opt_res0_prec</v>
      </c>
      <c r="B11" s="2">
        <f>'Command register base=0x0'!B23</f>
        <v>3</v>
      </c>
      <c r="C11" s="2">
        <f t="shared" si="0"/>
        <v>54</v>
      </c>
      <c r="D11" s="2">
        <f t="shared" si="1"/>
        <v>52</v>
      </c>
      <c r="E11" s="4" t="str">
        <f>'Command register base=0x0'!E23</f>
        <v>RW</v>
      </c>
      <c r="F11" s="4" t="str">
        <f>'Command register base=0x0'!F23</f>
        <v>0x2</v>
      </c>
      <c r="G11" s="133" t="s">
        <v>635</v>
      </c>
      <c r="H11" s="6" t="s">
        <v>255</v>
      </c>
      <c r="I11">
        <v>0</v>
      </c>
    </row>
    <row r="12" spans="1:9" ht="14.95">
      <c r="A12" s="4" t="s">
        <v>256</v>
      </c>
      <c r="B12" s="2">
        <v>4</v>
      </c>
      <c r="C12" s="2">
        <f t="shared" si="0"/>
        <v>58</v>
      </c>
      <c r="D12" s="2">
        <f t="shared" si="1"/>
        <v>55</v>
      </c>
      <c r="E12" s="4" t="str">
        <f>'Command register base=0x0'!E12</f>
        <v>RW</v>
      </c>
      <c r="F12" s="4" t="str">
        <f>'Command register base=0x0'!F12</f>
        <v>0x0</v>
      </c>
      <c r="G12" s="133" t="s">
        <v>257</v>
      </c>
      <c r="H12" s="3" t="s">
        <v>258</v>
      </c>
      <c r="I12">
        <v>2</v>
      </c>
    </row>
    <row r="13" spans="1:9" ht="14.95">
      <c r="A13" s="4" t="s">
        <v>259</v>
      </c>
      <c r="B13" s="2">
        <f>'Command register base=0x0'!B13</f>
        <v>4</v>
      </c>
      <c r="C13" s="2">
        <f t="shared" si="0"/>
        <v>62</v>
      </c>
      <c r="D13" s="2">
        <f t="shared" si="1"/>
        <v>59</v>
      </c>
      <c r="E13" s="4" t="str">
        <f>'Command register base=0x0'!E13</f>
        <v>RW</v>
      </c>
      <c r="F13" s="4" t="str">
        <f>'Command register base=0x0'!F13</f>
        <v>0x0</v>
      </c>
      <c r="G13" s="133" t="s">
        <v>260</v>
      </c>
      <c r="H13" s="6" t="s">
        <v>255</v>
      </c>
      <c r="I13">
        <v>0</v>
      </c>
    </row>
    <row r="14" spans="1:9" ht="29.9">
      <c r="A14" s="4" t="str">
        <f>'Command register base=0x0'!A28</f>
        <v>des_opt_opd1_const</v>
      </c>
      <c r="B14" s="2">
        <f>'Command register base=0x0'!B28</f>
        <v>1</v>
      </c>
      <c r="C14" s="2">
        <f t="shared" si="0"/>
        <v>63</v>
      </c>
      <c r="D14" s="2">
        <f t="shared" si="1"/>
        <v>63</v>
      </c>
      <c r="E14" s="4" t="str">
        <f>'Command register base=0x0'!E28</f>
        <v>RW</v>
      </c>
      <c r="F14" s="4" t="str">
        <f>'Command register base=0x0'!F28</f>
        <v>0x0</v>
      </c>
      <c r="G14" s="133" t="s">
        <v>636</v>
      </c>
      <c r="H14" s="6" t="s">
        <v>255</v>
      </c>
      <c r="I14">
        <v>0</v>
      </c>
    </row>
    <row r="15" spans="1:9" ht="149.44999999999999">
      <c r="A15" s="4" t="str">
        <f>'Command register base=0x0'!A24</f>
        <v>des_opt_opd0_prec</v>
      </c>
      <c r="B15" s="2">
        <f>'Command register base=0x0'!B24</f>
        <v>3</v>
      </c>
      <c r="C15" s="2">
        <f t="shared" si="0"/>
        <v>66</v>
      </c>
      <c r="D15" s="2">
        <f t="shared" si="1"/>
        <v>64</v>
      </c>
      <c r="E15" s="4" t="str">
        <f>'Command register base=0x0'!E24</f>
        <v>RW</v>
      </c>
      <c r="F15" s="4" t="str">
        <f>'Command register base=0x0'!F24</f>
        <v>0x2</v>
      </c>
      <c r="G15" s="133" t="s">
        <v>637</v>
      </c>
      <c r="H15" s="6" t="s">
        <v>255</v>
      </c>
      <c r="I15">
        <v>0</v>
      </c>
    </row>
    <row r="16" spans="1:9" ht="409.1" customHeight="1" thickBot="1">
      <c r="A16" s="4" t="str">
        <f>'Command register base=0x0'!A74</f>
        <v>des_opd2_n_str</v>
      </c>
      <c r="B16" s="2">
        <v>6</v>
      </c>
      <c r="C16" s="2">
        <f t="shared" si="0"/>
        <v>72</v>
      </c>
      <c r="D16" s="2">
        <f t="shared" si="1"/>
        <v>67</v>
      </c>
      <c r="E16" s="4" t="str">
        <f>'Command register base=0x0'!E74</f>
        <v>RW</v>
      </c>
      <c r="F16" s="4" t="str">
        <f>'Command register base=0x0'!F74</f>
        <v>0x1</v>
      </c>
      <c r="G16" s="26" t="s">
        <v>631</v>
      </c>
      <c r="H16" s="6" t="s">
        <v>255</v>
      </c>
      <c r="I16">
        <v>0</v>
      </c>
    </row>
    <row r="17" spans="1:9" ht="15.65" thickBot="1">
      <c r="A17" s="4" t="s">
        <v>730</v>
      </c>
      <c r="B17" s="2">
        <v>1</v>
      </c>
      <c r="C17" s="2">
        <f t="shared" ref="C17:C20" si="4">D17+B17-1</f>
        <v>73</v>
      </c>
      <c r="D17" s="2">
        <f t="shared" si="1"/>
        <v>73</v>
      </c>
      <c r="E17" s="4" t="s">
        <v>7</v>
      </c>
      <c r="F17" s="4" t="s">
        <v>236</v>
      </c>
      <c r="G17" s="2" t="s">
        <v>257</v>
      </c>
      <c r="H17" s="3" t="s">
        <v>258</v>
      </c>
      <c r="I17">
        <v>2</v>
      </c>
    </row>
    <row r="18" spans="1:9" ht="15.65" thickBot="1">
      <c r="A18" s="4" t="str">
        <f>'Command register base=0x0'!A76</f>
        <v>des_res0_addr</v>
      </c>
      <c r="B18" s="2">
        <v>26</v>
      </c>
      <c r="C18" s="2">
        <f t="shared" si="4"/>
        <v>99</v>
      </c>
      <c r="D18" s="2">
        <f t="shared" si="1"/>
        <v>74</v>
      </c>
      <c r="E18" s="4" t="str">
        <f>'Command register base=0x0'!E76</f>
        <v>RW</v>
      </c>
      <c r="F18" s="4" t="str">
        <f>'Command register base=0x0'!F76</f>
        <v>0x0</v>
      </c>
      <c r="G18" s="2" t="s">
        <v>382</v>
      </c>
      <c r="H18" s="6" t="s">
        <v>255</v>
      </c>
      <c r="I18">
        <v>0</v>
      </c>
    </row>
    <row r="19" spans="1:9" ht="14.95">
      <c r="A19" s="4" t="str">
        <f>'Command register base=0x0'!A77</f>
        <v>des_opd0_addr</v>
      </c>
      <c r="B19" s="2">
        <v>27</v>
      </c>
      <c r="C19" s="2">
        <f t="shared" si="4"/>
        <v>126</v>
      </c>
      <c r="D19" s="2">
        <f t="shared" si="1"/>
        <v>100</v>
      </c>
      <c r="E19" s="4" t="str">
        <f>'Command register base=0x0'!E77</f>
        <v>RW</v>
      </c>
      <c r="F19" s="4" t="str">
        <f>'Command register base=0x0'!F77</f>
        <v>0x0</v>
      </c>
      <c r="G19" s="2" t="s">
        <v>471</v>
      </c>
      <c r="H19" s="6" t="s">
        <v>255</v>
      </c>
      <c r="I19">
        <v>0</v>
      </c>
    </row>
    <row r="20" spans="1:9" ht="29.9">
      <c r="A20" s="4" t="s">
        <v>261</v>
      </c>
      <c r="B20" s="2">
        <v>1</v>
      </c>
      <c r="C20" s="2">
        <f t="shared" si="4"/>
        <v>127</v>
      </c>
      <c r="D20" s="2">
        <f t="shared" si="1"/>
        <v>127</v>
      </c>
      <c r="E20" s="4" t="s">
        <v>7</v>
      </c>
      <c r="F20" s="4" t="s">
        <v>236</v>
      </c>
      <c r="G20" s="2" t="s">
        <v>262</v>
      </c>
      <c r="H20" s="6" t="s">
        <v>255</v>
      </c>
      <c r="I20">
        <v>0</v>
      </c>
    </row>
    <row r="21" spans="1:9" ht="14.95">
      <c r="A21" s="4" t="str">
        <f>'Command register base=0x0'!A56</f>
        <v>des_res0_n</v>
      </c>
      <c r="B21" s="2">
        <f>'Command register base=0x0'!B56</f>
        <v>16</v>
      </c>
      <c r="C21" s="2">
        <f t="shared" si="0"/>
        <v>143</v>
      </c>
      <c r="D21" s="2">
        <f t="shared" si="1"/>
        <v>128</v>
      </c>
      <c r="E21" s="4" t="str">
        <f>'Command register base=0x0'!E56</f>
        <v>RW</v>
      </c>
      <c r="F21" s="4" t="str">
        <f>'Command register base=0x0'!F56</f>
        <v>0x1</v>
      </c>
      <c r="G21" s="2" t="s">
        <v>456</v>
      </c>
      <c r="H21" s="6" t="s">
        <v>255</v>
      </c>
      <c r="I21">
        <v>0</v>
      </c>
    </row>
    <row r="22" spans="1:9" ht="14.95">
      <c r="A22" s="4" t="str">
        <f>'Command register base=0x0'!A57</f>
        <v>des_res0_c</v>
      </c>
      <c r="B22" s="2">
        <f>'Command register base=0x0'!B57</f>
        <v>16</v>
      </c>
      <c r="C22" s="2">
        <f t="shared" si="0"/>
        <v>159</v>
      </c>
      <c r="D22" s="2">
        <f t="shared" si="1"/>
        <v>144</v>
      </c>
      <c r="E22" s="4" t="str">
        <f>'Command register base=0x0'!E57</f>
        <v>RW</v>
      </c>
      <c r="F22" s="4" t="str">
        <f>'Command register base=0x0'!F57</f>
        <v>0x1</v>
      </c>
      <c r="G22" s="2" t="s">
        <v>345</v>
      </c>
      <c r="H22" s="6" t="s">
        <v>255</v>
      </c>
      <c r="I22">
        <v>0</v>
      </c>
    </row>
    <row r="23" spans="1:9" ht="14.95">
      <c r="A23" s="4" t="str">
        <f>'Command register base=0x0'!A58</f>
        <v>des_res0_h</v>
      </c>
      <c r="B23" s="2">
        <f>'Command register base=0x0'!B58</f>
        <v>16</v>
      </c>
      <c r="C23" s="2">
        <f t="shared" si="0"/>
        <v>175</v>
      </c>
      <c r="D23" s="2">
        <f t="shared" si="1"/>
        <v>160</v>
      </c>
      <c r="E23" s="4" t="str">
        <f>'Command register base=0x0'!E58</f>
        <v>RW</v>
      </c>
      <c r="F23" s="4" t="str">
        <f>'Command register base=0x0'!F58</f>
        <v>0x1</v>
      </c>
      <c r="G23" s="2" t="s">
        <v>457</v>
      </c>
      <c r="H23" s="6" t="s">
        <v>255</v>
      </c>
      <c r="I23">
        <v>0</v>
      </c>
    </row>
    <row r="24" spans="1:9" ht="14.95">
      <c r="A24" s="4" t="str">
        <f>'Command register base=0x0'!A59</f>
        <v>des_res0_w</v>
      </c>
      <c r="B24" s="2">
        <f>'Command register base=0x0'!B59</f>
        <v>16</v>
      </c>
      <c r="C24" s="2">
        <f t="shared" si="0"/>
        <v>191</v>
      </c>
      <c r="D24" s="2">
        <f t="shared" si="1"/>
        <v>176</v>
      </c>
      <c r="E24" s="4" t="str">
        <f>'Command register base=0x0'!E59</f>
        <v>RW</v>
      </c>
      <c r="F24" s="4" t="str">
        <f>'Command register base=0x0'!F59</f>
        <v>0x1</v>
      </c>
      <c r="G24" s="2" t="s">
        <v>458</v>
      </c>
      <c r="H24" s="6" t="s">
        <v>255</v>
      </c>
      <c r="I24">
        <v>0</v>
      </c>
    </row>
    <row r="25" spans="1:9" ht="29.9">
      <c r="A25" s="4" t="str">
        <f>'Command register base=0x0'!A78</f>
        <v>des_opd1_addr</v>
      </c>
      <c r="B25" s="2">
        <f>'Command register base=0x0'!B78</f>
        <v>32</v>
      </c>
      <c r="C25" s="2">
        <f t="shared" si="0"/>
        <v>223</v>
      </c>
      <c r="D25" s="2">
        <f t="shared" si="1"/>
        <v>192</v>
      </c>
      <c r="E25" s="4" t="str">
        <f>'Command register base=0x0'!E78</f>
        <v>RW</v>
      </c>
      <c r="F25" s="4" t="str">
        <f>'Command register base=0x0'!F78</f>
        <v>0x0</v>
      </c>
      <c r="G25" s="2" t="s">
        <v>632</v>
      </c>
      <c r="H25" s="6" t="s">
        <v>255</v>
      </c>
      <c r="I25">
        <v>0</v>
      </c>
    </row>
    <row r="26" spans="1:9" ht="29.9">
      <c r="A26" s="4" t="str">
        <f>'Command register base=0x0'!A79</f>
        <v>des_opd2_addr</v>
      </c>
      <c r="B26" s="2">
        <v>32</v>
      </c>
      <c r="C26" s="2">
        <f t="shared" si="0"/>
        <v>255</v>
      </c>
      <c r="D26" s="2">
        <f t="shared" si="1"/>
        <v>224</v>
      </c>
      <c r="E26" s="4" t="str">
        <f>'Command register base=0x0'!E79</f>
        <v>RW</v>
      </c>
      <c r="F26" s="4" t="str">
        <f>'Command register base=0x0'!F79</f>
        <v>0x0</v>
      </c>
      <c r="G26" s="2" t="s">
        <v>633</v>
      </c>
      <c r="H26" s="6" t="s">
        <v>255</v>
      </c>
      <c r="I26">
        <v>0</v>
      </c>
    </row>
  </sheetData>
  <customSheetViews>
    <customSheetView guid="{465993EB-2174-44B8-8988-073286CA386F}">
      <selection activeCell="G34" sqref="G34"/>
      <pageMargins left="0.7" right="0.7" top="0.75" bottom="0.75" header="0.3" footer="0.3"/>
      <pageSetup paperSize="9" orientation="portrait"/>
    </customSheetView>
    <customSheetView guid="{C03D8012-5FAF-4C48-B7E4-56A55E52A74B}">
      <selection activeCell="G34" sqref="G34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topLeftCell="A4" workbookViewId="0">
      <selection activeCell="G41" sqref="G41"/>
    </sheetView>
  </sheetViews>
  <sheetFormatPr defaultColWidth="9" defaultRowHeight="12.9"/>
  <cols>
    <col min="1" max="1" width="22.5" customWidth="1"/>
    <col min="2" max="2" width="8.125" customWidth="1"/>
    <col min="3" max="4" width="7.875" customWidth="1"/>
    <col min="5" max="5" width="4.875" customWidth="1"/>
    <col min="6" max="6" width="8.5" customWidth="1"/>
    <col min="7" max="7" width="59.5" customWidth="1"/>
    <col min="8" max="8" width="23.5" customWidth="1"/>
  </cols>
  <sheetData>
    <row r="1" spans="1:9" ht="40.7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682</v>
      </c>
      <c r="I1" s="13" t="s">
        <v>481</v>
      </c>
    </row>
    <row r="2" spans="1:9" ht="14.95">
      <c r="A2" s="4" t="str">
        <f>'Command register base=0x0'!A2</f>
        <v>des_cmd_short</v>
      </c>
      <c r="B2" s="2">
        <f>'Command register base=0x0'!B2</f>
        <v>1</v>
      </c>
      <c r="C2" s="2">
        <f t="shared" ref="C2:C19" si="0">D2+B2-1</f>
        <v>0</v>
      </c>
      <c r="D2" s="2">
        <v>0</v>
      </c>
      <c r="E2" s="4" t="str">
        <f>'Command register base=0x0'!E2</f>
        <v>RW</v>
      </c>
      <c r="F2" s="4" t="str">
        <f>'Command register base=0x0'!F2</f>
        <v>0x0</v>
      </c>
      <c r="G2" s="4" t="s">
        <v>530</v>
      </c>
      <c r="H2" s="6" t="s">
        <v>255</v>
      </c>
      <c r="I2">
        <v>0</v>
      </c>
    </row>
    <row r="3" spans="1:9" ht="29.9">
      <c r="A3" s="4" t="str">
        <f>'Command register base=0x0'!A3</f>
        <v>des_op_code</v>
      </c>
      <c r="B3" s="2">
        <f>'Command register base=0x0'!B3</f>
        <v>16</v>
      </c>
      <c r="C3" s="2">
        <f t="shared" si="0"/>
        <v>16</v>
      </c>
      <c r="D3" s="2">
        <f>C2+1</f>
        <v>1</v>
      </c>
      <c r="E3" s="4" t="str">
        <f>'Command register base=0x0'!E3</f>
        <v>RW</v>
      </c>
      <c r="F3" s="4" t="str">
        <f>'Command register base=0x0'!F3</f>
        <v>0x0</v>
      </c>
      <c r="G3" s="4" t="s">
        <v>515</v>
      </c>
      <c r="H3" s="6" t="s">
        <v>255</v>
      </c>
      <c r="I3">
        <v>0</v>
      </c>
    </row>
    <row r="4" spans="1:9" ht="29.9">
      <c r="A4" s="4" t="str">
        <f>'Command register base=0x0'!A4</f>
        <v>des_cmd_id_dep</v>
      </c>
      <c r="B4" s="2">
        <f>'Command register base=0x0'!B4</f>
        <v>23</v>
      </c>
      <c r="C4" s="2">
        <f t="shared" si="0"/>
        <v>39</v>
      </c>
      <c r="D4" s="2">
        <f t="shared" ref="D4:D20" si="1">C3+1</f>
        <v>17</v>
      </c>
      <c r="E4" s="4" t="str">
        <f>'Command register base=0x0'!E4</f>
        <v>RW</v>
      </c>
      <c r="F4" s="4" t="str">
        <f>'Command register base=0x0'!F4</f>
        <v>0x0</v>
      </c>
      <c r="G4" s="4" t="s">
        <v>241</v>
      </c>
      <c r="H4" s="6" t="s">
        <v>255</v>
      </c>
      <c r="I4">
        <v>0</v>
      </c>
    </row>
    <row r="5" spans="1:9" ht="14.95">
      <c r="A5" s="4" t="str">
        <f>'Command register base=0x0'!A5</f>
        <v>des_dbg_mode</v>
      </c>
      <c r="B5" s="2">
        <f>'Command register base=0x0'!B5</f>
        <v>1</v>
      </c>
      <c r="C5" s="2">
        <f t="shared" ref="C5:C6" si="2">D5+B5-1</f>
        <v>40</v>
      </c>
      <c r="D5" s="2">
        <f t="shared" ref="D5:D6" si="3">C4+1</f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1050</v>
      </c>
      <c r="H5" s="6" t="s">
        <v>255</v>
      </c>
      <c r="I5">
        <v>0</v>
      </c>
    </row>
    <row r="6" spans="1:9" ht="29.9">
      <c r="A6" s="4" t="str">
        <f>'Command register base=0x0'!A6</f>
        <v>des_tsk_typ</v>
      </c>
      <c r="B6" s="2">
        <f>'Command register base=0x0'!B6</f>
        <v>4</v>
      </c>
      <c r="C6" s="2">
        <f t="shared" si="2"/>
        <v>44</v>
      </c>
      <c r="D6" s="2">
        <f t="shared" si="3"/>
        <v>41</v>
      </c>
      <c r="E6" s="4" t="str">
        <f>'Command register base=0x0'!E6</f>
        <v>RW</v>
      </c>
      <c r="F6" s="4" t="str">
        <f>'Command register base=0x0'!F6</f>
        <v>0x0</v>
      </c>
      <c r="G6" s="4" t="s">
        <v>683</v>
      </c>
      <c r="H6" s="6" t="s">
        <v>255</v>
      </c>
      <c r="I6">
        <v>0</v>
      </c>
    </row>
    <row r="7" spans="1:9" ht="104.6">
      <c r="A7" s="4" t="str">
        <f>'Command register base=0x0'!A7</f>
        <v>des_tsk_eu_typ</v>
      </c>
      <c r="B7" s="2">
        <f>'Command register base=0x0'!B7</f>
        <v>5</v>
      </c>
      <c r="C7" s="2">
        <f t="shared" ref="C7:C11" si="4">D7+B7-1</f>
        <v>49</v>
      </c>
      <c r="D7" s="2">
        <f t="shared" si="1"/>
        <v>45</v>
      </c>
      <c r="E7" s="4" t="str">
        <f>'Command register base=0x0'!E7</f>
        <v>RW</v>
      </c>
      <c r="F7" s="4" t="str">
        <f>'Command register base=0x0'!F7</f>
        <v>0x0</v>
      </c>
      <c r="G7" s="4" t="s">
        <v>674</v>
      </c>
      <c r="H7" s="6" t="s">
        <v>255</v>
      </c>
      <c r="I7">
        <v>0</v>
      </c>
    </row>
    <row r="8" spans="1:9" ht="119.55">
      <c r="A8" s="4" t="str">
        <f>'Command register base=0x0'!A23</f>
        <v>des_opt_res0_prec</v>
      </c>
      <c r="B8" s="2">
        <f>'Command register base=0x0'!B23</f>
        <v>3</v>
      </c>
      <c r="C8" s="2">
        <f t="shared" si="4"/>
        <v>52</v>
      </c>
      <c r="D8" s="2">
        <f t="shared" si="1"/>
        <v>50</v>
      </c>
      <c r="E8" s="4" t="str">
        <f>'Command register base=0x0'!E23</f>
        <v>RW</v>
      </c>
      <c r="F8" s="4" t="str">
        <f>'Command register base=0x0'!F23</f>
        <v>0x2</v>
      </c>
      <c r="G8" s="4" t="s">
        <v>662</v>
      </c>
      <c r="H8" s="6" t="s">
        <v>255</v>
      </c>
      <c r="I8">
        <v>0</v>
      </c>
    </row>
    <row r="9" spans="1:9" ht="14.95">
      <c r="A9" s="4" t="s">
        <v>256</v>
      </c>
      <c r="B9" s="2">
        <v>6</v>
      </c>
      <c r="C9" s="2">
        <f t="shared" si="4"/>
        <v>58</v>
      </c>
      <c r="D9" s="2">
        <f t="shared" si="1"/>
        <v>53</v>
      </c>
      <c r="E9" s="4" t="str">
        <f>'Command register base=0x0'!E76</f>
        <v>RW</v>
      </c>
      <c r="F9" s="4" t="str">
        <f>'Command register base=0x0'!F76</f>
        <v>0x0</v>
      </c>
      <c r="G9" s="4" t="s">
        <v>257</v>
      </c>
      <c r="H9" s="3" t="s">
        <v>258</v>
      </c>
      <c r="I9">
        <v>2</v>
      </c>
    </row>
    <row r="10" spans="1:9" ht="14.95">
      <c r="A10" s="4" t="s">
        <v>259</v>
      </c>
      <c r="B10" s="2">
        <f>'Command register base=0x0'!B13</f>
        <v>4</v>
      </c>
      <c r="C10" s="2">
        <f t="shared" si="4"/>
        <v>62</v>
      </c>
      <c r="D10" s="2">
        <f t="shared" si="1"/>
        <v>59</v>
      </c>
      <c r="E10" s="4" t="str">
        <f>'Command register base=0x0'!E13</f>
        <v>RW</v>
      </c>
      <c r="F10" s="4" t="str">
        <f>'Command register base=0x0'!F13</f>
        <v>0x0</v>
      </c>
      <c r="G10" s="4" t="s">
        <v>260</v>
      </c>
      <c r="H10" s="6" t="s">
        <v>255</v>
      </c>
      <c r="I10">
        <v>0</v>
      </c>
    </row>
    <row r="11" spans="1:9" ht="29.9">
      <c r="A11" s="4" t="s">
        <v>261</v>
      </c>
      <c r="B11" s="2">
        <v>1</v>
      </c>
      <c r="C11" s="2">
        <f t="shared" si="4"/>
        <v>63</v>
      </c>
      <c r="D11" s="2">
        <f t="shared" si="1"/>
        <v>63</v>
      </c>
      <c r="E11" s="4" t="str">
        <f>'Command register base=0x0'!E79</f>
        <v>RW</v>
      </c>
      <c r="F11" s="4" t="str">
        <f>'Command register base=0x0'!F79</f>
        <v>0x0</v>
      </c>
      <c r="G11" s="4" t="s">
        <v>262</v>
      </c>
      <c r="H11" s="6" t="s">
        <v>255</v>
      </c>
      <c r="I11">
        <v>0</v>
      </c>
    </row>
    <row r="12" spans="1:9" ht="44.85">
      <c r="A12" s="4" t="str">
        <f>'Command register base=0x0'!A56</f>
        <v>des_res0_n</v>
      </c>
      <c r="B12" s="2">
        <f>'Command register base=0x0'!B56</f>
        <v>16</v>
      </c>
      <c r="C12" s="2">
        <f t="shared" si="0"/>
        <v>79</v>
      </c>
      <c r="D12" s="2">
        <f t="shared" si="1"/>
        <v>64</v>
      </c>
      <c r="E12" s="4" t="str">
        <f>'Command register base=0x0'!E56</f>
        <v>RW</v>
      </c>
      <c r="F12" s="4" t="str">
        <f>'Command register base=0x0'!F56</f>
        <v>0x1</v>
      </c>
      <c r="G12" s="4" t="s">
        <v>676</v>
      </c>
      <c r="H12" s="6" t="s">
        <v>255</v>
      </c>
      <c r="I12">
        <v>0</v>
      </c>
    </row>
    <row r="13" spans="1:9" ht="14.95">
      <c r="A13" s="4" t="str">
        <f>'Command register base=0x0'!A57</f>
        <v>des_res0_c</v>
      </c>
      <c r="B13" s="2">
        <f>'Command register base=0x0'!B57</f>
        <v>16</v>
      </c>
      <c r="C13" s="2">
        <f t="shared" si="0"/>
        <v>95</v>
      </c>
      <c r="D13" s="2">
        <f t="shared" si="1"/>
        <v>80</v>
      </c>
      <c r="E13" s="4" t="str">
        <f>'Command register base=0x0'!E57</f>
        <v>RW</v>
      </c>
      <c r="F13" s="4" t="str">
        <f>'Command register base=0x0'!F57</f>
        <v>0x1</v>
      </c>
      <c r="G13" s="4" t="s">
        <v>345</v>
      </c>
      <c r="H13" s="6" t="s">
        <v>255</v>
      </c>
      <c r="I13">
        <v>0</v>
      </c>
    </row>
    <row r="14" spans="1:9" ht="44.85">
      <c r="A14" s="4" t="str">
        <f>'Command register base=0x0'!A58</f>
        <v>des_res0_h</v>
      </c>
      <c r="B14" s="2">
        <f>'Command register base=0x0'!B58</f>
        <v>16</v>
      </c>
      <c r="C14" s="2">
        <f t="shared" si="0"/>
        <v>111</v>
      </c>
      <c r="D14" s="2">
        <f t="shared" si="1"/>
        <v>96</v>
      </c>
      <c r="E14" s="4" t="str">
        <f>'Command register base=0x0'!E58</f>
        <v>RW</v>
      </c>
      <c r="F14" s="4" t="str">
        <f>'Command register base=0x0'!F58</f>
        <v>0x1</v>
      </c>
      <c r="G14" s="4" t="s">
        <v>684</v>
      </c>
      <c r="H14" s="6" t="s">
        <v>255</v>
      </c>
      <c r="I14">
        <v>0</v>
      </c>
    </row>
    <row r="15" spans="1:9" ht="44.85">
      <c r="A15" s="4" t="str">
        <f>'Command register base=0x0'!A59</f>
        <v>des_res0_w</v>
      </c>
      <c r="B15" s="2">
        <f>'Command register base=0x0'!B59</f>
        <v>16</v>
      </c>
      <c r="C15" s="2">
        <f t="shared" si="0"/>
        <v>127</v>
      </c>
      <c r="D15" s="2">
        <f t="shared" si="1"/>
        <v>112</v>
      </c>
      <c r="E15" s="4" t="str">
        <f>'Command register base=0x0'!E59</f>
        <v>RW</v>
      </c>
      <c r="F15" s="4" t="str">
        <f>'Command register base=0x0'!F59</f>
        <v>0x1</v>
      </c>
      <c r="G15" s="4" t="s">
        <v>677</v>
      </c>
      <c r="H15" s="6" t="s">
        <v>255</v>
      </c>
      <c r="I15">
        <v>0</v>
      </c>
    </row>
    <row r="16" spans="1:9" ht="44.85">
      <c r="A16" s="4" t="s">
        <v>352</v>
      </c>
      <c r="B16" s="2">
        <v>16</v>
      </c>
      <c r="C16" s="2">
        <f t="shared" si="0"/>
        <v>143</v>
      </c>
      <c r="D16" s="2">
        <f t="shared" si="1"/>
        <v>128</v>
      </c>
      <c r="E16" s="4" t="str">
        <f>'Command register base=0x0'!E18</f>
        <v>RW</v>
      </c>
      <c r="F16" s="4" t="str">
        <f>'Command register base=0x0'!F18</f>
        <v>0x0</v>
      </c>
      <c r="G16" s="4" t="s">
        <v>678</v>
      </c>
      <c r="H16" s="6" t="s">
        <v>255</v>
      </c>
      <c r="I16">
        <v>0</v>
      </c>
    </row>
    <row r="17" spans="1:9" ht="14.95">
      <c r="A17" s="4" t="s">
        <v>356</v>
      </c>
      <c r="B17" s="2">
        <v>16</v>
      </c>
      <c r="C17" s="2">
        <f t="shared" si="0"/>
        <v>159</v>
      </c>
      <c r="D17" s="2">
        <f t="shared" si="1"/>
        <v>144</v>
      </c>
      <c r="E17" s="4" t="str">
        <f>'Command register base=0x0'!E19</f>
        <v>RW</v>
      </c>
      <c r="F17" s="4" t="str">
        <f>'Command register base=0x0'!F19</f>
        <v>0x0</v>
      </c>
      <c r="G17" s="4" t="s">
        <v>496</v>
      </c>
      <c r="H17" s="6" t="s">
        <v>255</v>
      </c>
      <c r="I17">
        <v>0</v>
      </c>
    </row>
    <row r="18" spans="1:9" ht="14.95">
      <c r="A18" s="4" t="s">
        <v>730</v>
      </c>
      <c r="B18" s="2">
        <v>32</v>
      </c>
      <c r="C18" s="2">
        <f t="shared" si="0"/>
        <v>191</v>
      </c>
      <c r="D18" s="2">
        <f t="shared" si="1"/>
        <v>160</v>
      </c>
      <c r="E18" s="4" t="str">
        <f>'[1]Command register base=0x0'!E14</f>
        <v>RW</v>
      </c>
      <c r="F18" s="4" t="s">
        <v>266</v>
      </c>
      <c r="G18" s="4" t="s">
        <v>257</v>
      </c>
      <c r="H18" s="3" t="s">
        <v>258</v>
      </c>
      <c r="I18">
        <v>2</v>
      </c>
    </row>
    <row r="19" spans="1:9" ht="14.95">
      <c r="A19" s="4" t="str">
        <f>'Command register base=0x0'!A76</f>
        <v>des_res0_addr</v>
      </c>
      <c r="B19" s="2">
        <v>32</v>
      </c>
      <c r="C19" s="2">
        <f t="shared" si="0"/>
        <v>223</v>
      </c>
      <c r="D19" s="2">
        <f t="shared" si="1"/>
        <v>192</v>
      </c>
      <c r="E19" s="4" t="str">
        <f>'Command register base=0x0'!E76</f>
        <v>RW</v>
      </c>
      <c r="F19" s="4" t="str">
        <f>'Command register base=0x0'!F76</f>
        <v>0x0</v>
      </c>
      <c r="G19" s="4" t="s">
        <v>382</v>
      </c>
      <c r="H19" s="6" t="s">
        <v>255</v>
      </c>
      <c r="I19">
        <v>0</v>
      </c>
    </row>
    <row r="20" spans="1:9" ht="44.85">
      <c r="A20" s="4" t="s">
        <v>383</v>
      </c>
      <c r="B20" s="2">
        <f>'Command register base=0x0'!B77</f>
        <v>32</v>
      </c>
      <c r="C20" s="2">
        <f t="shared" ref="C20" si="5">D20+B20-1</f>
        <v>255</v>
      </c>
      <c r="D20" s="2">
        <f t="shared" si="1"/>
        <v>224</v>
      </c>
      <c r="E20" s="4" t="str">
        <f>'Command register base=0x0'!E77</f>
        <v>RW</v>
      </c>
      <c r="F20" s="4" t="str">
        <f>'Command register base=0x0'!F77</f>
        <v>0x0</v>
      </c>
      <c r="G20" s="4" t="s">
        <v>681</v>
      </c>
      <c r="H20" s="6" t="s">
        <v>255</v>
      </c>
      <c r="I20">
        <v>0</v>
      </c>
    </row>
  </sheetData>
  <customSheetViews>
    <customSheetView guid="{465993EB-2174-44B8-8988-073286CA386F}" topLeftCell="A7">
      <selection activeCell="O28" sqref="O28"/>
      <pageMargins left="0.7" right="0.7" top="0.75" bottom="0.75" header="0.3" footer="0.3"/>
      <pageSetup paperSize="9" orientation="portrait"/>
    </customSheetView>
    <customSheetView guid="{C03D8012-5FAF-4C48-B7E4-56A55E52A74B}" topLeftCell="A7">
      <selection activeCell="O28" sqref="O28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workbookViewId="0">
      <selection activeCell="G7" sqref="G7"/>
    </sheetView>
  </sheetViews>
  <sheetFormatPr defaultColWidth="9" defaultRowHeight="12.9"/>
  <cols>
    <col min="1" max="1" width="22.25" customWidth="1"/>
    <col min="2" max="2" width="8.125" customWidth="1"/>
    <col min="3" max="4" width="7.875" customWidth="1"/>
    <col min="5" max="5" width="4.875" customWidth="1"/>
    <col min="6" max="6" width="8.5" customWidth="1"/>
    <col min="7" max="7" width="106.625" customWidth="1"/>
    <col min="8" max="8" width="11.375" customWidth="1"/>
  </cols>
  <sheetData>
    <row r="1" spans="1:9" ht="27.2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189</v>
      </c>
      <c r="I1" s="13" t="s">
        <v>481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22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503</v>
      </c>
      <c r="H2" s="7" t="s">
        <v>255</v>
      </c>
      <c r="I2">
        <v>0</v>
      </c>
    </row>
    <row r="3" spans="1:9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515</v>
      </c>
      <c r="H3" s="7" t="s">
        <v>255</v>
      </c>
      <c r="I3">
        <v>0</v>
      </c>
    </row>
    <row r="4" spans="1:9" ht="29.9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3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ht="15.6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900</v>
      </c>
      <c r="H5" s="6" t="s">
        <v>255</v>
      </c>
      <c r="I5">
        <v>0</v>
      </c>
    </row>
    <row r="6" spans="1:9" ht="29.9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638</v>
      </c>
      <c r="H6" s="7" t="s">
        <v>255</v>
      </c>
      <c r="I6">
        <v>0</v>
      </c>
    </row>
    <row r="7" spans="1:9" ht="269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974</v>
      </c>
      <c r="H7" s="7" t="s">
        <v>255</v>
      </c>
      <c r="I7">
        <v>0</v>
      </c>
    </row>
    <row r="8" spans="1:9" ht="15.65">
      <c r="A8" s="18" t="s">
        <v>303</v>
      </c>
      <c r="B8" s="19">
        <v>1</v>
      </c>
      <c r="C8" s="19">
        <f t="shared" si="0"/>
        <v>50</v>
      </c>
      <c r="D8" s="19">
        <f t="shared" si="1"/>
        <v>50</v>
      </c>
      <c r="E8" s="18" t="s">
        <v>7</v>
      </c>
      <c r="F8" s="18" t="s">
        <v>236</v>
      </c>
      <c r="G8" s="4" t="s">
        <v>642</v>
      </c>
      <c r="H8" s="7" t="s">
        <v>255</v>
      </c>
      <c r="I8">
        <v>0</v>
      </c>
    </row>
    <row r="9" spans="1:9" ht="29.9">
      <c r="A9" s="18" t="s">
        <v>261</v>
      </c>
      <c r="B9" s="19">
        <v>1</v>
      </c>
      <c r="C9" s="19">
        <f t="shared" si="0"/>
        <v>51</v>
      </c>
      <c r="D9" s="19">
        <f t="shared" si="1"/>
        <v>51</v>
      </c>
      <c r="E9" s="18" t="s">
        <v>7</v>
      </c>
      <c r="F9" s="18" t="s">
        <v>236</v>
      </c>
      <c r="G9" s="4" t="s">
        <v>262</v>
      </c>
      <c r="H9" s="7" t="s">
        <v>255</v>
      </c>
      <c r="I9">
        <v>0</v>
      </c>
    </row>
    <row r="10" spans="1:9" ht="358.65">
      <c r="A10" s="18" t="str">
        <f>'Command register base=0x0'!A31</f>
        <v>des_short_opd0_str</v>
      </c>
      <c r="B10" s="18">
        <f>'Command register base=0x0'!B31</f>
        <v>3</v>
      </c>
      <c r="C10" s="19">
        <f t="shared" si="0"/>
        <v>54</v>
      </c>
      <c r="D10" s="19">
        <f t="shared" si="1"/>
        <v>52</v>
      </c>
      <c r="E10" s="18" t="str">
        <f>'Command register base=0x0'!E31</f>
        <v>RW</v>
      </c>
      <c r="F10" s="18" t="str">
        <f>'Command register base=0x0'!F31</f>
        <v>0x0</v>
      </c>
      <c r="G10" s="12" t="s">
        <v>655</v>
      </c>
      <c r="H10" s="7" t="s">
        <v>255</v>
      </c>
      <c r="I10">
        <v>0</v>
      </c>
    </row>
    <row r="11" spans="1:9" ht="15.65">
      <c r="A11" s="18" t="s">
        <v>256</v>
      </c>
      <c r="B11" s="19">
        <v>4</v>
      </c>
      <c r="C11" s="19">
        <f t="shared" si="0"/>
        <v>58</v>
      </c>
      <c r="D11" s="19">
        <f t="shared" si="1"/>
        <v>55</v>
      </c>
      <c r="E11" s="18" t="str">
        <f>'Command register base=0x0'!E12</f>
        <v>RW</v>
      </c>
      <c r="F11" s="18" t="str">
        <f>'Command register base=0x0'!F12</f>
        <v>0x0</v>
      </c>
      <c r="G11" s="4" t="s">
        <v>257</v>
      </c>
      <c r="H11" s="20" t="s">
        <v>258</v>
      </c>
      <c r="I11">
        <v>2</v>
      </c>
    </row>
    <row r="12" spans="1:9" ht="15.65">
      <c r="A12" s="18" t="str">
        <f>'Command register base=0x0'!A13</f>
        <v>des_pwr_step</v>
      </c>
      <c r="B12" s="19">
        <f>'Command register base=0x0'!B13</f>
        <v>4</v>
      </c>
      <c r="C12" s="19">
        <f t="shared" si="0"/>
        <v>62</v>
      </c>
      <c r="D12" s="19">
        <f t="shared" si="1"/>
        <v>59</v>
      </c>
      <c r="E12" s="18" t="str">
        <f>'Command register base=0x0'!E13</f>
        <v>RW</v>
      </c>
      <c r="F12" s="18" t="str">
        <f>'Command register base=0x0'!F13</f>
        <v>0x0</v>
      </c>
      <c r="G12" s="4" t="s">
        <v>260</v>
      </c>
      <c r="H12" s="7" t="s">
        <v>255</v>
      </c>
      <c r="I12">
        <v>0</v>
      </c>
    </row>
    <row r="13" spans="1:9" ht="44.85">
      <c r="A13" s="21" t="str">
        <f>'Command register base=0x0'!A29</f>
        <v>des_opt_opd2_const</v>
      </c>
      <c r="B13" s="22">
        <f>'Command register base=0x0'!B29</f>
        <v>1</v>
      </c>
      <c r="C13" s="19">
        <f t="shared" si="0"/>
        <v>63</v>
      </c>
      <c r="D13" s="19">
        <f t="shared" si="1"/>
        <v>63</v>
      </c>
      <c r="E13" s="21" t="str">
        <f>'Command register base=0x0'!E29</f>
        <v>RW</v>
      </c>
      <c r="F13" s="21" t="str">
        <f>'Command register base=0x0'!F29</f>
        <v>0x0</v>
      </c>
      <c r="G13" s="4" t="s">
        <v>640</v>
      </c>
      <c r="H13" s="7" t="s">
        <v>255</v>
      </c>
      <c r="I13">
        <v>0</v>
      </c>
    </row>
    <row r="14" spans="1:9" ht="89.7">
      <c r="A14" s="18" t="str">
        <f>'Command register base=0x0'!A56</f>
        <v>des_res0_n</v>
      </c>
      <c r="B14" s="19">
        <f>'Command register base=0x0'!B56</f>
        <v>16</v>
      </c>
      <c r="C14" s="19">
        <f t="shared" si="0"/>
        <v>79</v>
      </c>
      <c r="D14" s="19">
        <f t="shared" si="1"/>
        <v>64</v>
      </c>
      <c r="E14" s="18" t="str">
        <f>'Command register base=0x0'!E56</f>
        <v>RW</v>
      </c>
      <c r="F14" s="18" t="str">
        <f>'Command register base=0x0'!F56</f>
        <v>0x1</v>
      </c>
      <c r="G14" s="4" t="s">
        <v>643</v>
      </c>
      <c r="H14" s="7" t="s">
        <v>255</v>
      </c>
      <c r="I14">
        <v>0</v>
      </c>
    </row>
    <row r="15" spans="1:9" ht="15.65">
      <c r="A15" s="18" t="str">
        <f>'Command register base=0x0'!A57</f>
        <v>des_res0_c</v>
      </c>
      <c r="B15" s="19">
        <f>'Command register base=0x0'!B57</f>
        <v>16</v>
      </c>
      <c r="C15" s="19">
        <f t="shared" si="0"/>
        <v>95</v>
      </c>
      <c r="D15" s="19">
        <f t="shared" si="1"/>
        <v>80</v>
      </c>
      <c r="E15" s="18" t="str">
        <f>'Command register base=0x0'!E57</f>
        <v>RW</v>
      </c>
      <c r="F15" s="18" t="str">
        <f>'Command register base=0x0'!F57</f>
        <v>0x1</v>
      </c>
      <c r="G15" s="4" t="s">
        <v>491</v>
      </c>
      <c r="H15" s="7" t="s">
        <v>255</v>
      </c>
      <c r="I15">
        <v>0</v>
      </c>
    </row>
    <row r="16" spans="1:9" ht="74.75">
      <c r="A16" s="18" t="str">
        <f>'Command register base=0x0'!A58</f>
        <v>des_res0_h</v>
      </c>
      <c r="B16" s="19">
        <f>'Command register base=0x0'!B58</f>
        <v>16</v>
      </c>
      <c r="C16" s="19">
        <f t="shared" si="0"/>
        <v>111</v>
      </c>
      <c r="D16" s="19">
        <f t="shared" si="1"/>
        <v>96</v>
      </c>
      <c r="E16" s="18" t="str">
        <f>'Command register base=0x0'!E58</f>
        <v>RW</v>
      </c>
      <c r="F16" s="18" t="str">
        <f>'Command register base=0x0'!F58</f>
        <v>0x1</v>
      </c>
      <c r="G16" s="4" t="s">
        <v>644</v>
      </c>
      <c r="H16" s="7" t="s">
        <v>255</v>
      </c>
      <c r="I16">
        <v>0</v>
      </c>
    </row>
    <row r="17" spans="1:9" ht="15.65">
      <c r="A17" s="18" t="str">
        <f>'Command register base=0x0'!A59</f>
        <v>des_res0_w</v>
      </c>
      <c r="B17" s="19">
        <f>'Command register base=0x0'!B59</f>
        <v>16</v>
      </c>
      <c r="C17" s="19">
        <f t="shared" si="0"/>
        <v>127</v>
      </c>
      <c r="D17" s="19">
        <f t="shared" si="1"/>
        <v>112</v>
      </c>
      <c r="E17" s="18" t="str">
        <f>'Command register base=0x0'!E59</f>
        <v>RW</v>
      </c>
      <c r="F17" s="18" t="str">
        <f>'Command register base=0x0'!F59</f>
        <v>0x1</v>
      </c>
      <c r="G17" s="4" t="s">
        <v>493</v>
      </c>
      <c r="H17" s="7" t="s">
        <v>255</v>
      </c>
      <c r="I17">
        <v>0</v>
      </c>
    </row>
    <row r="18" spans="1:9" ht="74.75">
      <c r="A18" s="18" t="str">
        <f>'Command register base=0x0'!A62</f>
        <v>des_opd0_h</v>
      </c>
      <c r="B18" s="19">
        <f>'Command register base=0x0'!B62</f>
        <v>16</v>
      </c>
      <c r="C18" s="19">
        <f t="shared" si="0"/>
        <v>143</v>
      </c>
      <c r="D18" s="19">
        <f t="shared" si="1"/>
        <v>128</v>
      </c>
      <c r="E18" s="18" t="str">
        <f>'Command register base=0x0'!E62</f>
        <v>RW</v>
      </c>
      <c r="F18" s="18" t="str">
        <f>'Command register base=0x0'!F62</f>
        <v>0x1</v>
      </c>
      <c r="G18" s="4" t="s">
        <v>646</v>
      </c>
      <c r="H18" s="7" t="s">
        <v>255</v>
      </c>
      <c r="I18">
        <v>0</v>
      </c>
    </row>
    <row r="19" spans="1:9" ht="15.65">
      <c r="A19" s="18" t="str">
        <f>'Command register base=0x0'!A63</f>
        <v>des_opd0_w</v>
      </c>
      <c r="B19" s="19">
        <f>'Command register base=0x0'!B63</f>
        <v>16</v>
      </c>
      <c r="C19" s="19">
        <f t="shared" si="0"/>
        <v>159</v>
      </c>
      <c r="D19" s="19">
        <f t="shared" si="1"/>
        <v>144</v>
      </c>
      <c r="E19" s="18" t="str">
        <f>'Command register base=0x0'!E63</f>
        <v>RW</v>
      </c>
      <c r="F19" s="18" t="str">
        <f>'Command register base=0x0'!F63</f>
        <v>0x1</v>
      </c>
      <c r="G19" s="4" t="s">
        <v>496</v>
      </c>
      <c r="H19" s="7" t="s">
        <v>255</v>
      </c>
      <c r="I19">
        <v>0</v>
      </c>
    </row>
    <row r="20" spans="1:9" ht="15.65">
      <c r="A20" s="18" t="str">
        <f>'Command register base=0x0'!A65</f>
        <v>des_opd1_c</v>
      </c>
      <c r="B20" s="19">
        <f>'Command register base=0x0'!B65</f>
        <v>16</v>
      </c>
      <c r="C20" s="19">
        <f t="shared" si="0"/>
        <v>175</v>
      </c>
      <c r="D20" s="19">
        <f t="shared" si="1"/>
        <v>160</v>
      </c>
      <c r="E20" s="18" t="str">
        <f>'Command register base=0x0'!E65</f>
        <v>RW</v>
      </c>
      <c r="F20" s="18" t="str">
        <f>'Command register base=0x0'!F65</f>
        <v>0x1</v>
      </c>
      <c r="G20" s="4" t="s">
        <v>542</v>
      </c>
      <c r="H20" s="7" t="s">
        <v>255</v>
      </c>
      <c r="I20">
        <v>0</v>
      </c>
    </row>
    <row r="21" spans="1:9" ht="89.7">
      <c r="A21" s="18" t="str">
        <f>'Command register base=0x0'!A67</f>
        <v>des_opd1_w</v>
      </c>
      <c r="B21" s="19">
        <f>'Command register base=0x0'!B67</f>
        <v>16</v>
      </c>
      <c r="C21" s="19">
        <f t="shared" si="0"/>
        <v>191</v>
      </c>
      <c r="D21" s="19">
        <f t="shared" si="1"/>
        <v>176</v>
      </c>
      <c r="E21" s="18" t="str">
        <f>'Command register base=0x0'!E67</f>
        <v>RW</v>
      </c>
      <c r="F21" s="18" t="str">
        <f>'Command register base=0x0'!F67</f>
        <v>0x1</v>
      </c>
      <c r="G21" s="4" t="s">
        <v>648</v>
      </c>
      <c r="H21" s="7" t="s">
        <v>255</v>
      </c>
      <c r="I21">
        <v>0</v>
      </c>
    </row>
    <row r="22" spans="1:9" ht="15.65">
      <c r="A22" s="18" t="s">
        <v>278</v>
      </c>
      <c r="B22" s="19">
        <v>3</v>
      </c>
      <c r="C22" s="19">
        <f t="shared" si="0"/>
        <v>194</v>
      </c>
      <c r="D22" s="19">
        <f t="shared" si="1"/>
        <v>192</v>
      </c>
      <c r="E22" s="18" t="str">
        <f>'Command register base=0x0'!E75</f>
        <v>RW</v>
      </c>
      <c r="F22" s="18" t="str">
        <f>'Command register base=0x0'!F75</f>
        <v>0x1</v>
      </c>
      <c r="G22" s="4" t="s">
        <v>656</v>
      </c>
      <c r="H22" s="7" t="s">
        <v>255</v>
      </c>
      <c r="I22">
        <v>0</v>
      </c>
    </row>
    <row r="23" spans="1:9" ht="15.65">
      <c r="A23" s="18" t="str">
        <f>'Command register base=0x0'!A76</f>
        <v>des_res0_addr</v>
      </c>
      <c r="B23" s="19">
        <v>29</v>
      </c>
      <c r="C23" s="19">
        <f t="shared" ref="C23:C30" si="4">D23+B23-1</f>
        <v>223</v>
      </c>
      <c r="D23" s="19">
        <f t="shared" si="1"/>
        <v>195</v>
      </c>
      <c r="E23" s="18" t="str">
        <f>'Command register base=0x0'!E76</f>
        <v>RW</v>
      </c>
      <c r="F23" s="18" t="str">
        <f>'Command register base=0x0'!F76</f>
        <v>0x0</v>
      </c>
      <c r="G23" s="4" t="s">
        <v>382</v>
      </c>
      <c r="H23" s="7" t="s">
        <v>255</v>
      </c>
      <c r="I23">
        <v>0</v>
      </c>
    </row>
    <row r="24" spans="1:9" ht="15.65">
      <c r="A24" s="18" t="s">
        <v>279</v>
      </c>
      <c r="B24" s="19">
        <v>3</v>
      </c>
      <c r="C24" s="19">
        <f t="shared" si="4"/>
        <v>226</v>
      </c>
      <c r="D24" s="19">
        <f t="shared" si="1"/>
        <v>224</v>
      </c>
      <c r="E24" s="18" t="str">
        <f>'Command register base=0x0'!E77</f>
        <v>RW</v>
      </c>
      <c r="F24" s="18" t="str">
        <f>'Command register base=0x0'!F77</f>
        <v>0x0</v>
      </c>
      <c r="G24" s="4" t="s">
        <v>657</v>
      </c>
      <c r="H24" s="7" t="s">
        <v>255</v>
      </c>
      <c r="I24">
        <v>0</v>
      </c>
    </row>
    <row r="25" spans="1:9" ht="15.65">
      <c r="A25" s="18" t="str">
        <f>'Command register base=0x0'!A77</f>
        <v>des_opd0_addr</v>
      </c>
      <c r="B25" s="19">
        <v>29</v>
      </c>
      <c r="C25" s="19">
        <f t="shared" si="4"/>
        <v>255</v>
      </c>
      <c r="D25" s="19">
        <f t="shared" si="1"/>
        <v>227</v>
      </c>
      <c r="E25" s="18" t="str">
        <f>'Command register base=0x0'!E77</f>
        <v>RW</v>
      </c>
      <c r="F25" s="18" t="str">
        <f>'Command register base=0x0'!F77</f>
        <v>0x0</v>
      </c>
      <c r="G25" s="4" t="s">
        <v>471</v>
      </c>
      <c r="H25" s="7" t="s">
        <v>255</v>
      </c>
      <c r="I25">
        <v>0</v>
      </c>
    </row>
    <row r="26" spans="1:9" ht="15.65">
      <c r="A26" s="18" t="s">
        <v>281</v>
      </c>
      <c r="B26" s="19">
        <v>3</v>
      </c>
      <c r="C26" s="19">
        <f t="shared" ref="C26" si="5">D26+B26-1</f>
        <v>258</v>
      </c>
      <c r="D26" s="19">
        <f t="shared" si="1"/>
        <v>256</v>
      </c>
      <c r="E26" s="18" t="str">
        <f>'Command register base=0x0'!E79</f>
        <v>RW</v>
      </c>
      <c r="F26" s="18" t="str">
        <f>'Command register base=0x0'!F79</f>
        <v>0x0</v>
      </c>
      <c r="G26" s="4" t="s">
        <v>658</v>
      </c>
      <c r="H26" s="7" t="s">
        <v>255</v>
      </c>
      <c r="I26">
        <v>0</v>
      </c>
    </row>
    <row r="27" spans="1:9" ht="15.65">
      <c r="A27" s="18" t="str">
        <f>'Command register base=0x0'!A78</f>
        <v>des_opd1_addr</v>
      </c>
      <c r="B27" s="19">
        <v>29</v>
      </c>
      <c r="C27" s="19">
        <f t="shared" si="4"/>
        <v>287</v>
      </c>
      <c r="D27" s="19">
        <f t="shared" si="1"/>
        <v>259</v>
      </c>
      <c r="E27" s="18" t="str">
        <f>'Command register base=0x0'!E78</f>
        <v>RW</v>
      </c>
      <c r="F27" s="18" t="str">
        <f>'Command register base=0x0'!F78</f>
        <v>0x0</v>
      </c>
      <c r="G27" s="4" t="s">
        <v>502</v>
      </c>
      <c r="H27" s="7" t="s">
        <v>255</v>
      </c>
      <c r="I27">
        <v>0</v>
      </c>
    </row>
    <row r="28" spans="1:9" ht="15.65">
      <c r="A28" s="21" t="str">
        <f>'Command register base=0x0'!A79</f>
        <v>des_opd2_addr</v>
      </c>
      <c r="B28" s="22">
        <f>'Command register base=0x0'!B79</f>
        <v>32</v>
      </c>
      <c r="C28" s="19">
        <f t="shared" si="4"/>
        <v>319</v>
      </c>
      <c r="D28" s="19">
        <f t="shared" si="1"/>
        <v>288</v>
      </c>
      <c r="E28" s="21" t="str">
        <f>'Command register base=0x0'!E79</f>
        <v>RW</v>
      </c>
      <c r="F28" s="21" t="str">
        <f>'Command register base=0x0'!F79</f>
        <v>0x0</v>
      </c>
      <c r="G28" s="4" t="s">
        <v>653</v>
      </c>
      <c r="H28" s="7" t="s">
        <v>255</v>
      </c>
      <c r="I28">
        <v>0</v>
      </c>
    </row>
    <row r="29" spans="1:9" ht="29.9">
      <c r="A29" s="18" t="s">
        <v>405</v>
      </c>
      <c r="B29" s="19">
        <v>32</v>
      </c>
      <c r="C29" s="19">
        <f t="shared" si="4"/>
        <v>351</v>
      </c>
      <c r="D29" s="19">
        <f t="shared" si="1"/>
        <v>320</v>
      </c>
      <c r="E29" s="18" t="s">
        <v>7</v>
      </c>
      <c r="F29" s="18" t="s">
        <v>266</v>
      </c>
      <c r="G29" s="4" t="s">
        <v>659</v>
      </c>
      <c r="H29" s="7" t="s">
        <v>255</v>
      </c>
      <c r="I29">
        <v>0</v>
      </c>
    </row>
    <row r="30" spans="1:9" ht="15.65">
      <c r="A30" s="18" t="s">
        <v>407</v>
      </c>
      <c r="B30" s="19">
        <v>32</v>
      </c>
      <c r="C30" s="19">
        <f t="shared" si="4"/>
        <v>383</v>
      </c>
      <c r="D30" s="19">
        <f t="shared" si="1"/>
        <v>352</v>
      </c>
      <c r="E30" s="18" t="str">
        <f>'Command register base=0x0'!E84</f>
        <v>RW</v>
      </c>
      <c r="F30" s="18" t="str">
        <f>'Command register base=0x0'!F84</f>
        <v>0x1</v>
      </c>
      <c r="G30" s="4" t="s">
        <v>654</v>
      </c>
      <c r="H30" s="7" t="s">
        <v>255</v>
      </c>
      <c r="I30">
        <v>0</v>
      </c>
    </row>
  </sheetData>
  <customSheetViews>
    <customSheetView guid="{465993EB-2174-44B8-8988-073286CA386F}" topLeftCell="A19">
      <selection activeCell="A29" sqref="A29"/>
      <pageMargins left="0.7" right="0.7" top="0.75" bottom="0.75" header="0.3" footer="0.3"/>
      <pageSetup paperSize="9" orientation="portrait"/>
    </customSheetView>
    <customSheetView guid="{C03D8012-5FAF-4C48-B7E4-56A55E52A74B}" topLeftCell="A19">
      <selection activeCell="A29" sqref="A29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M28"/>
  <sheetViews>
    <sheetView topLeftCell="A10" workbookViewId="0">
      <selection activeCell="M16" sqref="M16"/>
    </sheetView>
  </sheetViews>
  <sheetFormatPr defaultColWidth="9" defaultRowHeight="12.9"/>
  <cols>
    <col min="1" max="1" width="23.25" customWidth="1"/>
    <col min="2" max="2" width="7.625" customWidth="1"/>
    <col min="3" max="4" width="7.375" customWidth="1"/>
    <col min="5" max="5" width="4.5" customWidth="1"/>
    <col min="6" max="6" width="20" customWidth="1"/>
    <col min="7" max="7" width="72.25" customWidth="1"/>
    <col min="8" max="8" width="36.125" customWidth="1"/>
    <col min="10" max="10" width="39.75" customWidth="1"/>
  </cols>
  <sheetData>
    <row r="1" spans="1:9" ht="27.2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189</v>
      </c>
      <c r="I1" s="13" t="s">
        <v>481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26" si="0">B2+D2-1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4" t="s">
        <v>503</v>
      </c>
      <c r="H2" s="7" t="s">
        <v>255</v>
      </c>
      <c r="I2">
        <v>0</v>
      </c>
    </row>
    <row r="3" spans="1:9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4" t="s">
        <v>515</v>
      </c>
      <c r="H3" s="7" t="s">
        <v>255</v>
      </c>
      <c r="I3">
        <v>0</v>
      </c>
    </row>
    <row r="4" spans="1:9" ht="29.9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7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ht="15.6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B5+D5-1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900</v>
      </c>
      <c r="H5" s="7" t="s">
        <v>255</v>
      </c>
      <c r="I5">
        <v>0</v>
      </c>
    </row>
    <row r="6" spans="1:9" ht="29.9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4" t="s">
        <v>660</v>
      </c>
      <c r="H6" s="7" t="s">
        <v>255</v>
      </c>
      <c r="I6">
        <v>0</v>
      </c>
    </row>
    <row r="7" spans="1:9" ht="59.8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661</v>
      </c>
      <c r="H7" s="7" t="s">
        <v>255</v>
      </c>
      <c r="I7">
        <v>0</v>
      </c>
    </row>
    <row r="8" spans="1:9" ht="15.65">
      <c r="A8" s="18" t="s">
        <v>256</v>
      </c>
      <c r="B8" s="19">
        <v>3</v>
      </c>
      <c r="C8" s="19">
        <f t="shared" si="0"/>
        <v>52</v>
      </c>
      <c r="D8" s="19">
        <f t="shared" si="1"/>
        <v>50</v>
      </c>
      <c r="E8" s="18" t="s">
        <v>7</v>
      </c>
      <c r="F8" s="18" t="s">
        <v>236</v>
      </c>
      <c r="G8" s="4" t="s">
        <v>257</v>
      </c>
      <c r="H8" s="20" t="s">
        <v>258</v>
      </c>
      <c r="I8">
        <v>2</v>
      </c>
    </row>
    <row r="9" spans="1:9" ht="15.65">
      <c r="A9" s="18" t="s">
        <v>303</v>
      </c>
      <c r="B9" s="19">
        <v>1</v>
      </c>
      <c r="C9" s="19">
        <f t="shared" si="0"/>
        <v>53</v>
      </c>
      <c r="D9" s="19">
        <f t="shared" si="1"/>
        <v>53</v>
      </c>
      <c r="E9" s="18" t="s">
        <v>7</v>
      </c>
      <c r="F9" s="18" t="s">
        <v>236</v>
      </c>
      <c r="G9" s="4" t="s">
        <v>642</v>
      </c>
      <c r="H9" s="7" t="s">
        <v>255</v>
      </c>
      <c r="I9">
        <v>0</v>
      </c>
    </row>
    <row r="10" spans="1:9" ht="29.9">
      <c r="A10" s="18" t="s">
        <v>261</v>
      </c>
      <c r="B10" s="19">
        <v>1</v>
      </c>
      <c r="C10" s="19">
        <f t="shared" si="0"/>
        <v>54</v>
      </c>
      <c r="D10" s="19">
        <f t="shared" si="1"/>
        <v>54</v>
      </c>
      <c r="E10" s="18" t="s">
        <v>7</v>
      </c>
      <c r="F10" s="18" t="s">
        <v>236</v>
      </c>
      <c r="G10" s="4" t="s">
        <v>262</v>
      </c>
      <c r="H10" s="7" t="s">
        <v>255</v>
      </c>
      <c r="I10">
        <v>0</v>
      </c>
    </row>
    <row r="11" spans="1:9" ht="15.65">
      <c r="A11" s="18" t="s">
        <v>484</v>
      </c>
      <c r="B11" s="19">
        <v>4</v>
      </c>
      <c r="C11" s="19">
        <f t="shared" si="0"/>
        <v>58</v>
      </c>
      <c r="D11" s="19">
        <f t="shared" si="1"/>
        <v>55</v>
      </c>
      <c r="E11" s="18" t="str">
        <f>'Command register base=0x0'!E12</f>
        <v>RW</v>
      </c>
      <c r="F11" s="18" t="str">
        <f>'Command register base=0x0'!F12</f>
        <v>0x0</v>
      </c>
      <c r="G11" s="4" t="s">
        <v>257</v>
      </c>
      <c r="H11" s="20" t="s">
        <v>258</v>
      </c>
      <c r="I11">
        <v>2</v>
      </c>
    </row>
    <row r="12" spans="1:9" ht="15.65">
      <c r="A12" s="18" t="str">
        <f>'Command register base=0x0'!A13</f>
        <v>des_pwr_step</v>
      </c>
      <c r="B12" s="19">
        <v>4</v>
      </c>
      <c r="C12" s="19">
        <f t="shared" si="0"/>
        <v>62</v>
      </c>
      <c r="D12" s="19">
        <f t="shared" si="1"/>
        <v>59</v>
      </c>
      <c r="E12" s="18" t="str">
        <f>'Command register base=0x0'!E13</f>
        <v>RW</v>
      </c>
      <c r="F12" s="18" t="str">
        <f>'Command register base=0x0'!F13</f>
        <v>0x0</v>
      </c>
      <c r="G12" s="4" t="s">
        <v>260</v>
      </c>
      <c r="H12" s="7" t="s">
        <v>255</v>
      </c>
      <c r="I12">
        <v>0</v>
      </c>
    </row>
    <row r="13" spans="1:9" s="17" customFormat="1" ht="44.85">
      <c r="A13" s="21" t="str">
        <f>'Command register base=0x0'!A29</f>
        <v>des_opt_opd2_const</v>
      </c>
      <c r="B13" s="22">
        <f>'Command register base=0x0'!B29</f>
        <v>1</v>
      </c>
      <c r="C13" s="19">
        <f t="shared" si="0"/>
        <v>63</v>
      </c>
      <c r="D13" s="19">
        <f t="shared" si="1"/>
        <v>63</v>
      </c>
      <c r="E13" s="21" t="str">
        <f>'Command register base=0x0'!E29</f>
        <v>RW</v>
      </c>
      <c r="F13" s="21" t="str">
        <f>'Command register base=0x0'!F29</f>
        <v>0x0</v>
      </c>
      <c r="G13" s="4" t="s">
        <v>640</v>
      </c>
      <c r="H13" s="7" t="s">
        <v>255</v>
      </c>
      <c r="I13">
        <v>0</v>
      </c>
    </row>
    <row r="14" spans="1:9" ht="119.55">
      <c r="A14" s="18" t="str">
        <f>'Command register base=0x0'!A23</f>
        <v>des_opt_res0_prec</v>
      </c>
      <c r="B14" s="19">
        <f>'Command register base=0x0'!B23</f>
        <v>3</v>
      </c>
      <c r="C14" s="19">
        <f t="shared" si="0"/>
        <v>66</v>
      </c>
      <c r="D14" s="19">
        <f t="shared" si="1"/>
        <v>64</v>
      </c>
      <c r="E14" s="18" t="str">
        <f>'Command register base=0x0'!E23</f>
        <v>RW</v>
      </c>
      <c r="F14" s="18" t="str">
        <f>'Command register base=0x0'!F23</f>
        <v>0x2</v>
      </c>
      <c r="G14" s="4" t="s">
        <v>662</v>
      </c>
      <c r="H14" s="7" t="s">
        <v>255</v>
      </c>
      <c r="I14">
        <v>0</v>
      </c>
    </row>
    <row r="15" spans="1:9" ht="134.5">
      <c r="A15" s="18" t="str">
        <f>'Command register base=0x0'!A25</f>
        <v>des_opt_opd1_prec</v>
      </c>
      <c r="B15" s="19">
        <f>'Command register base=0x0'!B25</f>
        <v>3</v>
      </c>
      <c r="C15" s="19">
        <f t="shared" si="0"/>
        <v>69</v>
      </c>
      <c r="D15" s="19">
        <f t="shared" si="1"/>
        <v>67</v>
      </c>
      <c r="E15" s="18" t="str">
        <f>'Command register base=0x0'!E25</f>
        <v>RW</v>
      </c>
      <c r="F15" s="18" t="str">
        <f>'Command register base=0x0'!F25</f>
        <v>0x2</v>
      </c>
      <c r="G15" s="4" t="s">
        <v>670</v>
      </c>
      <c r="H15" s="7" t="s">
        <v>255</v>
      </c>
      <c r="I15">
        <v>0</v>
      </c>
    </row>
    <row r="16" spans="1:9" ht="179.35">
      <c r="A16" s="18" t="s">
        <v>292</v>
      </c>
      <c r="B16" s="19">
        <v>3</v>
      </c>
      <c r="C16" s="19">
        <f t="shared" si="0"/>
        <v>72</v>
      </c>
      <c r="D16" s="19">
        <f t="shared" si="1"/>
        <v>70</v>
      </c>
      <c r="E16" s="18" t="s">
        <v>7</v>
      </c>
      <c r="F16" s="18" t="s">
        <v>236</v>
      </c>
      <c r="G16" s="12" t="s">
        <v>664</v>
      </c>
      <c r="H16" s="7" t="s">
        <v>255</v>
      </c>
      <c r="I16">
        <v>0</v>
      </c>
    </row>
    <row r="17" spans="1:429" ht="15.65">
      <c r="A17" s="18" t="s">
        <v>671</v>
      </c>
      <c r="B17" s="19">
        <v>7</v>
      </c>
      <c r="C17" s="19">
        <f t="shared" ref="C17" si="4">B17+D17-1</f>
        <v>79</v>
      </c>
      <c r="D17" s="19">
        <f t="shared" si="1"/>
        <v>73</v>
      </c>
      <c r="E17" s="18" t="s">
        <v>7</v>
      </c>
      <c r="F17" s="18" t="s">
        <v>236</v>
      </c>
      <c r="G17" s="4" t="s">
        <v>257</v>
      </c>
      <c r="H17" s="20" t="s">
        <v>258</v>
      </c>
      <c r="I17">
        <v>2</v>
      </c>
    </row>
    <row r="18" spans="1:429" ht="29.9">
      <c r="A18" s="18" t="str">
        <f>'Command register base=0x0'!A56</f>
        <v>des_res0_n</v>
      </c>
      <c r="B18" s="19">
        <f>'Command register base=0x0'!B56</f>
        <v>16</v>
      </c>
      <c r="C18" s="19">
        <f t="shared" si="0"/>
        <v>95</v>
      </c>
      <c r="D18" s="19">
        <f t="shared" si="1"/>
        <v>80</v>
      </c>
      <c r="E18" s="18" t="str">
        <f>'Command register base=0x0'!E56</f>
        <v>RW</v>
      </c>
      <c r="F18" s="18" t="str">
        <f>'Command register base=0x0'!F56</f>
        <v>0x1</v>
      </c>
      <c r="G18" s="4" t="s">
        <v>665</v>
      </c>
      <c r="H18" s="7" t="s">
        <v>255</v>
      </c>
      <c r="I18">
        <v>0</v>
      </c>
    </row>
    <row r="19" spans="1:429" ht="15.65">
      <c r="A19" s="18" t="str">
        <f>'Command register base=0x0'!A57</f>
        <v>des_res0_c</v>
      </c>
      <c r="B19" s="19">
        <f>'Command register base=0x0'!B57</f>
        <v>16</v>
      </c>
      <c r="C19" s="19">
        <f t="shared" si="0"/>
        <v>111</v>
      </c>
      <c r="D19" s="19">
        <f t="shared" si="1"/>
        <v>96</v>
      </c>
      <c r="E19" s="18" t="str">
        <f>'Command register base=0x0'!E57</f>
        <v>RW</v>
      </c>
      <c r="F19" s="18" t="str">
        <f>'Command register base=0x0'!F57</f>
        <v>0x1</v>
      </c>
      <c r="G19" s="4" t="s">
        <v>491</v>
      </c>
      <c r="H19" s="7" t="s">
        <v>255</v>
      </c>
      <c r="I19">
        <v>0</v>
      </c>
    </row>
    <row r="20" spans="1:429" ht="15.65">
      <c r="A20" s="18" t="str">
        <f>'Command register base=0x0'!A58</f>
        <v>des_res0_h</v>
      </c>
      <c r="B20" s="19">
        <f>'Command register base=0x0'!B58</f>
        <v>16</v>
      </c>
      <c r="C20" s="19">
        <f t="shared" si="0"/>
        <v>127</v>
      </c>
      <c r="D20" s="19">
        <f t="shared" si="1"/>
        <v>112</v>
      </c>
      <c r="E20" s="18" t="str">
        <f>'Command register base=0x0'!E58</f>
        <v>RW</v>
      </c>
      <c r="F20" s="18" t="str">
        <f>'Command register base=0x0'!F58</f>
        <v>0x1</v>
      </c>
      <c r="G20" s="4" t="s">
        <v>492</v>
      </c>
      <c r="H20" s="7" t="s">
        <v>255</v>
      </c>
      <c r="I20">
        <v>0</v>
      </c>
    </row>
    <row r="21" spans="1:429" ht="15.65">
      <c r="A21" s="18" t="str">
        <f>'Command register base=0x0'!A59</f>
        <v>des_res0_w</v>
      </c>
      <c r="B21" s="19">
        <f>'Command register base=0x0'!B59</f>
        <v>16</v>
      </c>
      <c r="C21" s="19">
        <f t="shared" si="0"/>
        <v>143</v>
      </c>
      <c r="D21" s="19">
        <f t="shared" si="1"/>
        <v>128</v>
      </c>
      <c r="E21" s="18" t="str">
        <f>'Command register base=0x0'!E59</f>
        <v>RW</v>
      </c>
      <c r="F21" s="18" t="str">
        <f>'Command register base=0x0'!F59</f>
        <v>0x1</v>
      </c>
      <c r="G21" s="4" t="s">
        <v>493</v>
      </c>
      <c r="H21" s="7" t="s">
        <v>255</v>
      </c>
      <c r="I21">
        <v>0</v>
      </c>
    </row>
    <row r="22" spans="1:429" ht="15.65">
      <c r="A22" s="18" t="str">
        <f>'Command register base=0x0'!A62</f>
        <v>des_opd0_h</v>
      </c>
      <c r="B22" s="19">
        <f>'Command register base=0x0'!B62</f>
        <v>16</v>
      </c>
      <c r="C22" s="19">
        <f t="shared" si="0"/>
        <v>159</v>
      </c>
      <c r="D22" s="19">
        <f t="shared" si="1"/>
        <v>144</v>
      </c>
      <c r="E22" s="18" t="str">
        <f>'Command register base=0x0'!E62</f>
        <v>RW</v>
      </c>
      <c r="F22" s="18" t="str">
        <f>'Command register base=0x0'!F62</f>
        <v>0x1</v>
      </c>
      <c r="G22" s="4" t="s">
        <v>495</v>
      </c>
      <c r="H22" s="7" t="s">
        <v>255</v>
      </c>
      <c r="I22">
        <v>0</v>
      </c>
    </row>
    <row r="23" spans="1:429" ht="15.65">
      <c r="A23" s="18" t="str">
        <f>'Command register base=0x0'!A76</f>
        <v>des_res0_addr</v>
      </c>
      <c r="B23" s="19">
        <v>32</v>
      </c>
      <c r="C23" s="19">
        <f t="shared" si="0"/>
        <v>191</v>
      </c>
      <c r="D23" s="19">
        <f t="shared" si="1"/>
        <v>160</v>
      </c>
      <c r="E23" s="18" t="str">
        <f>'Command register base=0x0'!E76</f>
        <v>RW</v>
      </c>
      <c r="F23" s="18" t="str">
        <f>'Command register base=0x0'!F76</f>
        <v>0x0</v>
      </c>
      <c r="G23" s="4" t="s">
        <v>382</v>
      </c>
      <c r="H23" s="7" t="s">
        <v>255</v>
      </c>
      <c r="I23">
        <v>0</v>
      </c>
    </row>
    <row r="24" spans="1:429" ht="15.65">
      <c r="A24" s="18" t="str">
        <f>'Command register base=0x0'!A77</f>
        <v>des_opd0_addr</v>
      </c>
      <c r="B24" s="19">
        <v>32</v>
      </c>
      <c r="C24" s="19">
        <f t="shared" si="0"/>
        <v>223</v>
      </c>
      <c r="D24" s="19">
        <f t="shared" si="1"/>
        <v>192</v>
      </c>
      <c r="E24" s="18" t="str">
        <f>'Command register base=0x0'!E77</f>
        <v>RW</v>
      </c>
      <c r="F24" s="18" t="str">
        <f>'Command register base=0x0'!F77</f>
        <v>0x0</v>
      </c>
      <c r="G24" s="4" t="s">
        <v>471</v>
      </c>
      <c r="H24" s="7" t="s">
        <v>255</v>
      </c>
      <c r="I24">
        <v>0</v>
      </c>
    </row>
    <row r="25" spans="1:429" ht="15.65">
      <c r="A25" s="18" t="str">
        <f>'Command register base=0x0'!A78</f>
        <v>des_opd1_addr</v>
      </c>
      <c r="B25" s="19">
        <v>32</v>
      </c>
      <c r="C25" s="19">
        <f t="shared" si="0"/>
        <v>255</v>
      </c>
      <c r="D25" s="19">
        <f t="shared" si="1"/>
        <v>224</v>
      </c>
      <c r="E25" s="18" t="str">
        <f>'Command register base=0x0'!E78</f>
        <v>RW</v>
      </c>
      <c r="F25" s="18" t="str">
        <f>'Command register base=0x0'!F78</f>
        <v>0x0</v>
      </c>
      <c r="G25" s="4" t="s">
        <v>502</v>
      </c>
      <c r="H25" s="7" t="s">
        <v>255</v>
      </c>
      <c r="I25">
        <v>0</v>
      </c>
    </row>
    <row r="26" spans="1:429" s="17" customFormat="1" ht="15.65">
      <c r="A26" s="21" t="str">
        <f>'Command register base=0x0'!A79</f>
        <v>des_opd2_addr</v>
      </c>
      <c r="B26" s="22">
        <f>'Command register base=0x0'!B79</f>
        <v>32</v>
      </c>
      <c r="C26" s="19">
        <f t="shared" si="0"/>
        <v>287</v>
      </c>
      <c r="D26" s="19">
        <f t="shared" si="1"/>
        <v>256</v>
      </c>
      <c r="E26" s="21" t="str">
        <f>'Command register base=0x0'!E79</f>
        <v>RW</v>
      </c>
      <c r="F26" s="21" t="str">
        <f>'Command register base=0x0'!F79</f>
        <v>0x0</v>
      </c>
      <c r="G26" s="4" t="s">
        <v>653</v>
      </c>
      <c r="H26" s="7" t="s">
        <v>255</v>
      </c>
      <c r="I26">
        <v>0</v>
      </c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/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/>
      <c r="LM26"/>
      <c r="LN26"/>
      <c r="LO26"/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  <c r="MK26"/>
      <c r="ML26"/>
      <c r="MM26"/>
      <c r="MN26"/>
      <c r="MO26"/>
      <c r="MP26"/>
      <c r="MQ26"/>
      <c r="MR26"/>
      <c r="MS26"/>
      <c r="MT26"/>
      <c r="MU26"/>
      <c r="MV26"/>
      <c r="MW26"/>
      <c r="MX26"/>
      <c r="MY26"/>
      <c r="MZ26"/>
      <c r="NA26"/>
      <c r="NB26"/>
      <c r="NC26"/>
      <c r="ND26"/>
      <c r="NE26"/>
      <c r="NF26"/>
      <c r="NG26"/>
      <c r="NH26"/>
      <c r="NI26"/>
      <c r="NJ26"/>
      <c r="NK26"/>
      <c r="NL26"/>
      <c r="NM26"/>
      <c r="NN26"/>
      <c r="NO26"/>
      <c r="NP26"/>
      <c r="NQ26"/>
      <c r="NR26"/>
      <c r="NS26"/>
      <c r="NT26"/>
      <c r="NU26"/>
      <c r="NV26"/>
      <c r="NW26"/>
      <c r="NX26"/>
      <c r="NY26"/>
      <c r="NZ26"/>
      <c r="OA26"/>
      <c r="OB26"/>
      <c r="OC26"/>
      <c r="OD26"/>
      <c r="OE26"/>
      <c r="OF26"/>
      <c r="OG26"/>
      <c r="OH26"/>
      <c r="OI26"/>
      <c r="OJ26"/>
      <c r="OK26"/>
      <c r="OL26"/>
      <c r="OM26"/>
      <c r="ON26"/>
      <c r="OO26"/>
      <c r="OP26"/>
      <c r="OQ26"/>
      <c r="OR26"/>
      <c r="OS26"/>
      <c r="OT26"/>
      <c r="OU26"/>
      <c r="OV26"/>
      <c r="OW26"/>
      <c r="OX26"/>
      <c r="OY26"/>
      <c r="OZ26"/>
      <c r="PA26"/>
      <c r="PB26"/>
      <c r="PC26"/>
      <c r="PD26"/>
      <c r="PE26"/>
      <c r="PF26"/>
      <c r="PG26"/>
      <c r="PH26"/>
      <c r="PI26"/>
      <c r="PJ26"/>
      <c r="PK26"/>
      <c r="PL26"/>
      <c r="PM26"/>
    </row>
    <row r="27" spans="1:429" s="17" customFormat="1" ht="29.9">
      <c r="A27" s="21" t="s">
        <v>405</v>
      </c>
      <c r="B27" s="22">
        <f>'Command register base=0x0'!B80</f>
        <v>32</v>
      </c>
      <c r="C27" s="19">
        <f t="shared" ref="C27:C28" si="5">B27+D27-1</f>
        <v>319</v>
      </c>
      <c r="D27" s="19">
        <f t="shared" si="1"/>
        <v>288</v>
      </c>
      <c r="E27" s="21" t="str">
        <f>'Command register base=0x0'!E80</f>
        <v>RW</v>
      </c>
      <c r="F27" s="21" t="str">
        <f>'Command register base=0x0'!F80</f>
        <v>0x1</v>
      </c>
      <c r="G27" s="4" t="s">
        <v>672</v>
      </c>
      <c r="H27" s="7" t="s">
        <v>255</v>
      </c>
      <c r="I27">
        <v>0</v>
      </c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/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/>
      <c r="LM27"/>
      <c r="LN27"/>
      <c r="LO27"/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  <c r="MK27"/>
      <c r="ML27"/>
      <c r="MM27"/>
      <c r="MN27"/>
      <c r="MO27"/>
      <c r="MP27"/>
      <c r="MQ27"/>
      <c r="MR27"/>
      <c r="MS27"/>
      <c r="MT27"/>
      <c r="MU27"/>
      <c r="MV27"/>
      <c r="MW27"/>
      <c r="MX27"/>
      <c r="MY27"/>
      <c r="MZ27"/>
      <c r="NA27"/>
      <c r="NB27"/>
      <c r="NC27"/>
      <c r="ND27"/>
      <c r="NE27"/>
      <c r="NF27"/>
      <c r="NG27"/>
      <c r="NH27"/>
      <c r="NI27"/>
      <c r="NJ27"/>
      <c r="NK27"/>
      <c r="NL27"/>
      <c r="NM27"/>
      <c r="NN27"/>
      <c r="NO27"/>
      <c r="NP27"/>
      <c r="NQ27"/>
      <c r="NR27"/>
      <c r="NS27"/>
      <c r="NT27"/>
      <c r="NU27"/>
      <c r="NV27"/>
      <c r="NW27"/>
      <c r="NX27"/>
      <c r="NY27"/>
      <c r="NZ27"/>
      <c r="OA27"/>
      <c r="OB27"/>
      <c r="OC27"/>
      <c r="OD27"/>
      <c r="OE27"/>
      <c r="OF27"/>
      <c r="OG27"/>
      <c r="OH27"/>
      <c r="OI27"/>
      <c r="OJ27"/>
      <c r="OK27"/>
      <c r="OL27"/>
      <c r="OM27"/>
      <c r="ON27"/>
      <c r="OO27"/>
      <c r="OP27"/>
      <c r="OQ27"/>
      <c r="OR27"/>
      <c r="OS27"/>
      <c r="OT27"/>
      <c r="OU27"/>
      <c r="OV27"/>
      <c r="OW27"/>
      <c r="OX27"/>
      <c r="OY27"/>
      <c r="OZ27"/>
      <c r="PA27"/>
      <c r="PB27"/>
      <c r="PC27"/>
      <c r="PD27"/>
      <c r="PE27"/>
      <c r="PF27"/>
      <c r="PG27"/>
      <c r="PH27"/>
      <c r="PI27"/>
      <c r="PJ27"/>
      <c r="PK27"/>
      <c r="PL27"/>
      <c r="PM27"/>
    </row>
    <row r="28" spans="1:429" ht="15.65">
      <c r="A28" s="18" t="s">
        <v>673</v>
      </c>
      <c r="B28" s="19">
        <v>64</v>
      </c>
      <c r="C28" s="19">
        <f t="shared" si="5"/>
        <v>383</v>
      </c>
      <c r="D28" s="19">
        <f t="shared" ref="D28" si="6">C27+1</f>
        <v>320</v>
      </c>
      <c r="E28" s="18" t="s">
        <v>7</v>
      </c>
      <c r="F28" s="18" t="s">
        <v>236</v>
      </c>
      <c r="G28" s="4" t="s">
        <v>257</v>
      </c>
      <c r="H28" s="20" t="s">
        <v>258</v>
      </c>
      <c r="I28">
        <v>2</v>
      </c>
    </row>
  </sheetData>
  <customSheetViews>
    <customSheetView guid="{465993EB-2174-44B8-8988-073286CA386F}" topLeftCell="A16">
      <selection activeCell="A25" sqref="A25"/>
      <pageMargins left="0.7" right="0.7" top="0.75" bottom="0.75" header="0.3" footer="0.3"/>
    </customSheetView>
    <customSheetView guid="{C03D8012-5FAF-4C48-B7E4-56A55E52A74B}" topLeftCell="A16">
      <selection activeCell="A25" sqref="A25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zoomScaleNormal="100" workbookViewId="0">
      <pane xSplit="1" topLeftCell="B1" activePane="topRight" state="frozen"/>
      <selection activeCell="A4" sqref="A4"/>
      <selection pane="topRight" activeCell="J12" sqref="J12"/>
    </sheetView>
  </sheetViews>
  <sheetFormatPr defaultColWidth="9" defaultRowHeight="12.9"/>
  <cols>
    <col min="1" max="1" width="23.75" style="118" customWidth="1"/>
    <col min="2" max="2" width="8.125" style="118" customWidth="1"/>
    <col min="3" max="4" width="7.875" style="118" customWidth="1"/>
    <col min="5" max="5" width="4.875" style="118" customWidth="1"/>
    <col min="6" max="6" width="14.875" style="118" customWidth="1"/>
    <col min="7" max="7" width="57.375" style="118" customWidth="1"/>
    <col min="8" max="8" width="12.875" style="118" customWidth="1"/>
    <col min="9" max="9" width="9" style="118"/>
    <col min="10" max="10" width="41.375" style="118" customWidth="1"/>
    <col min="11" max="16384" width="9" style="118"/>
  </cols>
  <sheetData>
    <row r="1" spans="1:9" ht="27.85" thickBot="1">
      <c r="A1" s="124" t="s">
        <v>221</v>
      </c>
      <c r="B1" s="124" t="s">
        <v>4</v>
      </c>
      <c r="C1" s="124" t="s">
        <v>5</v>
      </c>
      <c r="D1" s="124" t="s">
        <v>6</v>
      </c>
      <c r="E1" s="124" t="s">
        <v>7</v>
      </c>
      <c r="F1" s="124" t="s">
        <v>8</v>
      </c>
      <c r="G1" s="124" t="s">
        <v>9</v>
      </c>
      <c r="H1" s="123" t="s">
        <v>189</v>
      </c>
      <c r="I1" s="122" t="s">
        <v>481</v>
      </c>
    </row>
    <row r="2" spans="1:9" ht="16.3" thickBot="1">
      <c r="A2" s="18" t="str">
        <f>'Command register base=0x0'!A2</f>
        <v>des_cmd_short</v>
      </c>
      <c r="B2" s="126">
        <f>'Command register base=0x0'!B2</f>
        <v>1</v>
      </c>
      <c r="C2" s="19">
        <f t="shared" ref="C2:C7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119" t="s">
        <v>899</v>
      </c>
      <c r="H2" s="121" t="s">
        <v>255</v>
      </c>
      <c r="I2" s="118">
        <v>0</v>
      </c>
    </row>
    <row r="3" spans="1:9" customFormat="1" ht="30.6" thickBot="1">
      <c r="A3" s="18" t="str">
        <f>'Command register base=0x0'!A3</f>
        <v>des_op_code</v>
      </c>
      <c r="B3" s="126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515</v>
      </c>
      <c r="H3" s="7" t="s">
        <v>255</v>
      </c>
      <c r="I3">
        <v>0</v>
      </c>
    </row>
    <row r="4" spans="1:9" customFormat="1" ht="30.6" thickBot="1">
      <c r="A4" s="18" t="str">
        <f>'Command register base=0x0'!A4</f>
        <v>des_cmd_id_dep</v>
      </c>
      <c r="B4" s="126">
        <f>'Command register base=0x0'!B4</f>
        <v>23</v>
      </c>
      <c r="C4" s="19">
        <f t="shared" si="0"/>
        <v>39</v>
      </c>
      <c r="D4" s="19">
        <f t="shared" ref="D4:D7" si="1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customFormat="1" ht="16.3" thickBot="1">
      <c r="A5" s="18" t="str">
        <f>'Command register base=0x0'!A5</f>
        <v>des_dbg_mode</v>
      </c>
      <c r="B5" s="126">
        <f>'Command register base=0x0'!B5</f>
        <v>1</v>
      </c>
      <c r="C5" s="19">
        <f t="shared" ref="C5:C6" si="2">D5+B5-1</f>
        <v>40</v>
      </c>
      <c r="D5" s="19">
        <f t="shared" si="1"/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900</v>
      </c>
      <c r="H5" s="7" t="s">
        <v>255</v>
      </c>
      <c r="I5">
        <v>0</v>
      </c>
    </row>
    <row r="6" spans="1:9" customFormat="1" ht="30.6" thickBot="1">
      <c r="A6" s="18" t="str">
        <f>'Command register base=0x0'!A6</f>
        <v>des_tsk_typ</v>
      </c>
      <c r="B6" s="126">
        <f>'Command register base=0x0'!B6</f>
        <v>4</v>
      </c>
      <c r="C6" s="19">
        <f t="shared" si="2"/>
        <v>44</v>
      </c>
      <c r="D6" s="19">
        <f t="shared" si="1"/>
        <v>41</v>
      </c>
      <c r="E6" s="19" t="str">
        <f>'Command register base=0x0'!E6</f>
        <v>RW</v>
      </c>
      <c r="F6" s="19" t="str">
        <f>'Command register base=0x0'!F6</f>
        <v>0x0</v>
      </c>
      <c r="G6" s="2" t="s">
        <v>884</v>
      </c>
      <c r="H6" s="7" t="s">
        <v>255</v>
      </c>
      <c r="I6">
        <v>0</v>
      </c>
    </row>
    <row r="7" spans="1:9" customFormat="1" ht="75.400000000000006" thickBot="1">
      <c r="A7" s="18" t="str">
        <f>'Command register base=0x0'!A7</f>
        <v>des_tsk_eu_typ</v>
      </c>
      <c r="B7" s="126">
        <f>'Command register base=0x0'!B7</f>
        <v>5</v>
      </c>
      <c r="C7" s="19">
        <f t="shared" si="0"/>
        <v>49</v>
      </c>
      <c r="D7" s="19">
        <f t="shared" si="1"/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879</v>
      </c>
      <c r="H7" s="7" t="s">
        <v>255</v>
      </c>
      <c r="I7">
        <v>0</v>
      </c>
    </row>
    <row r="8" spans="1:9" ht="16.3" thickBot="1">
      <c r="A8" s="120" t="s">
        <v>259</v>
      </c>
      <c r="B8" s="125">
        <v>4</v>
      </c>
      <c r="C8" s="115">
        <f t="shared" ref="C8:C19" si="3">D8+B8-1</f>
        <v>53</v>
      </c>
      <c r="D8" s="115">
        <f>C7+1</f>
        <v>50</v>
      </c>
      <c r="E8" s="120" t="s">
        <v>7</v>
      </c>
      <c r="F8" s="120" t="s">
        <v>236</v>
      </c>
      <c r="G8" s="119" t="s">
        <v>260</v>
      </c>
      <c r="H8" s="121" t="s">
        <v>255</v>
      </c>
      <c r="I8" s="118">
        <v>0</v>
      </c>
    </row>
    <row r="9" spans="1:9" ht="30.6" thickBot="1">
      <c r="A9" s="120" t="s">
        <v>261</v>
      </c>
      <c r="B9" s="125">
        <v>1</v>
      </c>
      <c r="C9" s="115">
        <f t="shared" si="3"/>
        <v>54</v>
      </c>
      <c r="D9" s="115">
        <f>C8+1</f>
        <v>54</v>
      </c>
      <c r="E9" s="120" t="s">
        <v>7</v>
      </c>
      <c r="F9" s="120" t="s">
        <v>236</v>
      </c>
      <c r="G9" s="119" t="s">
        <v>262</v>
      </c>
      <c r="H9" s="121" t="s">
        <v>255</v>
      </c>
      <c r="I9" s="118">
        <v>0</v>
      </c>
    </row>
    <row r="10" spans="1:9" ht="45.55" thickBot="1">
      <c r="A10" s="120" t="s">
        <v>263</v>
      </c>
      <c r="B10" s="125">
        <v>1</v>
      </c>
      <c r="C10" s="115">
        <f t="shared" si="3"/>
        <v>55</v>
      </c>
      <c r="D10" s="115">
        <f>C9+1</f>
        <v>55</v>
      </c>
      <c r="E10" s="120" t="s">
        <v>7</v>
      </c>
      <c r="F10" s="120" t="s">
        <v>236</v>
      </c>
      <c r="G10" s="119" t="s">
        <v>880</v>
      </c>
      <c r="H10" s="121" t="s">
        <v>255</v>
      </c>
      <c r="I10" s="118">
        <v>0</v>
      </c>
    </row>
    <row r="11" spans="1:9" ht="75.400000000000006" thickBot="1">
      <c r="A11" s="120" t="s">
        <v>278</v>
      </c>
      <c r="B11" s="125">
        <v>3</v>
      </c>
      <c r="C11" s="115">
        <f t="shared" si="3"/>
        <v>58</v>
      </c>
      <c r="D11" s="115">
        <f>C10+1</f>
        <v>56</v>
      </c>
      <c r="E11" s="120" t="s">
        <v>7</v>
      </c>
      <c r="F11" s="120" t="s">
        <v>248</v>
      </c>
      <c r="G11" s="119" t="s">
        <v>878</v>
      </c>
      <c r="H11" s="121" t="s">
        <v>255</v>
      </c>
      <c r="I11" s="118">
        <v>0</v>
      </c>
    </row>
    <row r="12" spans="1:9" ht="45.55" thickBot="1">
      <c r="A12" s="199" t="s">
        <v>339</v>
      </c>
      <c r="B12" s="200">
        <v>64</v>
      </c>
      <c r="C12" s="201">
        <f t="shared" si="3"/>
        <v>127</v>
      </c>
      <c r="D12" s="201">
        <v>64</v>
      </c>
      <c r="E12" s="199" t="s">
        <v>7</v>
      </c>
      <c r="F12" s="199" t="s">
        <v>340</v>
      </c>
      <c r="G12" s="113" t="s">
        <v>341</v>
      </c>
      <c r="H12" s="113" t="s">
        <v>258</v>
      </c>
      <c r="I12" s="118">
        <v>0</v>
      </c>
    </row>
    <row r="13" spans="1:9" ht="16.3" thickBot="1">
      <c r="A13" s="120" t="s">
        <v>344</v>
      </c>
      <c r="B13" s="125">
        <v>16</v>
      </c>
      <c r="C13" s="115">
        <f t="shared" si="3"/>
        <v>143</v>
      </c>
      <c r="D13" s="115">
        <f t="shared" ref="D13:D19" si="4">C12+1</f>
        <v>128</v>
      </c>
      <c r="E13" s="120" t="s">
        <v>7</v>
      </c>
      <c r="F13" s="120" t="s">
        <v>266</v>
      </c>
      <c r="G13" s="119" t="s">
        <v>491</v>
      </c>
      <c r="H13" s="121" t="s">
        <v>255</v>
      </c>
      <c r="I13" s="118">
        <v>0</v>
      </c>
    </row>
    <row r="14" spans="1:9" ht="16.3" thickBot="1">
      <c r="A14" s="120" t="s">
        <v>348</v>
      </c>
      <c r="B14" s="125">
        <v>16</v>
      </c>
      <c r="C14" s="115">
        <f t="shared" si="3"/>
        <v>159</v>
      </c>
      <c r="D14" s="115">
        <f t="shared" si="4"/>
        <v>144</v>
      </c>
      <c r="E14" s="120" t="s">
        <v>7</v>
      </c>
      <c r="F14" s="120" t="s">
        <v>266</v>
      </c>
      <c r="G14" s="119" t="s">
        <v>493</v>
      </c>
      <c r="H14" s="121" t="s">
        <v>255</v>
      </c>
      <c r="I14" s="118">
        <v>0</v>
      </c>
    </row>
    <row r="15" spans="1:9" ht="16.5" customHeight="1" thickBot="1">
      <c r="A15" s="120" t="s">
        <v>377</v>
      </c>
      <c r="B15" s="125">
        <v>16</v>
      </c>
      <c r="C15" s="115">
        <f t="shared" si="3"/>
        <v>175</v>
      </c>
      <c r="D15" s="115">
        <f t="shared" si="4"/>
        <v>160</v>
      </c>
      <c r="E15" s="120" t="s">
        <v>7</v>
      </c>
      <c r="F15" s="120" t="s">
        <v>266</v>
      </c>
      <c r="G15" s="119" t="s">
        <v>887</v>
      </c>
      <c r="H15" s="121" t="s">
        <v>255</v>
      </c>
      <c r="I15" s="118">
        <v>0</v>
      </c>
    </row>
    <row r="16" spans="1:9" ht="16.3" thickBot="1">
      <c r="A16" s="120" t="s">
        <v>379</v>
      </c>
      <c r="B16" s="125">
        <v>16</v>
      </c>
      <c r="C16" s="115">
        <f t="shared" si="3"/>
        <v>191</v>
      </c>
      <c r="D16" s="115">
        <f t="shared" si="4"/>
        <v>176</v>
      </c>
      <c r="E16" s="120" t="s">
        <v>7</v>
      </c>
      <c r="F16" s="120" t="s">
        <v>266</v>
      </c>
      <c r="G16" s="119" t="s">
        <v>886</v>
      </c>
      <c r="H16" s="121" t="s">
        <v>255</v>
      </c>
      <c r="I16" s="118">
        <v>0</v>
      </c>
    </row>
    <row r="17" spans="1:9" ht="16.3" thickBot="1">
      <c r="A17" s="120" t="s">
        <v>381</v>
      </c>
      <c r="B17" s="125">
        <v>32</v>
      </c>
      <c r="C17" s="115">
        <f t="shared" si="3"/>
        <v>223</v>
      </c>
      <c r="D17" s="115">
        <f t="shared" si="4"/>
        <v>192</v>
      </c>
      <c r="E17" s="120" t="s">
        <v>7</v>
      </c>
      <c r="F17" s="120" t="s">
        <v>236</v>
      </c>
      <c r="G17" s="119" t="s">
        <v>382</v>
      </c>
      <c r="H17" s="121" t="s">
        <v>255</v>
      </c>
      <c r="I17" s="118">
        <v>0</v>
      </c>
    </row>
    <row r="18" spans="1:9" ht="16.3" thickBot="1">
      <c r="A18" s="120" t="s">
        <v>383</v>
      </c>
      <c r="B18" s="125">
        <v>32</v>
      </c>
      <c r="C18" s="115">
        <f t="shared" si="3"/>
        <v>255</v>
      </c>
      <c r="D18" s="115">
        <f t="shared" si="4"/>
        <v>224</v>
      </c>
      <c r="E18" s="120" t="s">
        <v>7</v>
      </c>
      <c r="F18" s="120" t="s">
        <v>236</v>
      </c>
      <c r="G18" s="119" t="s">
        <v>881</v>
      </c>
      <c r="H18" s="121" t="s">
        <v>255</v>
      </c>
      <c r="I18" s="118">
        <v>0</v>
      </c>
    </row>
    <row r="19" spans="1:9" ht="16.3" thickBot="1">
      <c r="A19" s="120" t="s">
        <v>405</v>
      </c>
      <c r="B19" s="125">
        <v>32</v>
      </c>
      <c r="C19" s="115">
        <f t="shared" si="3"/>
        <v>287</v>
      </c>
      <c r="D19" s="115">
        <f t="shared" si="4"/>
        <v>256</v>
      </c>
      <c r="E19" s="120" t="s">
        <v>7</v>
      </c>
      <c r="F19" s="120" t="s">
        <v>236</v>
      </c>
      <c r="G19" s="119" t="s">
        <v>882</v>
      </c>
      <c r="H19" s="121" t="s">
        <v>255</v>
      </c>
      <c r="I19" s="118">
        <v>0</v>
      </c>
    </row>
    <row r="20" spans="1:9">
      <c r="B20" s="116"/>
    </row>
    <row r="23" spans="1:9">
      <c r="F23" s="116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13" workbookViewId="0">
      <selection activeCell="G12" sqref="G12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1.25" customWidth="1"/>
    <col min="8" max="8" width="15.375" customWidth="1"/>
  </cols>
  <sheetData>
    <row r="1" spans="1:9" ht="27.2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" t="s">
        <v>9</v>
      </c>
      <c r="H1" s="10" t="s">
        <v>193</v>
      </c>
      <c r="I1" s="13" t="s">
        <v>481</v>
      </c>
    </row>
    <row r="2" spans="1:9" ht="15.65">
      <c r="A2" s="18" t="str">
        <f>'Command register base=0x0'!A2</f>
        <v>des_cmd_short</v>
      </c>
      <c r="B2" s="19">
        <v>1</v>
      </c>
      <c r="C2" s="19">
        <f t="shared" ref="C2:C23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2" t="s">
        <v>530</v>
      </c>
      <c r="H2" s="7" t="s">
        <v>255</v>
      </c>
      <c r="I2">
        <v>0</v>
      </c>
    </row>
    <row r="3" spans="1:9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2" t="s">
        <v>515</v>
      </c>
      <c r="H3" s="7" t="s">
        <v>255</v>
      </c>
      <c r="I3">
        <v>0</v>
      </c>
    </row>
    <row r="4" spans="1:9" ht="29.9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3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2" t="s">
        <v>241</v>
      </c>
      <c r="H4" s="7" t="s">
        <v>255</v>
      </c>
      <c r="I4">
        <v>0</v>
      </c>
    </row>
    <row r="5" spans="1:9" ht="15.6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1050</v>
      </c>
      <c r="H5" s="7" t="s">
        <v>255</v>
      </c>
      <c r="I5">
        <v>0</v>
      </c>
    </row>
    <row r="6" spans="1:9" ht="29.9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2" t="s">
        <v>553</v>
      </c>
      <c r="H6" s="7" t="s">
        <v>255</v>
      </c>
      <c r="I6">
        <v>0</v>
      </c>
    </row>
    <row r="7" spans="1:9" ht="89.7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2" t="s">
        <v>1057</v>
      </c>
      <c r="H7" s="7" t="s">
        <v>255</v>
      </c>
      <c r="I7">
        <v>0</v>
      </c>
    </row>
    <row r="8" spans="1:9" ht="15.65">
      <c r="A8" s="18" t="s">
        <v>256</v>
      </c>
      <c r="B8" s="19">
        <v>6</v>
      </c>
      <c r="C8" s="19">
        <f t="shared" si="0"/>
        <v>55</v>
      </c>
      <c r="D8" s="19">
        <f t="shared" si="1"/>
        <v>50</v>
      </c>
      <c r="E8" s="18" t="s">
        <v>7</v>
      </c>
      <c r="F8" s="18" t="s">
        <v>236</v>
      </c>
      <c r="G8" s="2" t="s">
        <v>257</v>
      </c>
      <c r="H8" s="20" t="s">
        <v>258</v>
      </c>
      <c r="I8">
        <v>2</v>
      </c>
    </row>
    <row r="9" spans="1:9" ht="15.65">
      <c r="A9" s="18" t="s">
        <v>734</v>
      </c>
      <c r="B9" s="19">
        <v>3</v>
      </c>
      <c r="C9" s="19">
        <f t="shared" si="0"/>
        <v>58</v>
      </c>
      <c r="D9" s="19">
        <f t="shared" si="1"/>
        <v>56</v>
      </c>
      <c r="E9" s="18" t="str">
        <f>'Command register base=0x0'!E12</f>
        <v>RW</v>
      </c>
      <c r="F9" s="18" t="str">
        <f>'Command register base=0x0'!F12</f>
        <v>0x0</v>
      </c>
      <c r="G9" s="2" t="s">
        <v>257</v>
      </c>
      <c r="H9" s="20" t="s">
        <v>258</v>
      </c>
      <c r="I9">
        <v>2</v>
      </c>
    </row>
    <row r="10" spans="1:9" ht="15.65">
      <c r="A10" s="18" t="s">
        <v>259</v>
      </c>
      <c r="B10" s="19">
        <v>4</v>
      </c>
      <c r="C10" s="19">
        <f t="shared" si="0"/>
        <v>62</v>
      </c>
      <c r="D10" s="19">
        <f t="shared" si="1"/>
        <v>59</v>
      </c>
      <c r="E10" s="18" t="str">
        <f>'Command register base=0x0'!E13</f>
        <v>RW</v>
      </c>
      <c r="F10" s="18" t="str">
        <f>'Command register base=0x0'!F13</f>
        <v>0x0</v>
      </c>
      <c r="G10" s="2" t="s">
        <v>260</v>
      </c>
      <c r="H10" s="7" t="s">
        <v>255</v>
      </c>
      <c r="I10">
        <v>0</v>
      </c>
    </row>
    <row r="11" spans="1:9" ht="15.65">
      <c r="A11" s="18" t="s">
        <v>261</v>
      </c>
      <c r="B11" s="19">
        <v>1</v>
      </c>
      <c r="C11" s="19">
        <f t="shared" si="0"/>
        <v>63</v>
      </c>
      <c r="D11" s="19">
        <f t="shared" si="1"/>
        <v>63</v>
      </c>
      <c r="E11" s="18" t="s">
        <v>7</v>
      </c>
      <c r="F11" s="18" t="s">
        <v>236</v>
      </c>
      <c r="G11" s="2" t="s">
        <v>257</v>
      </c>
      <c r="H11" s="7" t="s">
        <v>255</v>
      </c>
      <c r="I11">
        <v>0</v>
      </c>
    </row>
    <row r="12" spans="1:9" ht="313.85000000000002">
      <c r="A12" s="18" t="str">
        <f>'Command register base=0x0'!A23</f>
        <v>des_opt_res0_prec</v>
      </c>
      <c r="B12" s="19">
        <f>'Command register base=0x0'!B23</f>
        <v>3</v>
      </c>
      <c r="C12" s="19">
        <f t="shared" si="0"/>
        <v>66</v>
      </c>
      <c r="D12" s="19">
        <f t="shared" si="1"/>
        <v>64</v>
      </c>
      <c r="E12" s="18" t="str">
        <f>'Command register base=0x0'!E23</f>
        <v>RW</v>
      </c>
      <c r="F12" s="18" t="str">
        <f>'Command register base=0x0'!F23</f>
        <v>0x2</v>
      </c>
      <c r="G12" s="4" t="s">
        <v>555</v>
      </c>
      <c r="H12" s="7" t="s">
        <v>255</v>
      </c>
      <c r="I12">
        <v>0</v>
      </c>
    </row>
    <row r="13" spans="1:9" ht="149.44999999999999">
      <c r="A13" s="18" t="str">
        <f>'Command register base=0x0'!A24</f>
        <v>des_opt_opd0_prec</v>
      </c>
      <c r="B13" s="19">
        <f>'Command register base=0x0'!B24</f>
        <v>3</v>
      </c>
      <c r="C13" s="19">
        <f t="shared" si="0"/>
        <v>69</v>
      </c>
      <c r="D13" s="19">
        <f t="shared" si="1"/>
        <v>67</v>
      </c>
      <c r="E13" s="18" t="str">
        <f>'Command register base=0x0'!E24</f>
        <v>RW</v>
      </c>
      <c r="F13" s="18" t="str">
        <f>'Command register base=0x0'!F24</f>
        <v>0x2</v>
      </c>
      <c r="G13" s="4" t="s">
        <v>556</v>
      </c>
      <c r="H13" s="7" t="s">
        <v>255</v>
      </c>
      <c r="I13">
        <v>0</v>
      </c>
    </row>
    <row r="14" spans="1:9" ht="29.9">
      <c r="A14" s="18" t="str">
        <f>'Command register base=0x0'!A74</f>
        <v>des_opd2_n_str</v>
      </c>
      <c r="B14" s="19">
        <v>2</v>
      </c>
      <c r="C14" s="19">
        <f t="shared" si="0"/>
        <v>71</v>
      </c>
      <c r="D14" s="19">
        <f t="shared" si="1"/>
        <v>70</v>
      </c>
      <c r="E14" s="18" t="str">
        <f>'Command register base=0x0'!E74</f>
        <v>RW</v>
      </c>
      <c r="F14" s="18" t="str">
        <f>'Command register base=0x0'!F74</f>
        <v>0x1</v>
      </c>
      <c r="G14" s="2" t="s">
        <v>558</v>
      </c>
      <c r="H14" s="7" t="s">
        <v>255</v>
      </c>
      <c r="I14">
        <v>0</v>
      </c>
    </row>
    <row r="15" spans="1:9" ht="15.65">
      <c r="A15" s="18" t="s">
        <v>735</v>
      </c>
      <c r="B15" s="19">
        <v>8</v>
      </c>
      <c r="C15" s="19">
        <f t="shared" si="0"/>
        <v>79</v>
      </c>
      <c r="D15" s="19">
        <f t="shared" si="1"/>
        <v>72</v>
      </c>
      <c r="E15" s="18" t="str">
        <f>'Command register base=0x0'!E22</f>
        <v>RW</v>
      </c>
      <c r="F15" s="18" t="str">
        <f>'Command register base=0x0'!F22</f>
        <v>0x1</v>
      </c>
      <c r="G15" s="2" t="s">
        <v>257</v>
      </c>
      <c r="H15" s="20" t="s">
        <v>258</v>
      </c>
      <c r="I15">
        <v>2</v>
      </c>
    </row>
    <row r="16" spans="1:9" ht="15.65">
      <c r="A16" s="18" t="str">
        <f>'Command register base=0x0'!A56</f>
        <v>des_res0_n</v>
      </c>
      <c r="B16" s="19">
        <f>'Command register base=0x0'!B56</f>
        <v>16</v>
      </c>
      <c r="C16" s="19">
        <f t="shared" si="0"/>
        <v>95</v>
      </c>
      <c r="D16" s="19">
        <f t="shared" si="1"/>
        <v>80</v>
      </c>
      <c r="E16" s="18" t="str">
        <f>'Command register base=0x0'!E56</f>
        <v>RW</v>
      </c>
      <c r="F16" s="18" t="str">
        <f>'Command register base=0x0'!F56</f>
        <v>0x1</v>
      </c>
      <c r="G16" s="2" t="s">
        <v>456</v>
      </c>
      <c r="H16" s="7" t="s">
        <v>255</v>
      </c>
      <c r="I16">
        <v>0</v>
      </c>
    </row>
    <row r="17" spans="1:9" ht="15.65">
      <c r="A17" s="18" t="str">
        <f>'Command register base=0x0'!A57</f>
        <v>des_res0_c</v>
      </c>
      <c r="B17" s="19">
        <f>'Command register base=0x0'!B57</f>
        <v>16</v>
      </c>
      <c r="C17" s="19">
        <f t="shared" si="0"/>
        <v>111</v>
      </c>
      <c r="D17" s="19">
        <f t="shared" si="1"/>
        <v>96</v>
      </c>
      <c r="E17" s="18" t="str">
        <f>'Command register base=0x0'!E57</f>
        <v>RW</v>
      </c>
      <c r="F17" s="18" t="str">
        <f>'Command register base=0x0'!F57</f>
        <v>0x1</v>
      </c>
      <c r="G17" s="2" t="s">
        <v>345</v>
      </c>
      <c r="H17" s="7" t="s">
        <v>255</v>
      </c>
      <c r="I17">
        <v>0</v>
      </c>
    </row>
    <row r="18" spans="1:9" ht="15.65">
      <c r="A18" s="18" t="str">
        <f>'Command register base=0x0'!A58</f>
        <v>des_res0_h</v>
      </c>
      <c r="B18" s="19">
        <f>'Command register base=0x0'!B58</f>
        <v>16</v>
      </c>
      <c r="C18" s="19">
        <f t="shared" si="0"/>
        <v>127</v>
      </c>
      <c r="D18" s="19">
        <f t="shared" si="1"/>
        <v>112</v>
      </c>
      <c r="E18" s="18" t="str">
        <f>'Command register base=0x0'!E58</f>
        <v>RW</v>
      </c>
      <c r="F18" s="18" t="str">
        <f>'Command register base=0x0'!F58</f>
        <v>0x1</v>
      </c>
      <c r="G18" s="2" t="s">
        <v>457</v>
      </c>
      <c r="H18" s="7" t="s">
        <v>255</v>
      </c>
      <c r="I18">
        <v>0</v>
      </c>
    </row>
    <row r="19" spans="1:9" ht="15.65">
      <c r="A19" s="18" t="str">
        <f>'Command register base=0x0'!A59</f>
        <v>des_res0_w</v>
      </c>
      <c r="B19" s="19">
        <f>'Command register base=0x0'!B59</f>
        <v>16</v>
      </c>
      <c r="C19" s="19">
        <f t="shared" si="0"/>
        <v>143</v>
      </c>
      <c r="D19" s="19">
        <f t="shared" si="1"/>
        <v>128</v>
      </c>
      <c r="E19" s="18" t="str">
        <f>'Command register base=0x0'!E59</f>
        <v>RW</v>
      </c>
      <c r="F19" s="18" t="str">
        <f>'Command register base=0x0'!F59</f>
        <v>0x1</v>
      </c>
      <c r="G19" s="2" t="s">
        <v>458</v>
      </c>
      <c r="H19" s="7" t="s">
        <v>255</v>
      </c>
      <c r="I19">
        <v>0</v>
      </c>
    </row>
    <row r="20" spans="1:9" ht="44.85">
      <c r="A20" s="18" t="s">
        <v>358</v>
      </c>
      <c r="B20" s="19">
        <f>'Command register base=0x0'!B67</f>
        <v>16</v>
      </c>
      <c r="C20" s="19">
        <f t="shared" si="0"/>
        <v>159</v>
      </c>
      <c r="D20" s="19">
        <f t="shared" si="1"/>
        <v>144</v>
      </c>
      <c r="E20" s="18" t="str">
        <f>'Command register base=0x0'!E67</f>
        <v>RW</v>
      </c>
      <c r="F20" s="18" t="str">
        <f>'Command register base=0x0'!F67</f>
        <v>0x1</v>
      </c>
      <c r="G20" s="2" t="s">
        <v>557</v>
      </c>
      <c r="H20" s="7" t="s">
        <v>255</v>
      </c>
      <c r="I20">
        <v>0</v>
      </c>
    </row>
    <row r="21" spans="1:9" ht="15.65">
      <c r="A21" s="18" t="str">
        <f>'Command register base=0x0'!A76</f>
        <v>des_res0_addr</v>
      </c>
      <c r="B21" s="19">
        <f>'Command register base=0x0'!B76</f>
        <v>32</v>
      </c>
      <c r="C21" s="19">
        <f t="shared" si="0"/>
        <v>191</v>
      </c>
      <c r="D21" s="19">
        <f t="shared" si="1"/>
        <v>160</v>
      </c>
      <c r="E21" s="18" t="str">
        <f>'Command register base=0x0'!E76</f>
        <v>RW</v>
      </c>
      <c r="F21" s="18" t="str">
        <f>'Command register base=0x0'!F76</f>
        <v>0x0</v>
      </c>
      <c r="G21" s="2" t="s">
        <v>382</v>
      </c>
      <c r="H21" s="7" t="s">
        <v>255</v>
      </c>
      <c r="I21">
        <v>0</v>
      </c>
    </row>
    <row r="22" spans="1:9" ht="15.65">
      <c r="A22" s="18" t="str">
        <f>'Command register base=0x0'!A77</f>
        <v>des_opd0_addr</v>
      </c>
      <c r="B22" s="19">
        <f>'Command register base=0x0'!B77</f>
        <v>32</v>
      </c>
      <c r="C22" s="19">
        <f t="shared" si="0"/>
        <v>223</v>
      </c>
      <c r="D22" s="19">
        <f t="shared" si="1"/>
        <v>192</v>
      </c>
      <c r="E22" s="18" t="str">
        <f>'Command register base=0x0'!E77</f>
        <v>RW</v>
      </c>
      <c r="F22" s="18" t="str">
        <f>'Command register base=0x0'!F77</f>
        <v>0x0</v>
      </c>
      <c r="G22" s="2" t="s">
        <v>471</v>
      </c>
      <c r="H22" s="7" t="s">
        <v>255</v>
      </c>
      <c r="I22">
        <v>0</v>
      </c>
    </row>
    <row r="23" spans="1:9" ht="44.85">
      <c r="A23" s="18" t="str">
        <f>'Command register base=0x0'!A78</f>
        <v>des_opd1_addr</v>
      </c>
      <c r="B23" s="19">
        <f>'Command register base=0x0'!B78</f>
        <v>32</v>
      </c>
      <c r="C23" s="19">
        <f t="shared" si="0"/>
        <v>255</v>
      </c>
      <c r="D23" s="19">
        <f t="shared" si="1"/>
        <v>224</v>
      </c>
      <c r="E23" s="18" t="str">
        <f>'Command register base=0x0'!E78</f>
        <v>RW</v>
      </c>
      <c r="F23" s="18" t="str">
        <f>'Command register base=0x0'!F78</f>
        <v>0x0</v>
      </c>
      <c r="G23" s="2" t="s">
        <v>559</v>
      </c>
      <c r="H23" s="7" t="s">
        <v>255</v>
      </c>
      <c r="I23">
        <v>0</v>
      </c>
    </row>
  </sheetData>
  <customSheetViews>
    <customSheetView guid="{465993EB-2174-44B8-8988-073286CA386F}">
      <selection activeCell="G6" sqref="G6"/>
      <pageMargins left="0.7" right="0.7" top="0.75" bottom="0.75" header="0.3" footer="0.3"/>
      <pageSetup paperSize="9" orientation="portrait"/>
    </customSheetView>
    <customSheetView guid="{C03D8012-5FAF-4C48-B7E4-56A55E52A74B}">
      <selection activeCell="G6" sqref="G6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workbookViewId="0">
      <selection activeCell="O6" sqref="O6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59.5" customWidth="1"/>
    <col min="8" max="8" width="16.125" customWidth="1"/>
  </cols>
  <sheetData>
    <row r="1" spans="1:9" ht="54.3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561</v>
      </c>
      <c r="I1" s="13" t="s">
        <v>481</v>
      </c>
    </row>
    <row r="2" spans="1:9" ht="15.65">
      <c r="A2" s="18" t="str">
        <f>'Command register base=0x0'!A2</f>
        <v>des_cmd_short</v>
      </c>
      <c r="B2" s="19">
        <v>1</v>
      </c>
      <c r="C2" s="19">
        <f t="shared" ref="C2:C10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150" t="s">
        <v>1058</v>
      </c>
      <c r="H2" s="7" t="s">
        <v>255</v>
      </c>
      <c r="I2">
        <v>0</v>
      </c>
    </row>
    <row r="3" spans="1:9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515</v>
      </c>
      <c r="H3" s="7" t="s">
        <v>255</v>
      </c>
      <c r="I3">
        <v>0</v>
      </c>
    </row>
    <row r="4" spans="1:9" ht="30.6" thickBot="1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10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ht="16.3" thickBot="1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900</v>
      </c>
      <c r="H5" s="7" t="s">
        <v>255</v>
      </c>
      <c r="I5">
        <v>0</v>
      </c>
    </row>
    <row r="6" spans="1:9" ht="30.6" thickBot="1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562</v>
      </c>
      <c r="H6" s="7" t="s">
        <v>255</v>
      </c>
      <c r="I6">
        <v>0</v>
      </c>
    </row>
    <row r="7" spans="1:9" ht="74.7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33" t="s">
        <v>563</v>
      </c>
      <c r="H7" s="7" t="s">
        <v>255</v>
      </c>
      <c r="I7">
        <v>0</v>
      </c>
    </row>
    <row r="8" spans="1:9" ht="44.85">
      <c r="A8" s="18" t="str">
        <f>'Command register base=0x0'!A28</f>
        <v>des_opt_opd1_const</v>
      </c>
      <c r="B8" s="19">
        <f>'Command register base=0x0'!B28</f>
        <v>1</v>
      </c>
      <c r="C8" s="19">
        <f t="shared" si="0"/>
        <v>50</v>
      </c>
      <c r="D8" s="19">
        <f t="shared" si="1"/>
        <v>50</v>
      </c>
      <c r="E8" s="18" t="str">
        <f>'Command register base=0x0'!E28</f>
        <v>RW</v>
      </c>
      <c r="F8" s="18" t="str">
        <f>'Command register base=0x0'!F28</f>
        <v>0x0</v>
      </c>
      <c r="G8" s="33" t="s">
        <v>520</v>
      </c>
      <c r="H8" s="7" t="s">
        <v>255</v>
      </c>
      <c r="I8">
        <v>0</v>
      </c>
    </row>
    <row r="9" spans="1:9" ht="44.85">
      <c r="A9" s="18" t="str">
        <f>'Command register base=0x0'!A29</f>
        <v>des_opt_opd2_const</v>
      </c>
      <c r="B9" s="19">
        <f>'Command register base=0x0'!B29</f>
        <v>1</v>
      </c>
      <c r="C9" s="19">
        <f t="shared" si="0"/>
        <v>51</v>
      </c>
      <c r="D9" s="19">
        <f t="shared" si="1"/>
        <v>51</v>
      </c>
      <c r="E9" s="18" t="str">
        <f>'Command register base=0x0'!E29</f>
        <v>RW</v>
      </c>
      <c r="F9" s="18" t="str">
        <f>'Command register base=0x0'!F29</f>
        <v>0x0</v>
      </c>
      <c r="G9" s="33" t="s">
        <v>521</v>
      </c>
      <c r="H9" s="7" t="s">
        <v>255</v>
      </c>
      <c r="I9">
        <v>0</v>
      </c>
    </row>
    <row r="10" spans="1:9" ht="90.35" thickBot="1">
      <c r="A10" s="18" t="str">
        <f>'Command register base=0x0'!A23</f>
        <v>des_opt_res0_prec</v>
      </c>
      <c r="B10" s="19">
        <f>'Command register base=0x0'!B23</f>
        <v>3</v>
      </c>
      <c r="C10" s="19">
        <f t="shared" si="0"/>
        <v>54</v>
      </c>
      <c r="D10" s="19">
        <f t="shared" si="1"/>
        <v>52</v>
      </c>
      <c r="E10" s="18" t="str">
        <f>'Command register base=0x0'!E23</f>
        <v>RW</v>
      </c>
      <c r="F10" s="18" t="str">
        <f>'Command register base=0x0'!F23</f>
        <v>0x2</v>
      </c>
      <c r="G10" s="4" t="s">
        <v>865</v>
      </c>
      <c r="H10" s="7" t="s">
        <v>255</v>
      </c>
      <c r="I10">
        <v>0</v>
      </c>
    </row>
    <row r="11" spans="1:9" ht="16.3" thickBot="1">
      <c r="A11" s="18" t="s">
        <v>891</v>
      </c>
      <c r="B11" s="19">
        <v>29</v>
      </c>
      <c r="C11" s="19">
        <f t="shared" ref="C11:C13" si="4">D11+B11-1</f>
        <v>83</v>
      </c>
      <c r="D11" s="19">
        <f t="shared" ref="D11:D13" si="5">C10+1</f>
        <v>55</v>
      </c>
      <c r="E11" s="18"/>
      <c r="F11" s="18"/>
      <c r="G11" s="4"/>
      <c r="H11" s="7" t="s">
        <v>892</v>
      </c>
      <c r="I11">
        <v>0</v>
      </c>
    </row>
    <row r="12" spans="1:9" ht="90.35" thickBot="1">
      <c r="A12" s="18" t="s">
        <v>279</v>
      </c>
      <c r="B12" s="19">
        <f>'Command register base=0x0'!B25</f>
        <v>3</v>
      </c>
      <c r="C12" s="19">
        <f t="shared" si="4"/>
        <v>86</v>
      </c>
      <c r="D12" s="19">
        <f t="shared" si="5"/>
        <v>84</v>
      </c>
      <c r="E12" s="18" t="s">
        <v>7</v>
      </c>
      <c r="F12" s="18" t="s">
        <v>248</v>
      </c>
      <c r="G12" s="143" t="s">
        <v>1020</v>
      </c>
      <c r="H12" s="7" t="s">
        <v>255</v>
      </c>
      <c r="I12">
        <v>0</v>
      </c>
    </row>
    <row r="13" spans="1:9" ht="45.55" thickBot="1">
      <c r="A13" s="18" t="s">
        <v>867</v>
      </c>
      <c r="B13" s="19">
        <v>1</v>
      </c>
      <c r="C13" s="19">
        <f t="shared" si="4"/>
        <v>87</v>
      </c>
      <c r="D13" s="19">
        <f t="shared" si="5"/>
        <v>87</v>
      </c>
      <c r="E13" s="18" t="str">
        <f>'Command register base=0x0'!E24</f>
        <v>RW</v>
      </c>
      <c r="F13" s="18" t="s">
        <v>871</v>
      </c>
      <c r="G13" s="4" t="s">
        <v>866</v>
      </c>
      <c r="H13" s="7" t="s">
        <v>255</v>
      </c>
      <c r="I13">
        <v>0</v>
      </c>
    </row>
    <row r="14" spans="1:9" ht="44.85">
      <c r="A14" s="18" t="s">
        <v>868</v>
      </c>
      <c r="B14" s="19">
        <v>1</v>
      </c>
      <c r="C14" s="19">
        <f t="shared" ref="C14:C26" si="6">D14+B14-1</f>
        <v>88</v>
      </c>
      <c r="D14" s="19">
        <f t="shared" ref="D14:D26" si="7">C13+1</f>
        <v>88</v>
      </c>
      <c r="E14" s="18" t="str">
        <f>'Command register base=0x0'!E25</f>
        <v>RW</v>
      </c>
      <c r="F14" s="18" t="s">
        <v>236</v>
      </c>
      <c r="G14" s="4" t="s">
        <v>866</v>
      </c>
      <c r="H14" s="7" t="s">
        <v>255</v>
      </c>
      <c r="I14">
        <v>0</v>
      </c>
    </row>
    <row r="15" spans="1:9" ht="44.85">
      <c r="A15" s="18" t="s">
        <v>869</v>
      </c>
      <c r="B15" s="19">
        <v>1</v>
      </c>
      <c r="C15" s="19">
        <f t="shared" si="6"/>
        <v>89</v>
      </c>
      <c r="D15" s="19">
        <f t="shared" si="7"/>
        <v>89</v>
      </c>
      <c r="E15" s="18" t="str">
        <f>'Command register base=0x0'!E26</f>
        <v>RW</v>
      </c>
      <c r="F15" s="18" t="s">
        <v>236</v>
      </c>
      <c r="G15" s="4" t="s">
        <v>866</v>
      </c>
      <c r="H15" s="7" t="s">
        <v>255</v>
      </c>
      <c r="I15">
        <v>0</v>
      </c>
    </row>
    <row r="16" spans="1:9" ht="44.85">
      <c r="A16" s="18" t="s">
        <v>870</v>
      </c>
      <c r="B16" s="19">
        <v>1</v>
      </c>
      <c r="C16" s="19">
        <f t="shared" si="6"/>
        <v>90</v>
      </c>
      <c r="D16" s="19">
        <f t="shared" si="7"/>
        <v>90</v>
      </c>
      <c r="E16" s="18" t="str">
        <f>'Command register base=0x0'!E12</f>
        <v>RW</v>
      </c>
      <c r="F16" s="18" t="s">
        <v>236</v>
      </c>
      <c r="G16" s="4" t="s">
        <v>866</v>
      </c>
      <c r="H16" s="7" t="s">
        <v>255</v>
      </c>
      <c r="I16">
        <v>0</v>
      </c>
    </row>
    <row r="17" spans="1:9" ht="15.65">
      <c r="A17" s="18" t="s">
        <v>259</v>
      </c>
      <c r="B17" s="19">
        <f>'Command register base=0x0'!B13</f>
        <v>4</v>
      </c>
      <c r="C17" s="19">
        <f t="shared" si="6"/>
        <v>94</v>
      </c>
      <c r="D17" s="19">
        <f t="shared" si="7"/>
        <v>91</v>
      </c>
      <c r="E17" s="18" t="str">
        <f>'Command register base=0x0'!E13</f>
        <v>RW</v>
      </c>
      <c r="F17" s="18" t="str">
        <f>'Command register base=0x0'!F13</f>
        <v>0x0</v>
      </c>
      <c r="G17" s="4" t="s">
        <v>260</v>
      </c>
      <c r="H17" s="7" t="s">
        <v>255</v>
      </c>
      <c r="I17">
        <v>0</v>
      </c>
    </row>
    <row r="18" spans="1:9" ht="29.9">
      <c r="A18" s="18" t="s">
        <v>261</v>
      </c>
      <c r="B18" s="19">
        <v>1</v>
      </c>
      <c r="C18" s="19">
        <f t="shared" si="6"/>
        <v>95</v>
      </c>
      <c r="D18" s="19">
        <f t="shared" si="7"/>
        <v>95</v>
      </c>
      <c r="E18" s="18" t="str">
        <f>'Command register base=0x0'!E80</f>
        <v>RW</v>
      </c>
      <c r="F18" s="18" t="s">
        <v>236</v>
      </c>
      <c r="G18" s="4" t="s">
        <v>262</v>
      </c>
      <c r="H18" s="7" t="s">
        <v>255</v>
      </c>
      <c r="I18">
        <v>0</v>
      </c>
    </row>
    <row r="19" spans="1:9" ht="15.65">
      <c r="A19" s="18" t="str">
        <f>'Command register base=0x0'!A56</f>
        <v>des_res0_n</v>
      </c>
      <c r="B19" s="19">
        <f>'Command register base=0x0'!B56</f>
        <v>16</v>
      </c>
      <c r="C19" s="19">
        <f t="shared" si="6"/>
        <v>111</v>
      </c>
      <c r="D19" s="19">
        <f t="shared" si="7"/>
        <v>96</v>
      </c>
      <c r="E19" s="18" t="str">
        <f>'Command register base=0x0'!E56</f>
        <v>RW</v>
      </c>
      <c r="F19" s="18" t="str">
        <f>'Command register base=0x0'!F56</f>
        <v>0x1</v>
      </c>
      <c r="G19" s="33" t="s">
        <v>456</v>
      </c>
      <c r="H19" s="7" t="s">
        <v>255</v>
      </c>
      <c r="I19">
        <v>0</v>
      </c>
    </row>
    <row r="20" spans="1:9" ht="15.65">
      <c r="A20" s="18" t="str">
        <f>'Command register base=0x0'!A57</f>
        <v>des_res0_c</v>
      </c>
      <c r="B20" s="19">
        <f>'Command register base=0x0'!B57</f>
        <v>16</v>
      </c>
      <c r="C20" s="19">
        <f t="shared" si="6"/>
        <v>127</v>
      </c>
      <c r="D20" s="19">
        <f t="shared" si="7"/>
        <v>112</v>
      </c>
      <c r="E20" s="18" t="str">
        <f>'Command register base=0x0'!E57</f>
        <v>RW</v>
      </c>
      <c r="F20" s="18" t="str">
        <f>'Command register base=0x0'!F57</f>
        <v>0x1</v>
      </c>
      <c r="G20" s="33" t="s">
        <v>345</v>
      </c>
      <c r="H20" s="7" t="s">
        <v>255</v>
      </c>
      <c r="I20">
        <v>0</v>
      </c>
    </row>
    <row r="21" spans="1:9" ht="15.65">
      <c r="A21" s="18" t="str">
        <f>'Command register base=0x0'!A58</f>
        <v>des_res0_h</v>
      </c>
      <c r="B21" s="19">
        <f>'Command register base=0x0'!B58</f>
        <v>16</v>
      </c>
      <c r="C21" s="19">
        <f t="shared" si="6"/>
        <v>143</v>
      </c>
      <c r="D21" s="19">
        <f t="shared" si="7"/>
        <v>128</v>
      </c>
      <c r="E21" s="18" t="str">
        <f>'Command register base=0x0'!E58</f>
        <v>RW</v>
      </c>
      <c r="F21" s="18" t="str">
        <f>'Command register base=0x0'!F58</f>
        <v>0x1</v>
      </c>
      <c r="G21" s="33" t="s">
        <v>457</v>
      </c>
      <c r="H21" s="7" t="s">
        <v>255</v>
      </c>
      <c r="I21">
        <v>0</v>
      </c>
    </row>
    <row r="22" spans="1:9" ht="15.65">
      <c r="A22" s="18" t="str">
        <f>'Command register base=0x0'!A59</f>
        <v>des_res0_w</v>
      </c>
      <c r="B22" s="19">
        <f>'Command register base=0x0'!B59</f>
        <v>16</v>
      </c>
      <c r="C22" s="19">
        <f t="shared" si="6"/>
        <v>159</v>
      </c>
      <c r="D22" s="19">
        <f t="shared" si="7"/>
        <v>144</v>
      </c>
      <c r="E22" s="18" t="str">
        <f>'Command register base=0x0'!E59</f>
        <v>RW</v>
      </c>
      <c r="F22" s="18" t="str">
        <f>'Command register base=0x0'!F59</f>
        <v>0x1</v>
      </c>
      <c r="G22" s="33" t="s">
        <v>458</v>
      </c>
      <c r="H22" s="7" t="s">
        <v>255</v>
      </c>
      <c r="I22">
        <v>0</v>
      </c>
    </row>
    <row r="23" spans="1:9" ht="15.65">
      <c r="A23" s="18" t="str">
        <f>'Command register base=0x0'!A76</f>
        <v>des_res0_addr</v>
      </c>
      <c r="B23" s="19">
        <f>'Command register base=0x0'!B76</f>
        <v>32</v>
      </c>
      <c r="C23" s="19">
        <f t="shared" si="6"/>
        <v>191</v>
      </c>
      <c r="D23" s="19">
        <f t="shared" si="7"/>
        <v>160</v>
      </c>
      <c r="E23" s="18" t="str">
        <f>'Command register base=0x0'!E76</f>
        <v>RW</v>
      </c>
      <c r="F23" s="18" t="str">
        <f>'Command register base=0x0'!F76</f>
        <v>0x0</v>
      </c>
      <c r="G23" s="33" t="s">
        <v>382</v>
      </c>
      <c r="H23" s="7" t="s">
        <v>255</v>
      </c>
      <c r="I23">
        <v>0</v>
      </c>
    </row>
    <row r="24" spans="1:9" ht="15.65">
      <c r="A24" s="18" t="str">
        <f>'Command register base=0x0'!A77</f>
        <v>des_opd0_addr</v>
      </c>
      <c r="B24" s="19">
        <f>'Command register base=0x0'!B77</f>
        <v>32</v>
      </c>
      <c r="C24" s="19">
        <f t="shared" si="6"/>
        <v>223</v>
      </c>
      <c r="D24" s="19">
        <f t="shared" si="7"/>
        <v>192</v>
      </c>
      <c r="E24" s="18" t="str">
        <f>'Command register base=0x0'!E77</f>
        <v>RW</v>
      </c>
      <c r="F24" s="18" t="str">
        <f>'Command register base=0x0'!F77</f>
        <v>0x0</v>
      </c>
      <c r="G24" s="33" t="s">
        <v>471</v>
      </c>
      <c r="H24" s="7" t="s">
        <v>255</v>
      </c>
      <c r="I24">
        <v>0</v>
      </c>
    </row>
    <row r="25" spans="1:9" ht="29.9">
      <c r="A25" s="18" t="str">
        <f>'Command register base=0x0'!A78</f>
        <v>des_opd1_addr</v>
      </c>
      <c r="B25" s="19">
        <f>'Command register base=0x0'!B78</f>
        <v>32</v>
      </c>
      <c r="C25" s="19">
        <f t="shared" si="6"/>
        <v>255</v>
      </c>
      <c r="D25" s="19">
        <f t="shared" si="7"/>
        <v>224</v>
      </c>
      <c r="E25" s="18" t="str">
        <f>'Command register base=0x0'!E78</f>
        <v>RW</v>
      </c>
      <c r="F25" s="18" t="str">
        <f>'Command register base=0x0'!F78</f>
        <v>0x0</v>
      </c>
      <c r="G25" s="33" t="s">
        <v>566</v>
      </c>
      <c r="H25" s="7" t="s">
        <v>255</v>
      </c>
      <c r="I25">
        <v>0</v>
      </c>
    </row>
    <row r="26" spans="1:9" ht="29.9">
      <c r="A26" s="18" t="str">
        <f>'Command register base=0x0'!A79</f>
        <v>des_opd2_addr</v>
      </c>
      <c r="B26" s="19">
        <f>'Command register base=0x0'!B79</f>
        <v>32</v>
      </c>
      <c r="C26" s="19">
        <f t="shared" si="6"/>
        <v>287</v>
      </c>
      <c r="D26" s="19">
        <f t="shared" si="7"/>
        <v>256</v>
      </c>
      <c r="E26" s="18" t="str">
        <f>'Command register base=0x0'!E79</f>
        <v>RW</v>
      </c>
      <c r="F26" s="18" t="str">
        <f>'Command register base=0x0'!F79</f>
        <v>0x0</v>
      </c>
      <c r="G26" s="33" t="s">
        <v>567</v>
      </c>
      <c r="H26" s="7" t="s">
        <v>255</v>
      </c>
      <c r="I26">
        <v>0</v>
      </c>
    </row>
  </sheetData>
  <customSheetViews>
    <customSheetView guid="{465993EB-2174-44B8-8988-073286CA386F}" topLeftCell="A13">
      <selection activeCell="H55" sqref="H55"/>
      <pageMargins left="0.7" right="0.7" top="0.75" bottom="0.75" header="0.3" footer="0.3"/>
    </customSheetView>
    <customSheetView guid="{C03D8012-5FAF-4C48-B7E4-56A55E52A74B}" topLeftCell="A13">
      <selection activeCell="H55" sqref="H55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zoomScale="115" zoomScaleNormal="115" workbookViewId="0">
      <selection activeCell="H37" sqref="H37"/>
    </sheetView>
  </sheetViews>
  <sheetFormatPr defaultColWidth="8.875" defaultRowHeight="12.9"/>
  <cols>
    <col min="1" max="1" width="21.75" customWidth="1"/>
    <col min="3" max="4" width="8.625" customWidth="1"/>
    <col min="5" max="5" width="4.875" customWidth="1"/>
    <col min="6" max="6" width="8.5" customWidth="1"/>
    <col min="7" max="7" width="49.625" customWidth="1"/>
    <col min="8" max="8" width="73" customWidth="1"/>
  </cols>
  <sheetData>
    <row r="1" spans="1:9" ht="27.2">
      <c r="A1" s="1" t="s">
        <v>221</v>
      </c>
      <c r="B1" s="1" t="s">
        <v>685</v>
      </c>
      <c r="C1" s="1" t="s">
        <v>686</v>
      </c>
      <c r="D1" s="1" t="s">
        <v>687</v>
      </c>
      <c r="E1" s="1" t="s">
        <v>7</v>
      </c>
      <c r="F1" s="1" t="s">
        <v>8</v>
      </c>
      <c r="G1" s="1" t="s">
        <v>9</v>
      </c>
      <c r="H1" s="1" t="s">
        <v>189</v>
      </c>
      <c r="I1" s="9" t="s">
        <v>481</v>
      </c>
    </row>
    <row r="2" spans="1:9" ht="14.95">
      <c r="A2" s="2" t="s">
        <v>702</v>
      </c>
      <c r="B2" s="2">
        <v>32</v>
      </c>
      <c r="C2" s="2">
        <f t="shared" ref="C2:C9" si="0">B2+D2-1</f>
        <v>31</v>
      </c>
      <c r="D2" s="2">
        <v>0</v>
      </c>
      <c r="E2" s="2" t="s">
        <v>7</v>
      </c>
      <c r="F2" s="2" t="s">
        <v>236</v>
      </c>
      <c r="G2" s="2" t="s">
        <v>703</v>
      </c>
      <c r="H2" s="5" t="s">
        <v>255</v>
      </c>
      <c r="I2">
        <v>0</v>
      </c>
    </row>
    <row r="3" spans="1:9" ht="14.95">
      <c r="A3" s="2" t="s">
        <v>704</v>
      </c>
      <c r="B3" s="2">
        <v>8</v>
      </c>
      <c r="C3" s="2">
        <f t="shared" si="0"/>
        <v>39</v>
      </c>
      <c r="D3" s="2">
        <f>C2+1</f>
        <v>32</v>
      </c>
      <c r="E3" s="2"/>
      <c r="F3" s="2"/>
      <c r="G3" s="4" t="s">
        <v>705</v>
      </c>
      <c r="H3" s="5" t="s">
        <v>255</v>
      </c>
      <c r="I3">
        <v>0</v>
      </c>
    </row>
    <row r="4" spans="1:9" ht="29.9">
      <c r="A4" s="2" t="s">
        <v>261</v>
      </c>
      <c r="B4" s="2">
        <v>1</v>
      </c>
      <c r="C4" s="2">
        <f t="shared" si="0"/>
        <v>40</v>
      </c>
      <c r="D4" s="2">
        <f>C3+1</f>
        <v>40</v>
      </c>
      <c r="E4" s="2" t="s">
        <v>7</v>
      </c>
      <c r="F4" s="2" t="s">
        <v>236</v>
      </c>
      <c r="G4" s="4" t="s">
        <v>262</v>
      </c>
      <c r="H4" s="7" t="s">
        <v>255</v>
      </c>
      <c r="I4">
        <v>0</v>
      </c>
    </row>
    <row r="5" spans="1:9" ht="29.9">
      <c r="A5" s="2" t="s">
        <v>242</v>
      </c>
      <c r="B5" s="2">
        <v>4</v>
      </c>
      <c r="C5" s="2">
        <f t="shared" si="0"/>
        <v>44</v>
      </c>
      <c r="D5" s="2">
        <f t="shared" ref="D5:D9" si="1">C4+1</f>
        <v>41</v>
      </c>
      <c r="E5" s="2" t="s">
        <v>7</v>
      </c>
      <c r="F5" s="2" t="s">
        <v>236</v>
      </c>
      <c r="G5" s="2" t="s">
        <v>706</v>
      </c>
      <c r="H5" s="5" t="s">
        <v>255</v>
      </c>
      <c r="I5">
        <v>0</v>
      </c>
    </row>
    <row r="6" spans="1:9" ht="14.95">
      <c r="A6" s="106" t="s">
        <v>714</v>
      </c>
      <c r="B6" s="2">
        <v>3</v>
      </c>
      <c r="C6" s="2">
        <f t="shared" si="0"/>
        <v>47</v>
      </c>
      <c r="D6" s="2">
        <f t="shared" si="1"/>
        <v>45</v>
      </c>
      <c r="E6" s="2" t="s">
        <v>253</v>
      </c>
      <c r="F6" s="2" t="s">
        <v>254</v>
      </c>
      <c r="G6" s="106" t="s">
        <v>715</v>
      </c>
      <c r="H6" s="5" t="s">
        <v>255</v>
      </c>
      <c r="I6">
        <v>0</v>
      </c>
    </row>
    <row r="7" spans="1:9" ht="14.95">
      <c r="A7" s="2" t="s">
        <v>707</v>
      </c>
      <c r="B7" s="2">
        <v>8</v>
      </c>
      <c r="C7" s="2">
        <f t="shared" si="0"/>
        <v>55</v>
      </c>
      <c r="D7" s="2">
        <f t="shared" si="1"/>
        <v>48</v>
      </c>
      <c r="E7" s="2" t="s">
        <v>7</v>
      </c>
      <c r="F7" s="2" t="s">
        <v>236</v>
      </c>
      <c r="G7" s="4" t="s">
        <v>708</v>
      </c>
      <c r="H7" s="5" t="s">
        <v>255</v>
      </c>
      <c r="I7">
        <v>0</v>
      </c>
    </row>
    <row r="8" spans="1:9" ht="14.95">
      <c r="A8" s="2" t="s">
        <v>709</v>
      </c>
      <c r="B8" s="2">
        <v>8</v>
      </c>
      <c r="C8" s="2">
        <f t="shared" si="0"/>
        <v>63</v>
      </c>
      <c r="D8" s="2">
        <f t="shared" si="1"/>
        <v>56</v>
      </c>
      <c r="E8" s="2" t="s">
        <v>7</v>
      </c>
      <c r="F8" s="2" t="s">
        <v>236</v>
      </c>
      <c r="G8" s="4" t="s">
        <v>710</v>
      </c>
      <c r="H8" s="7" t="s">
        <v>255</v>
      </c>
      <c r="I8">
        <v>0</v>
      </c>
    </row>
    <row r="9" spans="1:9" ht="45.55" thickBot="1">
      <c r="A9" s="2" t="s">
        <v>711</v>
      </c>
      <c r="B9" s="2">
        <v>64</v>
      </c>
      <c r="C9" s="2">
        <f t="shared" si="0"/>
        <v>127</v>
      </c>
      <c r="D9" s="2">
        <f t="shared" si="1"/>
        <v>64</v>
      </c>
      <c r="E9" s="2" t="s">
        <v>7</v>
      </c>
      <c r="F9" s="2" t="s">
        <v>236</v>
      </c>
      <c r="G9" s="2" t="s">
        <v>712</v>
      </c>
      <c r="H9" s="5" t="s">
        <v>255</v>
      </c>
      <c r="I9">
        <v>0</v>
      </c>
    </row>
    <row r="10" spans="1:9" ht="15.65" thickBot="1">
      <c r="A10" s="2" t="s">
        <v>383</v>
      </c>
      <c r="B10" s="2">
        <v>32</v>
      </c>
      <c r="C10" s="2" t="s">
        <v>693</v>
      </c>
      <c r="D10" s="2" t="s">
        <v>693</v>
      </c>
      <c r="E10" s="2" t="s">
        <v>693</v>
      </c>
      <c r="F10" s="2" t="s">
        <v>693</v>
      </c>
      <c r="G10" s="2" t="s">
        <v>694</v>
      </c>
      <c r="H10" s="105" t="s">
        <v>716</v>
      </c>
      <c r="I10">
        <v>1</v>
      </c>
    </row>
    <row r="11" spans="1:9" ht="14.95">
      <c r="A11" s="2" t="s">
        <v>339</v>
      </c>
      <c r="B11" s="2">
        <v>64</v>
      </c>
      <c r="C11" s="2" t="s">
        <v>693</v>
      </c>
      <c r="D11" s="2" t="s">
        <v>693</v>
      </c>
      <c r="E11" s="2" t="s">
        <v>693</v>
      </c>
      <c r="F11" s="2" t="s">
        <v>693</v>
      </c>
      <c r="G11" s="2" t="s">
        <v>694</v>
      </c>
      <c r="H11" s="105" t="s">
        <v>717</v>
      </c>
      <c r="I11">
        <v>1</v>
      </c>
    </row>
    <row r="12" spans="1:9" ht="29.9">
      <c r="A12" s="106" t="s">
        <v>713</v>
      </c>
      <c r="B12" s="2">
        <v>32</v>
      </c>
      <c r="C12" s="2" t="s">
        <v>693</v>
      </c>
      <c r="D12" s="2" t="s">
        <v>693</v>
      </c>
      <c r="E12" s="2" t="s">
        <v>693</v>
      </c>
      <c r="F12" s="2" t="s">
        <v>693</v>
      </c>
      <c r="G12" s="2" t="s">
        <v>694</v>
      </c>
      <c r="H12" s="105" t="s">
        <v>718</v>
      </c>
      <c r="I12">
        <v>1</v>
      </c>
    </row>
  </sheetData>
  <customSheetViews>
    <customSheetView guid="{465993EB-2174-44B8-8988-073286CA386F}" scale="85">
      <selection activeCell="K7" sqref="K7"/>
      <pageMargins left="0.7" right="0.7" top="0.75" bottom="0.75" header="0.3" footer="0.3"/>
    </customSheetView>
    <customSheetView guid="{C03D8012-5FAF-4C48-B7E4-56A55E52A74B}" scale="85" topLeftCell="A7">
      <selection activeCell="H12" sqref="H12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Views>
    <sheetView topLeftCell="A13" workbookViewId="0">
      <selection activeCell="I13" sqref="I13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62.125" customWidth="1"/>
    <col min="8" max="8" width="13.125" customWidth="1"/>
    <col min="10" max="10" width="41.375" customWidth="1"/>
  </cols>
  <sheetData>
    <row r="1" spans="1:9" ht="67.95">
      <c r="A1" s="10" t="s">
        <v>221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0" t="s">
        <v>9</v>
      </c>
      <c r="H1" s="11" t="s">
        <v>534</v>
      </c>
      <c r="I1" s="9" t="s">
        <v>481</v>
      </c>
    </row>
    <row r="2" spans="1:9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32" si="0">D2+B2-1</f>
        <v>0</v>
      </c>
      <c r="D2" s="19">
        <v>0</v>
      </c>
      <c r="E2" s="19" t="str">
        <f>'Command register base=0x0'!E2</f>
        <v>RW</v>
      </c>
      <c r="F2" s="19" t="str">
        <f>'Command register base=0x0'!F2</f>
        <v>0x0</v>
      </c>
      <c r="G2" s="4" t="s">
        <v>503</v>
      </c>
      <c r="H2" s="7" t="s">
        <v>255</v>
      </c>
      <c r="I2">
        <v>0</v>
      </c>
    </row>
    <row r="3" spans="1:9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9" t="str">
        <f>'Command register base=0x0'!E3</f>
        <v>RW</v>
      </c>
      <c r="F3" s="19" t="str">
        <f>'Command register base=0x0'!F3</f>
        <v>0x0</v>
      </c>
      <c r="G3" s="4" t="s">
        <v>515</v>
      </c>
      <c r="H3" s="7" t="s">
        <v>255</v>
      </c>
      <c r="I3">
        <v>0</v>
      </c>
    </row>
    <row r="4" spans="1:9" ht="29.9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32" si="1">C3+1</f>
        <v>17</v>
      </c>
      <c r="E4" s="19" t="str">
        <f>'Command register base=0x0'!E4</f>
        <v>RW</v>
      </c>
      <c r="F4" s="19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9" ht="15.6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9" t="str">
        <f>'Command register base=0x0'!E5</f>
        <v>RW</v>
      </c>
      <c r="F5" s="19" t="str">
        <f>'Command register base=0x0'!F5</f>
        <v>0x0</v>
      </c>
      <c r="G5" s="4" t="s">
        <v>900</v>
      </c>
      <c r="H5" s="7" t="s">
        <v>255</v>
      </c>
      <c r="I5">
        <v>0</v>
      </c>
    </row>
    <row r="6" spans="1:9" ht="29.9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9" t="str">
        <f>'Command register base=0x0'!E6</f>
        <v>RW</v>
      </c>
      <c r="F6" s="19" t="str">
        <f>'Command register base=0x0'!F6</f>
        <v>0x0</v>
      </c>
      <c r="G6" s="4" t="s">
        <v>535</v>
      </c>
      <c r="H6" s="7" t="s">
        <v>255</v>
      </c>
      <c r="I6">
        <v>0</v>
      </c>
    </row>
    <row r="7" spans="1:9" ht="119.5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9" t="str">
        <f>'Command register base=0x0'!E7</f>
        <v>RW</v>
      </c>
      <c r="F7" s="19" t="str">
        <f>'Command register base=0x0'!F7</f>
        <v>0x0</v>
      </c>
      <c r="G7" s="4" t="s">
        <v>968</v>
      </c>
      <c r="H7" s="7" t="s">
        <v>255</v>
      </c>
      <c r="I7">
        <v>0</v>
      </c>
    </row>
    <row r="8" spans="1:9" ht="44.85">
      <c r="A8" s="18" t="s">
        <v>284</v>
      </c>
      <c r="B8" s="19">
        <v>1</v>
      </c>
      <c r="C8" s="19">
        <f t="shared" ref="C8:C16" si="4">D8+B8-1</f>
        <v>50</v>
      </c>
      <c r="D8" s="19">
        <f t="shared" si="1"/>
        <v>50</v>
      </c>
      <c r="E8" s="19" t="s">
        <v>7</v>
      </c>
      <c r="F8" s="19" t="s">
        <v>236</v>
      </c>
      <c r="G8" s="4" t="s">
        <v>285</v>
      </c>
      <c r="H8" s="7" t="s">
        <v>255</v>
      </c>
      <c r="I8">
        <v>0</v>
      </c>
    </row>
    <row r="9" spans="1:9" ht="44.85">
      <c r="A9" s="18" t="str">
        <f>'Command register base=0x0'!A28</f>
        <v>des_opt_opd1_const</v>
      </c>
      <c r="B9" s="19">
        <f>'Command register base=0x0'!B28</f>
        <v>1</v>
      </c>
      <c r="C9" s="19">
        <f t="shared" si="4"/>
        <v>51</v>
      </c>
      <c r="D9" s="19">
        <f t="shared" si="1"/>
        <v>51</v>
      </c>
      <c r="E9" s="19" t="str">
        <f>'Command register base=0x0'!E28</f>
        <v>RW</v>
      </c>
      <c r="F9" s="19" t="str">
        <f>'Command register base=0x0'!F28</f>
        <v>0x0</v>
      </c>
      <c r="G9" s="4" t="s">
        <v>287</v>
      </c>
      <c r="H9" s="7" t="s">
        <v>255</v>
      </c>
      <c r="I9">
        <v>0</v>
      </c>
    </row>
    <row r="10" spans="1:9" ht="44.85">
      <c r="A10" s="18" t="str">
        <f>'Command register base=0x0'!A29</f>
        <v>des_opt_opd2_const</v>
      </c>
      <c r="B10" s="19">
        <f>'Command register base=0x0'!B29</f>
        <v>1</v>
      </c>
      <c r="C10" s="19">
        <f t="shared" si="4"/>
        <v>52</v>
      </c>
      <c r="D10" s="19">
        <f t="shared" si="1"/>
        <v>52</v>
      </c>
      <c r="E10" s="19" t="str">
        <f>'Command register base=0x0'!E29</f>
        <v>RW</v>
      </c>
      <c r="F10" s="19" t="str">
        <f>'Command register base=0x0'!F29</f>
        <v>0x0</v>
      </c>
      <c r="G10" s="4" t="s">
        <v>539</v>
      </c>
      <c r="H10" s="7" t="s">
        <v>255</v>
      </c>
      <c r="I10">
        <v>0</v>
      </c>
    </row>
    <row r="11" spans="1:9" ht="44.85">
      <c r="A11" s="18" t="str">
        <f>'Command register base=0x0'!A37</f>
        <v>des_opt_opd3_const</v>
      </c>
      <c r="B11" s="19">
        <f>'Command register base=0x0'!B37</f>
        <v>1</v>
      </c>
      <c r="C11" s="19">
        <f t="shared" si="4"/>
        <v>53</v>
      </c>
      <c r="D11" s="19">
        <f t="shared" si="1"/>
        <v>53</v>
      </c>
      <c r="E11" s="19" t="str">
        <f>'Command register base=0x0'!E37</f>
        <v>RW</v>
      </c>
      <c r="F11" s="19" t="str">
        <f>'Command register base=0x0'!F37</f>
        <v>0x0</v>
      </c>
      <c r="G11" s="4" t="s">
        <v>304</v>
      </c>
      <c r="H11" s="7" t="s">
        <v>255</v>
      </c>
      <c r="I11">
        <v>0</v>
      </c>
    </row>
    <row r="12" spans="1:9" ht="15.65">
      <c r="A12" s="18" t="s">
        <v>256</v>
      </c>
      <c r="B12" s="19">
        <v>2</v>
      </c>
      <c r="C12" s="19">
        <f t="shared" si="4"/>
        <v>55</v>
      </c>
      <c r="D12" s="19">
        <f t="shared" si="1"/>
        <v>54</v>
      </c>
      <c r="E12" s="19" t="s">
        <v>7</v>
      </c>
      <c r="F12" s="19" t="s">
        <v>236</v>
      </c>
      <c r="G12" s="4" t="s">
        <v>257</v>
      </c>
      <c r="H12" s="20">
        <v>0</v>
      </c>
      <c r="I12">
        <v>2</v>
      </c>
    </row>
    <row r="13" spans="1:9" ht="15.65">
      <c r="A13" s="18" t="s">
        <v>734</v>
      </c>
      <c r="B13" s="19">
        <f>'Command register base=0x0'!B12</f>
        <v>3</v>
      </c>
      <c r="C13" s="19">
        <f t="shared" si="4"/>
        <v>58</v>
      </c>
      <c r="D13" s="19">
        <f t="shared" si="1"/>
        <v>56</v>
      </c>
      <c r="E13" s="19" t="str">
        <f>'Command register base=0x0'!E12</f>
        <v>RW</v>
      </c>
      <c r="F13" s="19" t="str">
        <f>'Command register base=0x0'!F12</f>
        <v>0x0</v>
      </c>
      <c r="G13" s="4" t="s">
        <v>257</v>
      </c>
      <c r="H13" s="20">
        <v>0</v>
      </c>
      <c r="I13">
        <v>2</v>
      </c>
    </row>
    <row r="14" spans="1:9" ht="15.65">
      <c r="A14" s="18" t="s">
        <v>259</v>
      </c>
      <c r="B14" s="19">
        <v>4</v>
      </c>
      <c r="C14" s="19">
        <f t="shared" si="4"/>
        <v>62</v>
      </c>
      <c r="D14" s="19">
        <f t="shared" si="1"/>
        <v>59</v>
      </c>
      <c r="E14" s="19" t="str">
        <f>'Command register base=0x0'!E23</f>
        <v>RW</v>
      </c>
      <c r="F14" s="19" t="str">
        <f>'Command register base=0x0'!F23</f>
        <v>0x2</v>
      </c>
      <c r="G14" s="4" t="s">
        <v>260</v>
      </c>
      <c r="H14" s="7" t="s">
        <v>255</v>
      </c>
      <c r="I14">
        <v>0</v>
      </c>
    </row>
    <row r="15" spans="1:9" ht="29.9">
      <c r="A15" s="18" t="s">
        <v>261</v>
      </c>
      <c r="B15" s="19">
        <f>'Command register base=0x0'!B20</f>
        <v>1</v>
      </c>
      <c r="C15" s="19">
        <f t="shared" si="4"/>
        <v>63</v>
      </c>
      <c r="D15" s="19">
        <f t="shared" si="1"/>
        <v>63</v>
      </c>
      <c r="E15" s="19" t="str">
        <f>'Command register base=0x0'!E20</f>
        <v>RW</v>
      </c>
      <c r="F15" s="19" t="str">
        <f>'Command register base=0x0'!F20</f>
        <v>0x0</v>
      </c>
      <c r="G15" s="4" t="s">
        <v>262</v>
      </c>
      <c r="H15" s="7" t="s">
        <v>255</v>
      </c>
      <c r="I15">
        <v>0</v>
      </c>
    </row>
    <row r="16" spans="1:9" ht="119.55">
      <c r="A16" s="18" t="str">
        <f>'Command register base=0x0'!A24</f>
        <v>des_opt_opd0_prec</v>
      </c>
      <c r="B16" s="19">
        <f>'Command register base=0x0'!B24</f>
        <v>3</v>
      </c>
      <c r="C16" s="19">
        <f t="shared" si="4"/>
        <v>66</v>
      </c>
      <c r="D16" s="19">
        <f t="shared" si="1"/>
        <v>64</v>
      </c>
      <c r="E16" s="19" t="str">
        <f>'Command register base=0x0'!E24</f>
        <v>RW</v>
      </c>
      <c r="F16" s="19" t="str">
        <f>'Command register base=0x0'!F24</f>
        <v>0x2</v>
      </c>
      <c r="G16" s="4" t="s">
        <v>280</v>
      </c>
      <c r="H16" s="7" t="s">
        <v>255</v>
      </c>
      <c r="I16">
        <v>0</v>
      </c>
    </row>
    <row r="17" spans="1:9" ht="119.55">
      <c r="A17" s="18" t="str">
        <f>'Command register base=0x0'!A26</f>
        <v>des_opt_opd2_prec</v>
      </c>
      <c r="B17" s="19">
        <f>'Command register base=0x0'!B26</f>
        <v>3</v>
      </c>
      <c r="C17" s="19">
        <f t="shared" si="0"/>
        <v>69</v>
      </c>
      <c r="D17" s="19">
        <f t="shared" si="1"/>
        <v>67</v>
      </c>
      <c r="E17" s="19" t="str">
        <f>'Command register base=0x0'!E26</f>
        <v>RW</v>
      </c>
      <c r="F17" s="19" t="str">
        <f>'Command register base=0x0'!F26</f>
        <v>0x2</v>
      </c>
      <c r="G17" s="4" t="s">
        <v>283</v>
      </c>
      <c r="H17" s="7" t="s">
        <v>255</v>
      </c>
      <c r="I17">
        <v>0</v>
      </c>
    </row>
    <row r="18" spans="1:9" ht="29.9">
      <c r="A18" s="18" t="s">
        <v>292</v>
      </c>
      <c r="B18" s="19">
        <v>3</v>
      </c>
      <c r="C18" s="19">
        <f t="shared" si="0"/>
        <v>72</v>
      </c>
      <c r="D18" s="19">
        <f t="shared" si="1"/>
        <v>70</v>
      </c>
      <c r="E18" s="19" t="s">
        <v>7</v>
      </c>
      <c r="F18" s="19" t="s">
        <v>236</v>
      </c>
      <c r="G18" s="4" t="s">
        <v>552</v>
      </c>
      <c r="H18" s="7" t="s">
        <v>255</v>
      </c>
      <c r="I18">
        <v>0</v>
      </c>
    </row>
    <row r="19" spans="1:9" ht="29.9">
      <c r="A19" s="18" t="s">
        <v>294</v>
      </c>
      <c r="B19" s="19">
        <v>3</v>
      </c>
      <c r="C19" s="19">
        <f t="shared" si="0"/>
        <v>75</v>
      </c>
      <c r="D19" s="19">
        <f t="shared" si="1"/>
        <v>73</v>
      </c>
      <c r="E19" s="19" t="s">
        <v>7</v>
      </c>
      <c r="F19" s="19" t="s">
        <v>236</v>
      </c>
      <c r="G19" s="4" t="s">
        <v>552</v>
      </c>
      <c r="H19" s="7" t="s">
        <v>255</v>
      </c>
      <c r="I19">
        <v>0</v>
      </c>
    </row>
    <row r="20" spans="1:9" ht="15.65">
      <c r="A20" s="18" t="s">
        <v>735</v>
      </c>
      <c r="B20" s="19">
        <v>50</v>
      </c>
      <c r="C20" s="19">
        <f t="shared" si="0"/>
        <v>125</v>
      </c>
      <c r="D20" s="19">
        <f t="shared" si="1"/>
        <v>76</v>
      </c>
      <c r="E20" s="19" t="s">
        <v>7</v>
      </c>
      <c r="F20" s="19" t="s">
        <v>236</v>
      </c>
      <c r="G20" s="4" t="s">
        <v>257</v>
      </c>
      <c r="H20" s="20">
        <v>0</v>
      </c>
      <c r="I20">
        <v>2</v>
      </c>
    </row>
    <row r="21" spans="1:9" ht="44.85">
      <c r="A21" s="18" t="s">
        <v>873</v>
      </c>
      <c r="B21" s="19">
        <v>1</v>
      </c>
      <c r="C21" s="19">
        <f t="shared" ref="C21:C22" si="5">D21+B21-1</f>
        <v>126</v>
      </c>
      <c r="D21" s="19">
        <f t="shared" ref="D21:D22" si="6">C20+1</f>
        <v>126</v>
      </c>
      <c r="E21" s="19" t="str">
        <f>'Command register base=0x0'!E25</f>
        <v>RW</v>
      </c>
      <c r="F21" s="19" t="str">
        <f>'Command register base=0x0'!F25</f>
        <v>0x2</v>
      </c>
      <c r="G21" s="4" t="s">
        <v>872</v>
      </c>
      <c r="H21" s="7" t="s">
        <v>255</v>
      </c>
      <c r="I21">
        <v>0</v>
      </c>
    </row>
    <row r="22" spans="1:9" ht="15.65">
      <c r="A22" s="18" t="s">
        <v>273</v>
      </c>
      <c r="B22" s="19">
        <v>1</v>
      </c>
      <c r="C22" s="19">
        <f t="shared" si="5"/>
        <v>127</v>
      </c>
      <c r="D22" s="19">
        <f t="shared" si="6"/>
        <v>127</v>
      </c>
      <c r="E22" s="19" t="str">
        <f>'Command register base=0x0'!E26</f>
        <v>RW</v>
      </c>
      <c r="F22" s="19" t="str">
        <f>'Command register base=0x0'!F26</f>
        <v>0x2</v>
      </c>
      <c r="G22" s="4" t="s">
        <v>536</v>
      </c>
      <c r="H22" s="7" t="s">
        <v>255</v>
      </c>
      <c r="I22">
        <v>0</v>
      </c>
    </row>
    <row r="23" spans="1:9" ht="15.65">
      <c r="A23" s="18" t="str">
        <f>'Command register base=0x0'!A56</f>
        <v>des_res0_n</v>
      </c>
      <c r="B23" s="19">
        <v>16</v>
      </c>
      <c r="C23" s="19">
        <f t="shared" si="0"/>
        <v>143</v>
      </c>
      <c r="D23" s="19">
        <f t="shared" si="1"/>
        <v>128</v>
      </c>
      <c r="E23" s="19" t="str">
        <f>'Command register base=0x0'!E56</f>
        <v>RW</v>
      </c>
      <c r="F23" s="19" t="str">
        <f>'Command register base=0x0'!F56</f>
        <v>0x1</v>
      </c>
      <c r="G23" s="4" t="s">
        <v>456</v>
      </c>
      <c r="H23" s="7" t="s">
        <v>255</v>
      </c>
      <c r="I23">
        <v>0</v>
      </c>
    </row>
    <row r="24" spans="1:9" ht="15.65">
      <c r="A24" s="18" t="str">
        <f>'Command register base=0x0'!A57</f>
        <v>des_res0_c</v>
      </c>
      <c r="B24" s="19">
        <v>16</v>
      </c>
      <c r="C24" s="19">
        <f t="shared" si="0"/>
        <v>159</v>
      </c>
      <c r="D24" s="19">
        <f t="shared" si="1"/>
        <v>144</v>
      </c>
      <c r="E24" s="19" t="str">
        <f>'Command register base=0x0'!E57</f>
        <v>RW</v>
      </c>
      <c r="F24" s="19" t="str">
        <f>'Command register base=0x0'!F57</f>
        <v>0x1</v>
      </c>
      <c r="G24" s="4" t="s">
        <v>345</v>
      </c>
      <c r="H24" s="7" t="s">
        <v>255</v>
      </c>
      <c r="I24">
        <v>0</v>
      </c>
    </row>
    <row r="25" spans="1:9" ht="15.65">
      <c r="A25" s="18" t="str">
        <f>'Command register base=0x0'!A58</f>
        <v>des_res0_h</v>
      </c>
      <c r="B25" s="19">
        <v>16</v>
      </c>
      <c r="C25" s="19">
        <f t="shared" si="0"/>
        <v>175</v>
      </c>
      <c r="D25" s="19">
        <f t="shared" si="1"/>
        <v>160</v>
      </c>
      <c r="E25" s="19" t="str">
        <f>'Command register base=0x0'!E58</f>
        <v>RW</v>
      </c>
      <c r="F25" s="19" t="str">
        <f>'Command register base=0x0'!F58</f>
        <v>0x1</v>
      </c>
      <c r="G25" s="4" t="s">
        <v>457</v>
      </c>
      <c r="H25" s="7" t="s">
        <v>255</v>
      </c>
      <c r="I25">
        <v>0</v>
      </c>
    </row>
    <row r="26" spans="1:9" ht="15.65">
      <c r="A26" s="18" t="str">
        <f>'Command register base=0x0'!A59</f>
        <v>des_res0_w</v>
      </c>
      <c r="B26" s="19">
        <v>16</v>
      </c>
      <c r="C26" s="19">
        <f t="shared" si="0"/>
        <v>191</v>
      </c>
      <c r="D26" s="19">
        <f t="shared" si="1"/>
        <v>176</v>
      </c>
      <c r="E26" s="19" t="str">
        <f>'Command register base=0x0'!E59</f>
        <v>RW</v>
      </c>
      <c r="F26" s="19" t="str">
        <f>'Command register base=0x0'!F59</f>
        <v>0x1</v>
      </c>
      <c r="G26" s="4" t="s">
        <v>458</v>
      </c>
      <c r="H26" s="7" t="s">
        <v>255</v>
      </c>
      <c r="I26">
        <v>0</v>
      </c>
    </row>
    <row r="27" spans="1:9" ht="15.65">
      <c r="A27" s="18" t="str">
        <f>'Command register base=0x0'!A76</f>
        <v>des_res0_addr</v>
      </c>
      <c r="B27" s="19">
        <v>32</v>
      </c>
      <c r="C27" s="19">
        <f t="shared" si="0"/>
        <v>223</v>
      </c>
      <c r="D27" s="19">
        <f t="shared" si="1"/>
        <v>192</v>
      </c>
      <c r="E27" s="19" t="str">
        <f>'Command register base=0x0'!E76</f>
        <v>RW</v>
      </c>
      <c r="F27" s="19" t="str">
        <f>'Command register base=0x0'!F76</f>
        <v>0x0</v>
      </c>
      <c r="G27" s="4" t="s">
        <v>382</v>
      </c>
      <c r="H27" s="7" t="s">
        <v>255</v>
      </c>
      <c r="I27">
        <v>0</v>
      </c>
    </row>
    <row r="28" spans="1:9" ht="15.65">
      <c r="A28" s="18" t="str">
        <f>'Command register base=0x0'!A88</f>
        <v>des_res1_addr</v>
      </c>
      <c r="B28" s="19">
        <v>32</v>
      </c>
      <c r="C28" s="19">
        <f t="shared" si="0"/>
        <v>255</v>
      </c>
      <c r="D28" s="19">
        <f t="shared" si="1"/>
        <v>224</v>
      </c>
      <c r="E28" s="19" t="str">
        <f>'Command register base=0x0'!E88</f>
        <v>RW</v>
      </c>
      <c r="F28" s="19" t="str">
        <f>'Command register base=0x0'!F88</f>
        <v>0x0</v>
      </c>
      <c r="G28" s="4" t="s">
        <v>406</v>
      </c>
      <c r="H28" s="7" t="s">
        <v>255</v>
      </c>
      <c r="I28">
        <v>0</v>
      </c>
    </row>
    <row r="29" spans="1:9" ht="44.85">
      <c r="A29" s="18" t="str">
        <f>'Command register base=0x0'!A77</f>
        <v>des_opd0_addr</v>
      </c>
      <c r="B29" s="19">
        <f>'Command register base=0x0'!B77</f>
        <v>32</v>
      </c>
      <c r="C29" s="19">
        <f t="shared" si="0"/>
        <v>287</v>
      </c>
      <c r="D29" s="19">
        <f t="shared" si="1"/>
        <v>256</v>
      </c>
      <c r="E29" s="19" t="str">
        <f>'Command register base=0x0'!E77</f>
        <v>RW</v>
      </c>
      <c r="F29" s="19" t="str">
        <f>'Command register base=0x0'!F77</f>
        <v>0x0</v>
      </c>
      <c r="G29" s="4" t="s">
        <v>548</v>
      </c>
      <c r="H29" s="7" t="s">
        <v>255</v>
      </c>
      <c r="I29">
        <v>0</v>
      </c>
    </row>
    <row r="30" spans="1:9" ht="44.85">
      <c r="A30" s="18" t="str">
        <f>'Command register base=0x0'!A78</f>
        <v>des_opd1_addr</v>
      </c>
      <c r="B30" s="19">
        <f>'Command register base=0x0'!B78</f>
        <v>32</v>
      </c>
      <c r="C30" s="19">
        <f t="shared" si="0"/>
        <v>319</v>
      </c>
      <c r="D30" s="19">
        <f t="shared" si="1"/>
        <v>288</v>
      </c>
      <c r="E30" s="19" t="str">
        <f>'Command register base=0x0'!E78</f>
        <v>RW</v>
      </c>
      <c r="F30" s="19" t="str">
        <f>'Command register base=0x0'!F78</f>
        <v>0x0</v>
      </c>
      <c r="G30" s="4" t="s">
        <v>549</v>
      </c>
      <c r="H30" s="7" t="s">
        <v>255</v>
      </c>
      <c r="I30">
        <v>0</v>
      </c>
    </row>
    <row r="31" spans="1:9" ht="29.9">
      <c r="A31" s="18" t="str">
        <f>'Command register base=0x0'!A79</f>
        <v>des_opd2_addr</v>
      </c>
      <c r="B31" s="19">
        <f>'Command register base=0x0'!B79</f>
        <v>32</v>
      </c>
      <c r="C31" s="19">
        <f t="shared" si="0"/>
        <v>351</v>
      </c>
      <c r="D31" s="19">
        <f t="shared" si="1"/>
        <v>320</v>
      </c>
      <c r="E31" s="19" t="str">
        <f>'Command register base=0x0'!E79</f>
        <v>RW</v>
      </c>
      <c r="F31" s="19" t="str">
        <f>'Command register base=0x0'!F79</f>
        <v>0x0</v>
      </c>
      <c r="G31" s="4" t="s">
        <v>388</v>
      </c>
      <c r="H31" s="7" t="s">
        <v>255</v>
      </c>
      <c r="I31">
        <v>0</v>
      </c>
    </row>
    <row r="32" spans="1:9" ht="29.9">
      <c r="A32" s="18" t="str">
        <f>'Command register base=0x0'!A89</f>
        <v>des_opd3_addr</v>
      </c>
      <c r="B32" s="19">
        <f>'Command register base=0x0'!B89</f>
        <v>32</v>
      </c>
      <c r="C32" s="19">
        <f t="shared" si="0"/>
        <v>383</v>
      </c>
      <c r="D32" s="19">
        <f t="shared" si="1"/>
        <v>352</v>
      </c>
      <c r="E32" s="19" t="str">
        <f>'Command register base=0x0'!E89</f>
        <v>RW</v>
      </c>
      <c r="F32" s="19" t="str">
        <f>'Command register base=0x0'!F89</f>
        <v>0x0</v>
      </c>
      <c r="G32" s="4" t="s">
        <v>408</v>
      </c>
      <c r="H32" s="7" t="s">
        <v>255</v>
      </c>
      <c r="I32">
        <v>0</v>
      </c>
    </row>
  </sheetData>
  <customSheetViews>
    <customSheetView guid="{465993EB-2174-44B8-8988-073286CA386F}">
      <selection activeCell="D28" sqref="D28"/>
      <pageMargins left="0.7" right="0.7" top="0.75" bottom="0.75" header="0.3" footer="0.3"/>
      <pageSetup paperSize="9" orientation="portrait"/>
    </customSheetView>
    <customSheetView guid="{C03D8012-5FAF-4C48-B7E4-56A55E52A74B}">
      <selection activeCell="D28" sqref="D28"/>
      <pageMargins left="0.7" right="0.7" top="0.75" bottom="0.75" header="0.3" footer="0.3"/>
      <pageSetup paperSize="9" orientation="portrait"/>
    </customSheetView>
  </customSheetViews>
  <phoneticPr fontId="16" type="noConversion"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"/>
  <sheetViews>
    <sheetView topLeftCell="A4" workbookViewId="0">
      <selection activeCell="N7" sqref="N7"/>
    </sheetView>
  </sheetViews>
  <sheetFormatPr defaultColWidth="9" defaultRowHeight="12.9"/>
  <cols>
    <col min="1" max="1" width="23.75" customWidth="1"/>
    <col min="2" max="2" width="8.125" customWidth="1"/>
    <col min="3" max="4" width="7.875" customWidth="1"/>
    <col min="5" max="5" width="4.875" customWidth="1"/>
    <col min="6" max="6" width="14.875" customWidth="1"/>
    <col min="7" max="7" width="78.5" customWidth="1"/>
    <col min="8" max="8" width="18.875" customWidth="1"/>
    <col min="17" max="17" width="63.875" customWidth="1"/>
  </cols>
  <sheetData>
    <row r="1" spans="1:17" ht="40.75">
      <c r="A1" s="10" t="s">
        <v>221</v>
      </c>
      <c r="B1" s="10" t="s">
        <v>4</v>
      </c>
      <c r="C1" s="10" t="s">
        <v>5</v>
      </c>
      <c r="D1" s="10" t="s">
        <v>6</v>
      </c>
      <c r="E1" s="10" t="s">
        <v>7</v>
      </c>
      <c r="F1" s="10" t="s">
        <v>8</v>
      </c>
      <c r="G1" s="10" t="s">
        <v>9</v>
      </c>
      <c r="H1" s="11" t="s">
        <v>568</v>
      </c>
      <c r="I1" s="13" t="s">
        <v>481</v>
      </c>
    </row>
    <row r="2" spans="1:17" ht="15.65">
      <c r="A2" s="18" t="str">
        <f>'Command register base=0x0'!A2</f>
        <v>des_cmd_short</v>
      </c>
      <c r="B2" s="19">
        <f>'Command register base=0x0'!B2</f>
        <v>1</v>
      </c>
      <c r="C2" s="19">
        <f t="shared" ref="C2:C28" si="0">D2+B2-1</f>
        <v>0</v>
      </c>
      <c r="D2" s="19">
        <v>0</v>
      </c>
      <c r="E2" s="18" t="str">
        <f>'Command register base=0x0'!E2</f>
        <v>RW</v>
      </c>
      <c r="F2" s="18" t="str">
        <f>'Command register base=0x0'!F2</f>
        <v>0x0</v>
      </c>
      <c r="G2" s="150" t="s">
        <v>1058</v>
      </c>
      <c r="H2" s="7" t="s">
        <v>255</v>
      </c>
      <c r="I2">
        <v>0</v>
      </c>
    </row>
    <row r="3" spans="1:17" ht="29.9">
      <c r="A3" s="18" t="str">
        <f>'Command register base=0x0'!A3</f>
        <v>des_op_code</v>
      </c>
      <c r="B3" s="19">
        <f>'Command register base=0x0'!B3</f>
        <v>16</v>
      </c>
      <c r="C3" s="19">
        <f t="shared" si="0"/>
        <v>16</v>
      </c>
      <c r="D3" s="19">
        <f>C2+1</f>
        <v>1</v>
      </c>
      <c r="E3" s="18" t="str">
        <f>'Command register base=0x0'!E3</f>
        <v>RW</v>
      </c>
      <c r="F3" s="18" t="str">
        <f>'Command register base=0x0'!F3</f>
        <v>0x0</v>
      </c>
      <c r="G3" s="33" t="s">
        <v>515</v>
      </c>
      <c r="H3" s="7" t="s">
        <v>255</v>
      </c>
      <c r="I3">
        <v>0</v>
      </c>
    </row>
    <row r="4" spans="1:17" ht="29.9">
      <c r="A4" s="18" t="str">
        <f>'Command register base=0x0'!A4</f>
        <v>des_cmd_id_dep</v>
      </c>
      <c r="B4" s="19">
        <f>'Command register base=0x0'!B4</f>
        <v>23</v>
      </c>
      <c r="C4" s="19">
        <f t="shared" si="0"/>
        <v>39</v>
      </c>
      <c r="D4" s="19">
        <f t="shared" ref="D4:D28" si="1">C3+1</f>
        <v>17</v>
      </c>
      <c r="E4" s="18" t="str">
        <f>'Command register base=0x0'!E4</f>
        <v>RW</v>
      </c>
      <c r="F4" s="18" t="str">
        <f>'Command register base=0x0'!F4</f>
        <v>0x0</v>
      </c>
      <c r="G4" s="4" t="s">
        <v>241</v>
      </c>
      <c r="H4" s="7" t="s">
        <v>255</v>
      </c>
      <c r="I4">
        <v>0</v>
      </c>
    </row>
    <row r="5" spans="1:17" ht="15.65">
      <c r="A5" s="18" t="str">
        <f>'Command register base=0x0'!A5</f>
        <v>des_dbg_mode</v>
      </c>
      <c r="B5" s="19">
        <f>'Command register base=0x0'!B5</f>
        <v>1</v>
      </c>
      <c r="C5" s="19">
        <f t="shared" ref="C5:C6" si="2">D5+B5-1</f>
        <v>40</v>
      </c>
      <c r="D5" s="19">
        <f t="shared" ref="D5:D6" si="3">C4+1</f>
        <v>40</v>
      </c>
      <c r="E5" s="18" t="str">
        <f>'Command register base=0x0'!E5</f>
        <v>RW</v>
      </c>
      <c r="F5" s="18" t="str">
        <f>'Command register base=0x0'!F5</f>
        <v>0x0</v>
      </c>
      <c r="G5" s="4" t="s">
        <v>900</v>
      </c>
      <c r="H5" s="7" t="s">
        <v>255</v>
      </c>
      <c r="I5">
        <v>0</v>
      </c>
    </row>
    <row r="6" spans="1:17" ht="29.9">
      <c r="A6" s="18" t="str">
        <f>'Command register base=0x0'!A6</f>
        <v>des_tsk_typ</v>
      </c>
      <c r="B6" s="19">
        <f>'Command register base=0x0'!B6</f>
        <v>4</v>
      </c>
      <c r="C6" s="19">
        <f t="shared" si="2"/>
        <v>44</v>
      </c>
      <c r="D6" s="19">
        <f t="shared" si="3"/>
        <v>41</v>
      </c>
      <c r="E6" s="18" t="str">
        <f>'Command register base=0x0'!E6</f>
        <v>RW</v>
      </c>
      <c r="F6" s="18" t="str">
        <f>'Command register base=0x0'!F6</f>
        <v>0x0</v>
      </c>
      <c r="G6" s="33" t="s">
        <v>569</v>
      </c>
      <c r="H6" s="7" t="s">
        <v>255</v>
      </c>
      <c r="I6">
        <v>0</v>
      </c>
    </row>
    <row r="7" spans="1:17" ht="358.65">
      <c r="A7" s="18" t="str">
        <f>'Command register base=0x0'!A7</f>
        <v>des_tsk_eu_typ</v>
      </c>
      <c r="B7" s="19">
        <f>'Command register base=0x0'!B7</f>
        <v>5</v>
      </c>
      <c r="C7" s="19">
        <f t="shared" si="0"/>
        <v>49</v>
      </c>
      <c r="D7" s="19">
        <f t="shared" si="1"/>
        <v>45</v>
      </c>
      <c r="E7" s="18" t="str">
        <f>'Command register base=0x0'!E7</f>
        <v>RW</v>
      </c>
      <c r="F7" s="18" t="str">
        <f>'Command register base=0x0'!F7</f>
        <v>0x0</v>
      </c>
      <c r="G7" s="4" t="s">
        <v>969</v>
      </c>
      <c r="H7" s="7" t="s">
        <v>255</v>
      </c>
      <c r="I7">
        <v>0</v>
      </c>
      <c r="Q7" s="130"/>
    </row>
    <row r="8" spans="1:17" ht="15.65">
      <c r="A8" s="18" t="str">
        <f>'Command register base=0x0'!A20</f>
        <v>des_opt_opd0_sign</v>
      </c>
      <c r="B8" s="19">
        <f>'Command register base=0x0'!B20</f>
        <v>1</v>
      </c>
      <c r="C8" s="19">
        <f t="shared" ref="C8:C14" si="4">D8+B8-1</f>
        <v>50</v>
      </c>
      <c r="D8" s="19">
        <f t="shared" si="1"/>
        <v>50</v>
      </c>
      <c r="E8" s="18" t="str">
        <f>'Command register base=0x0'!E20</f>
        <v>RW</v>
      </c>
      <c r="F8" s="18" t="str">
        <f>'Command register base=0x0'!F20</f>
        <v>0x0</v>
      </c>
      <c r="G8" s="33" t="s">
        <v>571</v>
      </c>
      <c r="H8" s="7" t="s">
        <v>255</v>
      </c>
      <c r="I8">
        <v>0</v>
      </c>
    </row>
    <row r="9" spans="1:17" ht="15.65">
      <c r="A9" s="18" t="str">
        <f>'Command register base=0x0'!A21</f>
        <v>des_opt_opd1_sign</v>
      </c>
      <c r="B9" s="19">
        <f>'Command register base=0x0'!B21</f>
        <v>1</v>
      </c>
      <c r="C9" s="19">
        <f t="shared" si="4"/>
        <v>51</v>
      </c>
      <c r="D9" s="19">
        <f t="shared" si="1"/>
        <v>51</v>
      </c>
      <c r="E9" s="18" t="str">
        <f>'Command register base=0x0'!E21</f>
        <v>RW</v>
      </c>
      <c r="F9" s="18" t="str">
        <f>'Command register base=0x0'!F21</f>
        <v>0x1</v>
      </c>
      <c r="G9" s="33" t="s">
        <v>572</v>
      </c>
      <c r="H9" s="7" t="s">
        <v>255</v>
      </c>
      <c r="I9">
        <v>0</v>
      </c>
    </row>
    <row r="10" spans="1:17" ht="15.65">
      <c r="A10" s="18" t="s">
        <v>377</v>
      </c>
      <c r="B10" s="19">
        <v>3</v>
      </c>
      <c r="C10" s="19">
        <f t="shared" si="4"/>
        <v>54</v>
      </c>
      <c r="D10" s="19">
        <f t="shared" si="1"/>
        <v>52</v>
      </c>
      <c r="E10" s="18" t="str">
        <f>'Command register base=0x0'!E24</f>
        <v>RW</v>
      </c>
      <c r="F10" s="18" t="s">
        <v>236</v>
      </c>
      <c r="G10" s="33" t="s">
        <v>579</v>
      </c>
      <c r="H10" s="7" t="s">
        <v>255</v>
      </c>
      <c r="I10">
        <v>0</v>
      </c>
    </row>
    <row r="11" spans="1:17" ht="15.65">
      <c r="A11" s="237" t="s">
        <v>894</v>
      </c>
      <c r="B11" s="239">
        <v>1</v>
      </c>
      <c r="C11" s="239">
        <f t="shared" ref="C11" si="5">D11+B11-1</f>
        <v>55</v>
      </c>
      <c r="D11" s="239">
        <f t="shared" ref="D11" si="6">C10+1</f>
        <v>55</v>
      </c>
      <c r="E11" s="237" t="s">
        <v>895</v>
      </c>
      <c r="F11" s="237" t="s">
        <v>896</v>
      </c>
      <c r="G11" s="241" t="s">
        <v>897</v>
      </c>
      <c r="H11" s="241" t="s">
        <v>255</v>
      </c>
      <c r="I11" s="242">
        <v>0</v>
      </c>
    </row>
    <row r="12" spans="1:17" ht="15.65">
      <c r="A12" s="54" t="s">
        <v>256</v>
      </c>
      <c r="B12" s="53">
        <v>3</v>
      </c>
      <c r="C12" s="53">
        <f t="shared" ref="C12" si="7">D12+B12-1</f>
        <v>58</v>
      </c>
      <c r="D12" s="53">
        <f t="shared" ref="D12" si="8">C11+1</f>
        <v>56</v>
      </c>
      <c r="E12" s="54" t="str">
        <f>'Command register base=0x0'!E12</f>
        <v>RW</v>
      </c>
      <c r="F12" s="54" t="str">
        <f>'Command register base=0x0'!F12</f>
        <v>0x0</v>
      </c>
      <c r="G12" s="20" t="s">
        <v>257</v>
      </c>
      <c r="H12" s="20" t="s">
        <v>258</v>
      </c>
      <c r="I12">
        <v>2</v>
      </c>
    </row>
    <row r="13" spans="1:17" ht="15.65">
      <c r="A13" s="18" t="s">
        <v>259</v>
      </c>
      <c r="B13" s="19">
        <f>'Command register base=0x0'!B13</f>
        <v>4</v>
      </c>
      <c r="C13" s="19">
        <f t="shared" si="4"/>
        <v>62</v>
      </c>
      <c r="D13" s="19">
        <f t="shared" si="1"/>
        <v>59</v>
      </c>
      <c r="E13" s="18" t="str">
        <f>'Command register base=0x0'!E13</f>
        <v>RW</v>
      </c>
      <c r="F13" s="18" t="str">
        <f>'Command register base=0x0'!F13</f>
        <v>0x0</v>
      </c>
      <c r="G13" s="33" t="s">
        <v>260</v>
      </c>
      <c r="H13" s="7" t="s">
        <v>255</v>
      </c>
      <c r="I13">
        <v>0</v>
      </c>
    </row>
    <row r="14" spans="1:17" ht="15.65">
      <c r="A14" s="18" t="s">
        <v>261</v>
      </c>
      <c r="B14" s="19">
        <v>1</v>
      </c>
      <c r="C14" s="19">
        <f t="shared" si="4"/>
        <v>63</v>
      </c>
      <c r="D14" s="19">
        <f t="shared" ref="D14:D15" si="9">C13+1</f>
        <v>63</v>
      </c>
      <c r="E14" s="18" t="str">
        <f>'Command register base=0x0'!E25</f>
        <v>RW</v>
      </c>
      <c r="F14" s="18" t="str">
        <f>'Command register base=0x0'!F25</f>
        <v>0x2</v>
      </c>
      <c r="G14" s="33" t="s">
        <v>257</v>
      </c>
      <c r="H14" s="7" t="s">
        <v>255</v>
      </c>
      <c r="I14">
        <v>0</v>
      </c>
    </row>
    <row r="15" spans="1:17" ht="119.55">
      <c r="A15" s="18" t="str">
        <f>'Command register base=0x0'!A23</f>
        <v>des_opt_res0_prec</v>
      </c>
      <c r="B15" s="19">
        <f>'Command register base=0x0'!B23</f>
        <v>3</v>
      </c>
      <c r="C15" s="19">
        <f t="shared" si="0"/>
        <v>66</v>
      </c>
      <c r="D15" s="19">
        <f t="shared" si="9"/>
        <v>64</v>
      </c>
      <c r="E15" s="18" t="str">
        <f>'Command register base=0x0'!E23</f>
        <v>RW</v>
      </c>
      <c r="F15" s="18" t="str">
        <f>'Command register base=0x0'!F23</f>
        <v>0x2</v>
      </c>
      <c r="G15" s="33" t="s">
        <v>573</v>
      </c>
      <c r="H15" s="7" t="s">
        <v>255</v>
      </c>
      <c r="I15">
        <v>0</v>
      </c>
    </row>
    <row r="16" spans="1:17" ht="119.55">
      <c r="A16" s="18" t="str">
        <f>'Command register base=0x0'!A24</f>
        <v>des_opt_opd0_prec</v>
      </c>
      <c r="B16" s="19">
        <f>'Command register base=0x0'!B24</f>
        <v>3</v>
      </c>
      <c r="C16" s="19">
        <f t="shared" si="0"/>
        <v>69</v>
      </c>
      <c r="D16" s="19">
        <f t="shared" si="1"/>
        <v>67</v>
      </c>
      <c r="E16" s="18" t="str">
        <f>'Command register base=0x0'!E24</f>
        <v>RW</v>
      </c>
      <c r="F16" s="18" t="str">
        <f>'Command register base=0x0'!F24</f>
        <v>0x2</v>
      </c>
      <c r="G16" s="33" t="s">
        <v>574</v>
      </c>
      <c r="H16" s="7" t="s">
        <v>255</v>
      </c>
      <c r="I16">
        <v>0</v>
      </c>
    </row>
    <row r="17" spans="1:9" ht="119.55">
      <c r="A17" s="18" t="str">
        <f>'Command register base=0x0'!A25</f>
        <v>des_opt_opd1_prec</v>
      </c>
      <c r="B17" s="19">
        <f>'Command register base=0x0'!B25</f>
        <v>3</v>
      </c>
      <c r="C17" s="19">
        <f t="shared" si="0"/>
        <v>72</v>
      </c>
      <c r="D17" s="19">
        <f t="shared" si="1"/>
        <v>70</v>
      </c>
      <c r="E17" s="18" t="str">
        <f>'Command register base=0x0'!E25</f>
        <v>RW</v>
      </c>
      <c r="F17" s="18" t="str">
        <f>'Command register base=0x0'!F25</f>
        <v>0x2</v>
      </c>
      <c r="G17" s="33" t="s">
        <v>574</v>
      </c>
      <c r="H17" s="7" t="s">
        <v>255</v>
      </c>
      <c r="I17">
        <v>0</v>
      </c>
    </row>
    <row r="18" spans="1:9" ht="15.65">
      <c r="A18" s="18" t="str">
        <f>'Command register base=0x0'!A76</f>
        <v>des_res0_addr</v>
      </c>
      <c r="B18" s="19">
        <v>32</v>
      </c>
      <c r="C18" s="19">
        <f t="shared" si="0"/>
        <v>104</v>
      </c>
      <c r="D18" s="19">
        <f t="shared" si="1"/>
        <v>73</v>
      </c>
      <c r="E18" s="18" t="str">
        <f>'Command register base=0x0'!E76</f>
        <v>RW</v>
      </c>
      <c r="F18" s="18" t="str">
        <f>'Command register base=0x0'!F76</f>
        <v>0x0</v>
      </c>
      <c r="G18" s="33" t="s">
        <v>382</v>
      </c>
      <c r="H18" s="7" t="s">
        <v>255</v>
      </c>
      <c r="I18">
        <v>0</v>
      </c>
    </row>
    <row r="19" spans="1:9" ht="15.65">
      <c r="A19" s="18" t="s">
        <v>484</v>
      </c>
      <c r="B19" s="19">
        <v>23</v>
      </c>
      <c r="C19" s="19">
        <f t="shared" si="0"/>
        <v>127</v>
      </c>
      <c r="D19" s="19">
        <f t="shared" si="1"/>
        <v>105</v>
      </c>
      <c r="E19" s="18" t="s">
        <v>7</v>
      </c>
      <c r="F19" s="18" t="s">
        <v>236</v>
      </c>
      <c r="G19" s="33" t="s">
        <v>257</v>
      </c>
      <c r="H19" s="20" t="s">
        <v>258</v>
      </c>
      <c r="I19">
        <v>2</v>
      </c>
    </row>
    <row r="20" spans="1:9" ht="15.65">
      <c r="A20" s="18" t="s">
        <v>383</v>
      </c>
      <c r="B20" s="19">
        <v>32</v>
      </c>
      <c r="C20" s="19">
        <f t="shared" si="0"/>
        <v>159</v>
      </c>
      <c r="D20" s="19">
        <f t="shared" si="1"/>
        <v>128</v>
      </c>
      <c r="E20" s="18" t="str">
        <f>'Command register base=0x0'!E78</f>
        <v>RW</v>
      </c>
      <c r="F20" s="18" t="str">
        <f>'Command register base=0x0'!F78</f>
        <v>0x0</v>
      </c>
      <c r="G20" s="33" t="s">
        <v>502</v>
      </c>
      <c r="H20" s="7" t="s">
        <v>255</v>
      </c>
      <c r="I20">
        <v>0</v>
      </c>
    </row>
    <row r="21" spans="1:9" ht="15.65">
      <c r="A21" s="18" t="s">
        <v>300</v>
      </c>
      <c r="B21" s="19">
        <f>'Command register base=0x0'!B56</f>
        <v>16</v>
      </c>
      <c r="C21" s="19">
        <f t="shared" si="0"/>
        <v>175</v>
      </c>
      <c r="D21" s="19">
        <f t="shared" si="1"/>
        <v>160</v>
      </c>
      <c r="E21" s="18" t="str">
        <f>'Command register base=0x0'!E56</f>
        <v>RW</v>
      </c>
      <c r="F21" s="18" t="str">
        <f>'Command register base=0x0'!F56</f>
        <v>0x1</v>
      </c>
      <c r="G21" s="4" t="s">
        <v>257</v>
      </c>
      <c r="H21" s="20" t="s">
        <v>258</v>
      </c>
      <c r="I21">
        <v>2</v>
      </c>
    </row>
    <row r="22" spans="1:9" ht="15.65">
      <c r="A22" s="18" t="str">
        <f>'Command register base=0x0'!A57</f>
        <v>des_res0_c</v>
      </c>
      <c r="B22" s="19">
        <f>'Command register base=0x0'!B57</f>
        <v>16</v>
      </c>
      <c r="C22" s="19">
        <f t="shared" si="0"/>
        <v>191</v>
      </c>
      <c r="D22" s="19">
        <f t="shared" si="1"/>
        <v>176</v>
      </c>
      <c r="E22" s="18" t="str">
        <f>'Command register base=0x0'!E57</f>
        <v>RW</v>
      </c>
      <c r="F22" s="18" t="str">
        <f>'Command register base=0x0'!F57</f>
        <v>0x1</v>
      </c>
      <c r="G22" s="33" t="s">
        <v>580</v>
      </c>
      <c r="H22" s="7" t="s">
        <v>255</v>
      </c>
      <c r="I22">
        <v>0</v>
      </c>
    </row>
    <row r="23" spans="1:9" ht="15.65">
      <c r="A23" s="18" t="str">
        <f>'Command register base=0x0'!A59</f>
        <v>des_res0_w</v>
      </c>
      <c r="B23" s="19">
        <f>'Command register base=0x0'!B59</f>
        <v>16</v>
      </c>
      <c r="C23" s="19">
        <f t="shared" si="0"/>
        <v>207</v>
      </c>
      <c r="D23" s="19">
        <f t="shared" si="1"/>
        <v>192</v>
      </c>
      <c r="E23" s="18" t="str">
        <f>'Command register base=0x0'!E59</f>
        <v>RW</v>
      </c>
      <c r="F23" s="18" t="str">
        <f>'Command register base=0x0'!F59</f>
        <v>0x1</v>
      </c>
      <c r="G23" s="33" t="s">
        <v>576</v>
      </c>
      <c r="H23" s="7" t="s">
        <v>255</v>
      </c>
      <c r="I23">
        <v>0</v>
      </c>
    </row>
    <row r="24" spans="1:9" ht="15.65">
      <c r="A24" s="18" t="str">
        <f>'Command register base=0x0'!A61</f>
        <v>des_opd0_c</v>
      </c>
      <c r="B24" s="19">
        <f>'Command register base=0x0'!B61</f>
        <v>16</v>
      </c>
      <c r="C24" s="19">
        <f t="shared" si="0"/>
        <v>223</v>
      </c>
      <c r="D24" s="19">
        <f t="shared" si="1"/>
        <v>208</v>
      </c>
      <c r="E24" s="18" t="str">
        <f>'Command register base=0x0'!E61</f>
        <v>RW</v>
      </c>
      <c r="F24" s="18" t="str">
        <f>'Command register base=0x0'!F61</f>
        <v>0x1</v>
      </c>
      <c r="G24" s="33" t="s">
        <v>494</v>
      </c>
      <c r="H24" s="7" t="s">
        <v>255</v>
      </c>
      <c r="I24">
        <v>0</v>
      </c>
    </row>
    <row r="25" spans="1:9" ht="15.65">
      <c r="A25" s="18" t="str">
        <f>'Command register base=0x0'!A63</f>
        <v>des_opd0_w</v>
      </c>
      <c r="B25" s="19">
        <f>'Command register base=0x0'!B63</f>
        <v>16</v>
      </c>
      <c r="C25" s="19">
        <f t="shared" si="0"/>
        <v>239</v>
      </c>
      <c r="D25" s="19">
        <f t="shared" si="1"/>
        <v>224</v>
      </c>
      <c r="E25" s="18" t="str">
        <f>'Command register base=0x0'!E63</f>
        <v>RW</v>
      </c>
      <c r="F25" s="18" t="str">
        <f>'Command register base=0x0'!F63</f>
        <v>0x1</v>
      </c>
      <c r="G25" s="33" t="s">
        <v>496</v>
      </c>
      <c r="H25" s="7" t="s">
        <v>255</v>
      </c>
      <c r="I25">
        <v>0</v>
      </c>
    </row>
    <row r="26" spans="1:9" ht="29.9">
      <c r="A26" s="18" t="str">
        <f>'Command register base=0x0'!A67</f>
        <v>des_opd1_w</v>
      </c>
      <c r="B26" s="19">
        <f>'Command register base=0x0'!B67</f>
        <v>16</v>
      </c>
      <c r="C26" s="19">
        <f t="shared" si="0"/>
        <v>255</v>
      </c>
      <c r="D26" s="19">
        <f t="shared" si="1"/>
        <v>240</v>
      </c>
      <c r="E26" s="18" t="str">
        <f>'Command register base=0x0'!E67</f>
        <v>RW</v>
      </c>
      <c r="F26" s="18" t="str">
        <f>'Command register base=0x0'!F67</f>
        <v>0x1</v>
      </c>
      <c r="G26" s="33" t="s">
        <v>577</v>
      </c>
      <c r="H26" s="7" t="s">
        <v>255</v>
      </c>
      <c r="I26">
        <v>0</v>
      </c>
    </row>
    <row r="27" spans="1:9" ht="15.65">
      <c r="A27" s="18" t="s">
        <v>385</v>
      </c>
      <c r="B27" s="19">
        <v>32</v>
      </c>
      <c r="C27" s="19">
        <f t="shared" si="0"/>
        <v>287</v>
      </c>
      <c r="D27" s="19">
        <f t="shared" si="1"/>
        <v>256</v>
      </c>
      <c r="E27" s="18" t="str">
        <f>'Command register base=0x0'!E77</f>
        <v>RW</v>
      </c>
      <c r="F27" s="18" t="str">
        <f>'Command register base=0x0'!F77</f>
        <v>0x0</v>
      </c>
      <c r="G27" s="33" t="s">
        <v>471</v>
      </c>
      <c r="H27" s="7" t="s">
        <v>255</v>
      </c>
      <c r="I27">
        <v>0</v>
      </c>
    </row>
    <row r="28" spans="1:9" ht="15.65">
      <c r="A28" s="18" t="s">
        <v>387</v>
      </c>
      <c r="B28" s="19">
        <v>32</v>
      </c>
      <c r="C28" s="19">
        <f t="shared" si="0"/>
        <v>319</v>
      </c>
      <c r="D28" s="19">
        <f t="shared" si="1"/>
        <v>288</v>
      </c>
      <c r="E28" s="18" t="str">
        <f>'Command register base=0x0'!E85</f>
        <v>RW</v>
      </c>
      <c r="F28" s="18" t="str">
        <f>'Command register base=0x0'!F85</f>
        <v>0x1</v>
      </c>
      <c r="G28" s="33" t="s">
        <v>502</v>
      </c>
      <c r="H28" s="7" t="s">
        <v>255</v>
      </c>
      <c r="I28">
        <v>0</v>
      </c>
    </row>
    <row r="29" spans="1:9" ht="15.65">
      <c r="A29" s="18" t="s">
        <v>510</v>
      </c>
      <c r="B29" s="19">
        <v>64</v>
      </c>
      <c r="C29" s="19">
        <f t="shared" ref="C29" si="10">D29+B29-1</f>
        <v>383</v>
      </c>
      <c r="D29" s="19">
        <f t="shared" ref="D29" si="11">C28+1</f>
        <v>320</v>
      </c>
      <c r="E29" s="18" t="str">
        <f>'Command register base=0x0'!E64</f>
        <v>RW</v>
      </c>
      <c r="F29" s="18" t="str">
        <f>'Command register base=0x0'!F64</f>
        <v>0x1</v>
      </c>
      <c r="G29" s="4" t="s">
        <v>257</v>
      </c>
      <c r="H29" s="20" t="s">
        <v>258</v>
      </c>
      <c r="I29">
        <v>2</v>
      </c>
    </row>
  </sheetData>
  <customSheetViews>
    <customSheetView guid="{465993EB-2174-44B8-8988-073286CA386F}" topLeftCell="A19">
      <selection activeCell="A25" sqref="A25"/>
      <pageMargins left="0.7" right="0.7" top="0.75" bottom="0.75" header="0.3" footer="0.3"/>
    </customSheetView>
    <customSheetView guid="{C03D8012-5FAF-4C48-B7E4-56A55E52A74B}" topLeftCell="A19">
      <selection activeCell="A25" sqref="A25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opLeftCell="A13" zoomScale="130" zoomScaleNormal="130" workbookViewId="0">
      <selection activeCell="I11" sqref="I11"/>
    </sheetView>
  </sheetViews>
  <sheetFormatPr defaultColWidth="9" defaultRowHeight="12.9"/>
  <cols>
    <col min="1" max="1" width="21.75" customWidth="1"/>
    <col min="3" max="4" width="8.625" customWidth="1"/>
    <col min="5" max="5" width="4.875" customWidth="1"/>
    <col min="6" max="6" width="8.5" customWidth="1"/>
    <col min="7" max="7" width="64.375" customWidth="1"/>
    <col min="8" max="8" width="39.5" customWidth="1"/>
  </cols>
  <sheetData>
    <row r="1" spans="1:9" ht="27.2">
      <c r="A1" s="1" t="s">
        <v>221</v>
      </c>
      <c r="B1" s="1" t="s">
        <v>685</v>
      </c>
      <c r="C1" s="1" t="s">
        <v>686</v>
      </c>
      <c r="D1" s="1" t="s">
        <v>687</v>
      </c>
      <c r="E1" s="1" t="s">
        <v>7</v>
      </c>
      <c r="F1" s="1" t="s">
        <v>8</v>
      </c>
      <c r="G1" s="1" t="s">
        <v>9</v>
      </c>
      <c r="H1" s="1" t="s">
        <v>189</v>
      </c>
      <c r="I1" s="9" t="s">
        <v>481</v>
      </c>
    </row>
    <row r="2" spans="1:9" ht="14.95">
      <c r="A2" s="2" t="s">
        <v>256</v>
      </c>
      <c r="B2" s="2">
        <v>1</v>
      </c>
      <c r="C2" s="2">
        <f t="shared" ref="C2:C12" si="0">B2+D2-1</f>
        <v>0</v>
      </c>
      <c r="D2" s="2">
        <v>0</v>
      </c>
      <c r="E2" s="2" t="s">
        <v>7</v>
      </c>
      <c r="F2" s="2" t="s">
        <v>236</v>
      </c>
      <c r="G2" s="2" t="s">
        <v>257</v>
      </c>
      <c r="H2" s="3" t="s">
        <v>258</v>
      </c>
      <c r="I2">
        <v>2</v>
      </c>
    </row>
    <row r="3" spans="1:9" ht="29.9">
      <c r="A3" s="2" t="s">
        <v>730</v>
      </c>
      <c r="B3" s="2">
        <v>16</v>
      </c>
      <c r="C3" s="2">
        <f t="shared" si="0"/>
        <v>16</v>
      </c>
      <c r="D3" s="2">
        <f>C2+1</f>
        <v>1</v>
      </c>
      <c r="E3" s="2" t="s">
        <v>7</v>
      </c>
      <c r="F3" s="2" t="s">
        <v>236</v>
      </c>
      <c r="G3" s="4" t="s">
        <v>794</v>
      </c>
      <c r="H3" s="3" t="s">
        <v>258</v>
      </c>
      <c r="I3">
        <v>2</v>
      </c>
    </row>
    <row r="4" spans="1:9" ht="30.6" thickBot="1">
      <c r="A4" s="4" t="str">
        <f>'Command register base=0x0'!A4</f>
        <v>des_cmd_id_dep</v>
      </c>
      <c r="B4" s="2">
        <v>23</v>
      </c>
      <c r="C4" s="2">
        <f t="shared" ref="C4:C5" si="1">B4+D4-1</f>
        <v>39</v>
      </c>
      <c r="D4" s="2">
        <f t="shared" ref="D4:D12" si="2">C3+1</f>
        <v>17</v>
      </c>
      <c r="E4" s="2" t="s">
        <v>7</v>
      </c>
      <c r="F4" s="2" t="s">
        <v>236</v>
      </c>
      <c r="G4" s="4" t="s">
        <v>241</v>
      </c>
      <c r="H4" s="5" t="s">
        <v>255</v>
      </c>
      <c r="I4">
        <v>0</v>
      </c>
    </row>
    <row r="5" spans="1:9" ht="15.65" thickBot="1">
      <c r="A5" s="4" t="str">
        <f>'Command register base=0x0'!A5</f>
        <v>des_dbg_mode</v>
      </c>
      <c r="B5" s="2">
        <v>1</v>
      </c>
      <c r="C5" s="2">
        <f t="shared" si="1"/>
        <v>40</v>
      </c>
      <c r="D5" s="2">
        <f t="shared" si="2"/>
        <v>40</v>
      </c>
      <c r="E5" s="4" t="str">
        <f>'Command register base=0x0'!E5</f>
        <v>RW</v>
      </c>
      <c r="F5" s="4" t="str">
        <f>'Command register base=0x0'!F5</f>
        <v>0x0</v>
      </c>
      <c r="G5" s="4" t="s">
        <v>900</v>
      </c>
      <c r="H5" s="6" t="s">
        <v>255</v>
      </c>
      <c r="I5">
        <v>0</v>
      </c>
    </row>
    <row r="6" spans="1:9" ht="30.6" thickBot="1">
      <c r="A6" s="4" t="str">
        <f>'Command register base=0x0'!A6</f>
        <v>des_tsk_typ</v>
      </c>
      <c r="B6" s="2">
        <v>4</v>
      </c>
      <c r="C6" s="2">
        <f t="shared" ref="C6" si="3">B6+D6-1</f>
        <v>44</v>
      </c>
      <c r="D6" s="2">
        <f t="shared" ref="D6" si="4">C5+1</f>
        <v>41</v>
      </c>
      <c r="E6" s="2" t="s">
        <v>7</v>
      </c>
      <c r="F6" s="2" t="s">
        <v>236</v>
      </c>
      <c r="G6" s="2" t="s">
        <v>688</v>
      </c>
      <c r="H6" s="5" t="s">
        <v>255</v>
      </c>
      <c r="I6">
        <v>0</v>
      </c>
    </row>
    <row r="7" spans="1:9" ht="209.25">
      <c r="A7" s="2" t="s">
        <v>243</v>
      </c>
      <c r="B7" s="2">
        <v>5</v>
      </c>
      <c r="C7" s="2">
        <f t="shared" si="0"/>
        <v>49</v>
      </c>
      <c r="D7" s="2">
        <f t="shared" si="2"/>
        <v>45</v>
      </c>
      <c r="E7" s="2" t="s">
        <v>7</v>
      </c>
      <c r="F7" s="2" t="s">
        <v>236</v>
      </c>
      <c r="G7" s="2" t="s">
        <v>973</v>
      </c>
      <c r="H7" s="5" t="s">
        <v>255</v>
      </c>
      <c r="I7">
        <v>0</v>
      </c>
    </row>
    <row r="8" spans="1:9" ht="59.8">
      <c r="A8" s="2" t="s">
        <v>689</v>
      </c>
      <c r="B8" s="2">
        <v>2</v>
      </c>
      <c r="C8" s="2">
        <f t="shared" si="0"/>
        <v>51</v>
      </c>
      <c r="D8" s="2">
        <f t="shared" si="2"/>
        <v>50</v>
      </c>
      <c r="E8" s="2" t="s">
        <v>7</v>
      </c>
      <c r="F8" s="2" t="s">
        <v>236</v>
      </c>
      <c r="G8" s="2" t="s">
        <v>690</v>
      </c>
      <c r="H8" s="5" t="s">
        <v>255</v>
      </c>
      <c r="I8">
        <v>0</v>
      </c>
    </row>
    <row r="9" spans="1:9" ht="44.85">
      <c r="A9" s="2" t="s">
        <v>691</v>
      </c>
      <c r="B9" s="2">
        <v>7</v>
      </c>
      <c r="C9" s="2">
        <f t="shared" ref="C9:C10" si="5">B9+D9-1</f>
        <v>58</v>
      </c>
      <c r="D9" s="2">
        <f t="shared" si="2"/>
        <v>52</v>
      </c>
      <c r="E9" s="2" t="s">
        <v>7</v>
      </c>
      <c r="F9" s="2" t="s">
        <v>236</v>
      </c>
      <c r="G9" s="2" t="s">
        <v>885</v>
      </c>
      <c r="H9" s="3" t="s">
        <v>258</v>
      </c>
      <c r="I9">
        <v>2</v>
      </c>
    </row>
    <row r="10" spans="1:9" ht="14.95">
      <c r="A10" s="2" t="s">
        <v>259</v>
      </c>
      <c r="B10" s="2">
        <v>4</v>
      </c>
      <c r="C10" s="2">
        <f t="shared" si="5"/>
        <v>62</v>
      </c>
      <c r="D10" s="2">
        <f t="shared" si="2"/>
        <v>59</v>
      </c>
      <c r="E10" s="2" t="s">
        <v>7</v>
      </c>
      <c r="F10" s="2" t="s">
        <v>236</v>
      </c>
      <c r="G10" s="2" t="s">
        <v>260</v>
      </c>
      <c r="H10" s="5" t="s">
        <v>255</v>
      </c>
      <c r="I10">
        <v>0</v>
      </c>
    </row>
    <row r="11" spans="1:9" ht="29.9">
      <c r="A11" s="2" t="s">
        <v>261</v>
      </c>
      <c r="B11" s="2">
        <v>1</v>
      </c>
      <c r="C11" s="2">
        <f t="shared" si="0"/>
        <v>63</v>
      </c>
      <c r="D11" s="2">
        <f t="shared" si="2"/>
        <v>63</v>
      </c>
      <c r="E11" s="2" t="s">
        <v>7</v>
      </c>
      <c r="F11" s="2" t="s">
        <v>236</v>
      </c>
      <c r="G11" s="4" t="s">
        <v>262</v>
      </c>
      <c r="H11" s="7" t="s">
        <v>255</v>
      </c>
      <c r="I11">
        <v>0</v>
      </c>
    </row>
    <row r="12" spans="1:9" ht="209.25">
      <c r="A12" s="2" t="s">
        <v>692</v>
      </c>
      <c r="B12" s="2">
        <v>64</v>
      </c>
      <c r="C12" s="2">
        <f t="shared" si="0"/>
        <v>127</v>
      </c>
      <c r="D12" s="2">
        <f t="shared" si="2"/>
        <v>64</v>
      </c>
      <c r="E12" s="2" t="s">
        <v>7</v>
      </c>
      <c r="F12" s="2" t="s">
        <v>236</v>
      </c>
      <c r="G12" s="187" t="s">
        <v>1172</v>
      </c>
      <c r="H12" s="5" t="s">
        <v>255</v>
      </c>
      <c r="I12">
        <v>0</v>
      </c>
    </row>
    <row r="13" spans="1:9" ht="14.95">
      <c r="A13" s="2" t="s">
        <v>279</v>
      </c>
      <c r="B13" s="2">
        <v>2</v>
      </c>
      <c r="C13" s="2" t="s">
        <v>693</v>
      </c>
      <c r="D13" s="2" t="s">
        <v>693</v>
      </c>
      <c r="E13" s="2" t="s">
        <v>693</v>
      </c>
      <c r="F13" s="2" t="s">
        <v>693</v>
      </c>
      <c r="G13" s="2" t="s">
        <v>694</v>
      </c>
      <c r="H13" s="8" t="s">
        <v>695</v>
      </c>
      <c r="I13">
        <v>1</v>
      </c>
    </row>
    <row r="14" spans="1:9" ht="29.9">
      <c r="A14" s="2" t="s">
        <v>292</v>
      </c>
      <c r="B14" s="2">
        <v>3</v>
      </c>
      <c r="C14" s="2" t="s">
        <v>693</v>
      </c>
      <c r="D14" s="2" t="s">
        <v>693</v>
      </c>
      <c r="E14" s="2" t="s">
        <v>693</v>
      </c>
      <c r="F14" s="2" t="s">
        <v>693</v>
      </c>
      <c r="G14" s="2" t="s">
        <v>694</v>
      </c>
      <c r="H14" s="8" t="s">
        <v>696</v>
      </c>
      <c r="I14">
        <v>1</v>
      </c>
    </row>
    <row r="15" spans="1:9" ht="14.95">
      <c r="A15" s="2" t="s">
        <v>350</v>
      </c>
      <c r="B15" s="2">
        <v>16</v>
      </c>
      <c r="C15" s="2" t="s">
        <v>693</v>
      </c>
      <c r="D15" s="2" t="s">
        <v>693</v>
      </c>
      <c r="E15" s="2" t="s">
        <v>693</v>
      </c>
      <c r="F15" s="2" t="s">
        <v>693</v>
      </c>
      <c r="G15" s="2" t="s">
        <v>694</v>
      </c>
      <c r="H15" s="8" t="s">
        <v>444</v>
      </c>
      <c r="I15">
        <v>2</v>
      </c>
    </row>
    <row r="16" spans="1:9" ht="29.9">
      <c r="A16" s="2" t="s">
        <v>352</v>
      </c>
      <c r="B16" s="2">
        <v>16</v>
      </c>
      <c r="C16" s="2" t="s">
        <v>693</v>
      </c>
      <c r="D16" s="2" t="s">
        <v>693</v>
      </c>
      <c r="E16" s="2" t="s">
        <v>693</v>
      </c>
      <c r="F16" s="2" t="s">
        <v>693</v>
      </c>
      <c r="G16" s="2" t="s">
        <v>694</v>
      </c>
      <c r="H16" s="8" t="s">
        <v>697</v>
      </c>
      <c r="I16">
        <v>1</v>
      </c>
    </row>
    <row r="17" spans="1:9" ht="14.95">
      <c r="A17" s="2" t="s">
        <v>354</v>
      </c>
      <c r="B17" s="2">
        <v>16</v>
      </c>
      <c r="C17" s="2" t="s">
        <v>693</v>
      </c>
      <c r="D17" s="2" t="s">
        <v>693</v>
      </c>
      <c r="E17" s="2" t="s">
        <v>693</v>
      </c>
      <c r="F17" s="2" t="s">
        <v>693</v>
      </c>
      <c r="G17" s="2" t="s">
        <v>694</v>
      </c>
      <c r="H17" s="8" t="s">
        <v>444</v>
      </c>
      <c r="I17">
        <v>2</v>
      </c>
    </row>
    <row r="18" spans="1:9" ht="29.9">
      <c r="A18" s="2" t="s">
        <v>356</v>
      </c>
      <c r="B18" s="2">
        <v>16</v>
      </c>
      <c r="C18" s="2" t="s">
        <v>693</v>
      </c>
      <c r="D18" s="2" t="s">
        <v>693</v>
      </c>
      <c r="E18" s="2" t="s">
        <v>693</v>
      </c>
      <c r="F18" s="2" t="s">
        <v>693</v>
      </c>
      <c r="G18" s="2" t="s">
        <v>694</v>
      </c>
      <c r="H18" s="8" t="s">
        <v>698</v>
      </c>
      <c r="I18">
        <v>1</v>
      </c>
    </row>
    <row r="19" spans="1:9" ht="14.95">
      <c r="A19" s="2" t="s">
        <v>383</v>
      </c>
      <c r="B19" s="2">
        <v>32</v>
      </c>
      <c r="C19" s="2" t="s">
        <v>693</v>
      </c>
      <c r="D19" s="2" t="s">
        <v>693</v>
      </c>
      <c r="E19" s="2" t="s">
        <v>693</v>
      </c>
      <c r="F19" s="2" t="s">
        <v>693</v>
      </c>
      <c r="G19" s="2" t="s">
        <v>694</v>
      </c>
      <c r="H19" s="8" t="s">
        <v>699</v>
      </c>
      <c r="I19">
        <v>1</v>
      </c>
    </row>
    <row r="20" spans="1:9" ht="14.95">
      <c r="A20" s="2" t="s">
        <v>339</v>
      </c>
      <c r="B20" s="2">
        <v>64</v>
      </c>
      <c r="C20" s="2" t="s">
        <v>693</v>
      </c>
      <c r="D20" s="2" t="s">
        <v>693</v>
      </c>
      <c r="E20" s="2" t="s">
        <v>693</v>
      </c>
      <c r="F20" s="2" t="s">
        <v>693</v>
      </c>
      <c r="G20" s="2" t="s">
        <v>694</v>
      </c>
      <c r="H20" s="8" t="s">
        <v>700</v>
      </c>
      <c r="I20">
        <v>1</v>
      </c>
    </row>
    <row r="21" spans="1:9" ht="29.9">
      <c r="A21" s="2" t="s">
        <v>377</v>
      </c>
      <c r="B21" s="2">
        <v>16</v>
      </c>
      <c r="C21" s="2" t="s">
        <v>693</v>
      </c>
      <c r="D21" s="2" t="s">
        <v>693</v>
      </c>
      <c r="E21" s="2" t="s">
        <v>693</v>
      </c>
      <c r="F21" s="2" t="s">
        <v>693</v>
      </c>
      <c r="G21" s="2" t="s">
        <v>694</v>
      </c>
      <c r="H21" s="8" t="s">
        <v>701</v>
      </c>
      <c r="I21">
        <v>1</v>
      </c>
    </row>
  </sheetData>
  <customSheetViews>
    <customSheetView guid="{465993EB-2174-44B8-8988-073286CA386F}" scale="85" topLeftCell="A7">
      <selection activeCell="G11" sqref="G11"/>
      <pageMargins left="0.7" right="0.7" top="0.75" bottom="0.75" header="0.3" footer="0.3"/>
    </customSheetView>
    <customSheetView guid="{C03D8012-5FAF-4C48-B7E4-56A55E52A74B}" scale="85" topLeftCell="A7">
      <selection activeCell="G6" sqref="G6"/>
      <pageMargins left="0.7" right="0.7" top="0.75" bottom="0.75" header="0.3" footer="0.3"/>
    </customSheetView>
  </customSheetViews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23</vt:i4>
      </vt:variant>
    </vt:vector>
  </HeadingPairs>
  <TitlesOfParts>
    <vt:vector size="23" baseType="lpstr">
      <vt:lpstr>Rev</vt:lpstr>
      <vt:lpstr>Control register base=0x100</vt:lpstr>
      <vt:lpstr>TGCR</vt:lpstr>
      <vt:lpstr>Lmem bank constrain</vt:lpstr>
      <vt:lpstr>Descriptor mode</vt:lpstr>
      <vt:lpstr>Command register base=0x0</vt:lpstr>
      <vt:lpstr>sCONV</vt:lpstr>
      <vt:lpstr>sCONV_BW</vt:lpstr>
      <vt:lpstr>sPorD</vt:lpstr>
      <vt:lpstr>sMM</vt:lpstr>
      <vt:lpstr>sMM2</vt:lpstr>
      <vt:lpstr>sAR</vt:lpstr>
      <vt:lpstr>sRQ&amp;sDQ</vt:lpstr>
      <vt:lpstr>sCW&amp;sBC</vt:lpstr>
      <vt:lpstr>sSG</vt:lpstr>
      <vt:lpstr>sSGL</vt:lpstr>
      <vt:lpstr>sRAND</vt:lpstr>
      <vt:lpstr>sSFU</vt:lpstr>
      <vt:lpstr>sLIN</vt:lpstr>
      <vt:lpstr>SYS_TR_WR</vt:lpstr>
      <vt:lpstr>sCMP</vt:lpstr>
      <vt:lpstr>sVC</vt:lpstr>
      <vt:lpstr>SYS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高鹏</dc:creator>
  <cp:lastModifiedBy>黄素馨</cp:lastModifiedBy>
  <cp:lastPrinted>2017-12-19T06:56:00Z</cp:lastPrinted>
  <dcterms:created xsi:type="dcterms:W3CDTF">2017-05-18T07:39:00Z</dcterms:created>
  <dcterms:modified xsi:type="dcterms:W3CDTF">2025-05-21T08:26:43Z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E0EC5FE119E24BEA825CA2C422E7B5EE</vt:lpwstr>
  </property>
  <property fmtid="{D5CDD505-2E9C-101B-9397-08002B2CF9AE}" pid="3" name="KSOProductBuildVer">
    <vt:lpwstr>2052-11.1.0.12763</vt:lpwstr>
  </property>
  <property fmtid="{5B77E7CE-EC58-BC6A-FAE8-886BEB80DBEB}" pid="4" name="5B77E7CEEC58BC6AFAE8886BEB80DBEB">
    <vt:lpwstr>otCYQxs9Dbw2bUEn/Soxv9pYAoWsCRIsU8+gIbxzzmNcJN13+qHIPyWmbF9hFzPHyi2m8DLwi54E5OVVM5pJ0yGmgAiYTaR6oYUdYZxdjep6I9xviFUFZ9aTScfBW9OGYYABSq509Tu/Jrsr97EMktnbzmHWYCGCHp4zX2RYZ+3eFDQUBvXoVdQmieszxiUJT8fcrBd2Ni9SPfEEgHzUcG1Z73uFSU22hVtlg2fOuhQ5egmYlC+mvKdkb9sgRdphYSOfyCHdgAXZiszaDjyb7DlQE36gwPVoY1sxw9kFrWoweLSrKMjzMX63ag8ouFy1u9pL6K9+UJBYxFUhLBUgnA+GMqQziuIapNLSlsO1DLfnrSEYm62WZWss4e6Vk5xMPbc/j+ayJrI+qORkbcx97HDjg/j3byeag4qsoMo7b4mhYXmnivZ9BPFW7Aqs/usXrtdRC/BDI6Ht2cbVdk/PT8mn2OK4Ms1Qr6jxgXXkR5HcBuxTgKqryxzJ/dUZFojXm2ccqs/IhwUnTGSS9NoR7ln0EvGmjaXY11bK+GxqO87u5bmtWvb8p8WPCGPY4tDt/5VtuVql9UXW15blrW+6CooTSD/CZj0ZS42zBJtUNmmH9XxMfQ4FAbslxrQPGp33avrtfU1C1nd75UdwF04Z796dEBKv80e11WvJ/O+mYfH9IKSBfsDlkr8khbCg5e3MLsH9uAxrVAiAJRZonOT85BHlR8cpycMp9LXn37E6Zcn9KxlcTkqFi/Bpv+EBDxchTFZjW64gWaSPOAHqboyOsGkSNDpZ5pskgraWMZTH5ORCmCO01drtpzvu8zwpLxg38CEZ8AICuRujkdaeu/Z2QWGnxsF/EuS9vjpYS65p65Jg9c31Mi+bnlBYqrBfw41GQdU6yJQuai2Xh/OQNF0G/nr7A25rS1dj3TbfPlVxNNbqNsieWrvBmbe6VqSDNnRO9i2PtP6Z3at+7sRnM1tcDxPLVCVnVCzTbEQ9iCH60KPZbBIWWH+RZKWUUG75TJCZDPibSG07F76N6ZNyW89fs2pfniDm4kaaXHUrFtmV+klOT6OA+O3IhZzw4g0Xp3sHSupmu4k8qJ81q6SiypxbyUdWAu/afxVQ5wBl7jcrYWg=</vt:lpwstr>
  </property>
</Properties>
</file>